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ms-excel.documenttasks+xml" PartName="/xl/documenttasks/documenttask1.xml"/>
  <Override ContentType="application/vnd.ms-excel.threadedcomments+xml" PartName="/xl/threadedComments/threadedComment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sheetId="1" r:id="rId5"/>
    <sheet state="visible" name="Purpose dict" sheetId="2" r:id="rId6"/>
    <sheet state="visible" name="Category dict" sheetId="3" r:id="rId7"/>
    <sheet state="visible" name="Uber Drives" sheetId="4" r:id="rId8"/>
    <sheet state="visible" name="Result" sheetId="5" r:id="rId9"/>
    <sheet state="visible" name="Result Pivot Table" sheetId="6" r:id="rId10"/>
  </sheets>
  <definedNames>
    <definedName hidden="1" localSheetId="3" name="_xlnm._FilterDatabase">'Uber Drives'!$A$1:$N$1152</definedName>
  </definedNames>
  <calcPr/>
  <pivotCaches>
    <pivotCache cacheId="0" r:id="rId11"/>
    <pivotCache cacheId="1" r:id="rId12"/>
    <pivotCache cacheId="2" r:id="rId13"/>
    <pivotCache cacheId="3" r:id="rId14"/>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tc={05c0a675-53c9-45f8-b0e2-44e412b86470}</author>
  </authors>
  <commentList>
    <comment authorId="0" xr:uid="{05c0a675-53c9-45f8-b0e2-44e412b86470}" ref="D4">
      <text>
        <t xml:space="preserve">[Threaded comment]
 Your version of Excel allows you to read this threaded comment; however, any edits to it will get removed if the file is opened in a newer version of Excel. Learn more: https://go.microsoft.com/fwlink/?linkid=870924
Comment:
	Краще використовувати функцію NA(), оскільки введені вручну значення 'NA' або '#N/A' сприймаються як текст, а не як справжнє позначення відсутніх даних, тому формули (наприклад, ISNA) не зможуть коректно їх розпізнати.
</t>
      </text>
    </comment>
  </commentList>
</comments>
</file>

<file path=xl/sharedStrings.xml><?xml version="1.0" encoding="utf-8"?>
<sst xmlns="http://schemas.openxmlformats.org/spreadsheetml/2006/main" count="3679" uniqueCount="1459">
  <si>
    <t>Опис датасету</t>
  </si>
  <si>
    <t>Датасет містить інформацію про поїздки у службі таксі Uber, здійснені користувачем у 3х різних країнах.</t>
  </si>
  <si>
    <t>Період:</t>
  </si>
  <si>
    <t>1.01.2016-31.12.2016</t>
  </si>
  <si>
    <t>Таблиця Uber Drives</t>
  </si>
  <si>
    <t>Колонка</t>
  </si>
  <si>
    <t>Значення</t>
  </si>
  <si>
    <t>TRAVEL_ID</t>
  </si>
  <si>
    <t>ідентифікатор замовлення таксі, унікальний для кожної поїздки, складається зі знаків "id_" та 3х значного числа.</t>
  </si>
  <si>
    <t>START_DATE</t>
  </si>
  <si>
    <t>дата та час початку поїздки.</t>
  </si>
  <si>
    <t>END_DATE</t>
  </si>
  <si>
    <t>дата та час закінчення поїздки.</t>
  </si>
  <si>
    <t>CATEGORY_ID</t>
  </si>
  <si>
    <t>числовий ідентифікатор категорії поїздки.</t>
  </si>
  <si>
    <t>START</t>
  </si>
  <si>
    <t>місцерозташування початкової точки маршруту.</t>
  </si>
  <si>
    <t>STOP</t>
  </si>
  <si>
    <t>місцерозташування кінцевої точки маршруту.</t>
  </si>
  <si>
    <t>MILES</t>
  </si>
  <si>
    <t>довжина маршруту, в милях.</t>
  </si>
  <si>
    <t>PURPOSE_ID</t>
  </si>
  <si>
    <t>числовий ідентифікатор цілі поїздки.</t>
  </si>
  <si>
    <t>Таблиця Category dict</t>
  </si>
  <si>
    <t>CATEGORY</t>
  </si>
  <si>
    <t>категорія поїздки.</t>
  </si>
  <si>
    <t>Таблиця Purpose dict</t>
  </si>
  <si>
    <t>PURPOSE</t>
  </si>
  <si>
    <t>ціль поїздки.</t>
  </si>
  <si>
    <t>Meal/Entertain</t>
  </si>
  <si>
    <t>NOT DEFINED</t>
  </si>
  <si>
    <t>Errand/Supplies</t>
  </si>
  <si>
    <t>Meeting</t>
  </si>
  <si>
    <t>Customer Visit</t>
  </si>
  <si>
    <t>Temporary Site</t>
  </si>
  <si>
    <t>Between Offices</t>
  </si>
  <si>
    <t>Charity ($)</t>
  </si>
  <si>
    <t>Commute</t>
  </si>
  <si>
    <t>Moving</t>
  </si>
  <si>
    <t>Airport/Travel</t>
  </si>
  <si>
    <t>Business</t>
  </si>
  <si>
    <t>Personal</t>
  </si>
  <si>
    <t>Other</t>
  </si>
  <si>
    <t>START_LOCATION</t>
  </si>
  <si>
    <t>STOP_LOCATION</t>
  </si>
  <si>
    <t>START_TIME</t>
  </si>
  <si>
    <t>END_TIME</t>
  </si>
  <si>
    <t>DURATION</t>
  </si>
  <si>
    <t>START_TIME_DAYPART</t>
  </si>
  <si>
    <t>id_237</t>
  </si>
  <si>
    <t>Fort Pierce</t>
  </si>
  <si>
    <t>id_238</t>
  </si>
  <si>
    <t>id_239</t>
  </si>
  <si>
    <t>id_240</t>
  </si>
  <si>
    <t>id_241</t>
  </si>
  <si>
    <t>West Palm Beach</t>
  </si>
  <si>
    <t>id_242</t>
  </si>
  <si>
    <t>id_243</t>
  </si>
  <si>
    <t>Palm Beach</t>
  </si>
  <si>
    <t>id_244</t>
  </si>
  <si>
    <t>Cary</t>
  </si>
  <si>
    <t>id_245</t>
  </si>
  <si>
    <t>Morrisville</t>
  </si>
  <si>
    <t>id_246</t>
  </si>
  <si>
    <t>Jamaica</t>
  </si>
  <si>
    <t>New York</t>
  </si>
  <si>
    <t>id_247</t>
  </si>
  <si>
    <t>Queens</t>
  </si>
  <si>
    <t>id_248</t>
  </si>
  <si>
    <t>Elmhurst</t>
  </si>
  <si>
    <t>id_249</t>
  </si>
  <si>
    <t>Midtown</t>
  </si>
  <si>
    <t>East Harlem</t>
  </si>
  <si>
    <t>id_250</t>
  </si>
  <si>
    <t>NoMad</t>
  </si>
  <si>
    <t>id_251</t>
  </si>
  <si>
    <t>Flatiron District</t>
  </si>
  <si>
    <t>id_252</t>
  </si>
  <si>
    <t>Midtown East</t>
  </si>
  <si>
    <t>id_253</t>
  </si>
  <si>
    <t>id_254</t>
  </si>
  <si>
    <t>Hudson Square</t>
  </si>
  <si>
    <t>id_255</t>
  </si>
  <si>
    <t>Lower Manhattan</t>
  </si>
  <si>
    <t>id_256</t>
  </si>
  <si>
    <t>id_257</t>
  </si>
  <si>
    <t>Hell's Kitchen</t>
  </si>
  <si>
    <t>id_258</t>
  </si>
  <si>
    <t>id_259</t>
  </si>
  <si>
    <t>Queens County</t>
  </si>
  <si>
    <t>id_260</t>
  </si>
  <si>
    <t>Downtown</t>
  </si>
  <si>
    <t>Gulfton</t>
  </si>
  <si>
    <t>id_261</t>
  </si>
  <si>
    <t>id_262</t>
  </si>
  <si>
    <t>Houston</t>
  </si>
  <si>
    <t>id_263</t>
  </si>
  <si>
    <t>Eagan Park</t>
  </si>
  <si>
    <t>Jamestown Court</t>
  </si>
  <si>
    <t>id_264</t>
  </si>
  <si>
    <t>id_265</t>
  </si>
  <si>
    <t>Durham</t>
  </si>
  <si>
    <t>id_266</t>
  </si>
  <si>
    <t>id_267</t>
  </si>
  <si>
    <t>id_268</t>
  </si>
  <si>
    <t>Farmington Woods</t>
  </si>
  <si>
    <t>Whitebridge</t>
  </si>
  <si>
    <t>id_269</t>
  </si>
  <si>
    <t>Lake Wellingborough</t>
  </si>
  <si>
    <t>id_270</t>
  </si>
  <si>
    <t>id_271</t>
  </si>
  <si>
    <t>Raleigh</t>
  </si>
  <si>
    <t>id_272</t>
  </si>
  <si>
    <t>Fayetteville Street</t>
  </si>
  <si>
    <t>Umstead</t>
  </si>
  <si>
    <t>id_273</t>
  </si>
  <si>
    <t>id_274</t>
  </si>
  <si>
    <t>id_275</t>
  </si>
  <si>
    <t>id_276</t>
  </si>
  <si>
    <t>id_277</t>
  </si>
  <si>
    <t>Hazelwood</t>
  </si>
  <si>
    <t>id_278</t>
  </si>
  <si>
    <t>id_279</t>
  </si>
  <si>
    <t>Westpark Place</t>
  </si>
  <si>
    <t>id_280</t>
  </si>
  <si>
    <t>id_281</t>
  </si>
  <si>
    <t>id_282</t>
  </si>
  <si>
    <t>id_283</t>
  </si>
  <si>
    <t>id_284</t>
  </si>
  <si>
    <t>Fairmont</t>
  </si>
  <si>
    <t>Meredith Townes</t>
  </si>
  <si>
    <t>id_285</t>
  </si>
  <si>
    <t>id_286</t>
  </si>
  <si>
    <t>id_287</t>
  </si>
  <si>
    <t>id_288</t>
  </si>
  <si>
    <t>Leesville Hollow</t>
  </si>
  <si>
    <t>id_289</t>
  </si>
  <si>
    <t>id_290</t>
  </si>
  <si>
    <t>id_291</t>
  </si>
  <si>
    <t>id_292</t>
  </si>
  <si>
    <t>id_293</t>
  </si>
  <si>
    <t>id_294</t>
  </si>
  <si>
    <t>Apex</t>
  </si>
  <si>
    <t>id_295</t>
  </si>
  <si>
    <t>id_296</t>
  </si>
  <si>
    <t>id_297</t>
  </si>
  <si>
    <t>id_298</t>
  </si>
  <si>
    <t>Chapel Hill</t>
  </si>
  <si>
    <t>id_299</t>
  </si>
  <si>
    <t>id_300</t>
  </si>
  <si>
    <t>Northwoods</t>
  </si>
  <si>
    <t>id_301</t>
  </si>
  <si>
    <t>Williamsburg Manor</t>
  </si>
  <si>
    <t>id_302</t>
  </si>
  <si>
    <t>id_303</t>
  </si>
  <si>
    <t>id_304</t>
  </si>
  <si>
    <t>id_305</t>
  </si>
  <si>
    <t>id_306</t>
  </si>
  <si>
    <t>id_307</t>
  </si>
  <si>
    <t>id_308</t>
  </si>
  <si>
    <t>id_309</t>
  </si>
  <si>
    <t>Macgregor Downs</t>
  </si>
  <si>
    <t>id_310</t>
  </si>
  <si>
    <t>id_311</t>
  </si>
  <si>
    <t>id_312</t>
  </si>
  <si>
    <t>id_313</t>
  </si>
  <si>
    <t>id_314</t>
  </si>
  <si>
    <t>id_315</t>
  </si>
  <si>
    <t>Edgehill Farms</t>
  </si>
  <si>
    <t>id_316</t>
  </si>
  <si>
    <t>id_317</t>
  </si>
  <si>
    <t>id_318</t>
  </si>
  <si>
    <t>id_319</t>
  </si>
  <si>
    <t>id_320</t>
  </si>
  <si>
    <t>id_321</t>
  </si>
  <si>
    <t>id_322</t>
  </si>
  <si>
    <t>id_323</t>
  </si>
  <si>
    <t>Tanglewood</t>
  </si>
  <si>
    <t>id_324</t>
  </si>
  <si>
    <t>Preston</t>
  </si>
  <si>
    <t>id_325</t>
  </si>
  <si>
    <t>id_326</t>
  </si>
  <si>
    <t>id_327</t>
  </si>
  <si>
    <t>id_328</t>
  </si>
  <si>
    <t>id_329</t>
  </si>
  <si>
    <t>Eastgate</t>
  </si>
  <si>
    <t>Walnut Terrace</t>
  </si>
  <si>
    <t>id_330</t>
  </si>
  <si>
    <t>id_331</t>
  </si>
  <si>
    <t>id_332</t>
  </si>
  <si>
    <t>id_333</t>
  </si>
  <si>
    <t>id_334</t>
  </si>
  <si>
    <t>id_335</t>
  </si>
  <si>
    <t>id_336</t>
  </si>
  <si>
    <t>id_337</t>
  </si>
  <si>
    <t>id_338</t>
  </si>
  <si>
    <t>id_339</t>
  </si>
  <si>
    <t>East Elmhurst</t>
  </si>
  <si>
    <t>Jackson Heights</t>
  </si>
  <si>
    <t>id_340</t>
  </si>
  <si>
    <t>id_341</t>
  </si>
  <si>
    <t>id_342</t>
  </si>
  <si>
    <t>Midtown West</t>
  </si>
  <si>
    <t>id_343</t>
  </si>
  <si>
    <t>Long Island City</t>
  </si>
  <si>
    <t>id_344</t>
  </si>
  <si>
    <t>id_345</t>
  </si>
  <si>
    <t>Katunayaka</t>
  </si>
  <si>
    <t>Unknown Location</t>
  </si>
  <si>
    <t>id_346</t>
  </si>
  <si>
    <t>Colombo</t>
  </si>
  <si>
    <t>id_347</t>
  </si>
  <si>
    <t>id_348</t>
  </si>
  <si>
    <t>id_349</t>
  </si>
  <si>
    <t>id_350</t>
  </si>
  <si>
    <t>id_351</t>
  </si>
  <si>
    <t>id_352</t>
  </si>
  <si>
    <t>Nugegoda</t>
  </si>
  <si>
    <t>id_353</t>
  </si>
  <si>
    <t>id_354</t>
  </si>
  <si>
    <t>id_355</t>
  </si>
  <si>
    <t>id_356</t>
  </si>
  <si>
    <t>id_357</t>
  </si>
  <si>
    <t>id_358</t>
  </si>
  <si>
    <t>id_359</t>
  </si>
  <si>
    <t>Islamabad</t>
  </si>
  <si>
    <t>id_360</t>
  </si>
  <si>
    <t>id_361</t>
  </si>
  <si>
    <t>id_362</t>
  </si>
  <si>
    <t>id_363</t>
  </si>
  <si>
    <t>id_364</t>
  </si>
  <si>
    <t>id_365</t>
  </si>
  <si>
    <t>id_366</t>
  </si>
  <si>
    <t>id_367</t>
  </si>
  <si>
    <t>id_368</t>
  </si>
  <si>
    <t>id_369</t>
  </si>
  <si>
    <t>id_370</t>
  </si>
  <si>
    <t>id_371</t>
  </si>
  <si>
    <t>id_372</t>
  </si>
  <si>
    <t>id_373</t>
  </si>
  <si>
    <t>id_374</t>
  </si>
  <si>
    <t>id_375</t>
  </si>
  <si>
    <t>id_376</t>
  </si>
  <si>
    <t>R?walpindi</t>
  </si>
  <si>
    <t>id_377</t>
  </si>
  <si>
    <t>id_378</t>
  </si>
  <si>
    <t>id_379</t>
  </si>
  <si>
    <t>id_380</t>
  </si>
  <si>
    <t>id_381</t>
  </si>
  <si>
    <t>id_382</t>
  </si>
  <si>
    <t>id_383</t>
  </si>
  <si>
    <t>id_384</t>
  </si>
  <si>
    <t>id_385</t>
  </si>
  <si>
    <t>id_386</t>
  </si>
  <si>
    <t>id_387</t>
  </si>
  <si>
    <t>id_388</t>
  </si>
  <si>
    <t>Noorpur Shahan</t>
  </si>
  <si>
    <t>id_389</t>
  </si>
  <si>
    <t>id_390</t>
  </si>
  <si>
    <t>id_391</t>
  </si>
  <si>
    <t>id_392</t>
  </si>
  <si>
    <t>id_393</t>
  </si>
  <si>
    <t>id_394</t>
  </si>
  <si>
    <t>id_395</t>
  </si>
  <si>
    <t>Heritage Pines</t>
  </si>
  <si>
    <t>id_396</t>
  </si>
  <si>
    <t>id_397</t>
  </si>
  <si>
    <t>id_398</t>
  </si>
  <si>
    <t>id_399</t>
  </si>
  <si>
    <t>id_400</t>
  </si>
  <si>
    <t>id_401</t>
  </si>
  <si>
    <t>id_402</t>
  </si>
  <si>
    <t>id_403</t>
  </si>
  <si>
    <t>id_404</t>
  </si>
  <si>
    <t>id_405</t>
  </si>
  <si>
    <t>id_406</t>
  </si>
  <si>
    <t>Waverly Place</t>
  </si>
  <si>
    <t>id_407</t>
  </si>
  <si>
    <t>id_408</t>
  </si>
  <si>
    <t>id_409</t>
  </si>
  <si>
    <t>id_410</t>
  </si>
  <si>
    <t>id_411</t>
  </si>
  <si>
    <t>id_412</t>
  </si>
  <si>
    <t>id_413</t>
  </si>
  <si>
    <t>Wayne Ridge</t>
  </si>
  <si>
    <t>id_414</t>
  </si>
  <si>
    <t>id_415</t>
  </si>
  <si>
    <t>id_416</t>
  </si>
  <si>
    <t>id_417</t>
  </si>
  <si>
    <t>id_418</t>
  </si>
  <si>
    <t>id_419</t>
  </si>
  <si>
    <t>id_420</t>
  </si>
  <si>
    <t>id_421</t>
  </si>
  <si>
    <t>id_422</t>
  </si>
  <si>
    <t>id_423</t>
  </si>
  <si>
    <t>id_424</t>
  </si>
  <si>
    <t>id_425</t>
  </si>
  <si>
    <t>id_426</t>
  </si>
  <si>
    <t>Depot Historic District</t>
  </si>
  <si>
    <t>id_427</t>
  </si>
  <si>
    <t>id_428</t>
  </si>
  <si>
    <t>id_429</t>
  </si>
  <si>
    <t>id_430</t>
  </si>
  <si>
    <t>id_431</t>
  </si>
  <si>
    <t>Weston</t>
  </si>
  <si>
    <t>id_432</t>
  </si>
  <si>
    <t>id_433</t>
  </si>
  <si>
    <t>id_434</t>
  </si>
  <si>
    <t>id_435</t>
  </si>
  <si>
    <t>id_436</t>
  </si>
  <si>
    <t>id_437</t>
  </si>
  <si>
    <t>id_438</t>
  </si>
  <si>
    <t>id_439</t>
  </si>
  <si>
    <t>id_440</t>
  </si>
  <si>
    <t>id_441</t>
  </si>
  <si>
    <t>id_442</t>
  </si>
  <si>
    <t>id_443</t>
  </si>
  <si>
    <t>id_444</t>
  </si>
  <si>
    <t>id_445</t>
  </si>
  <si>
    <t>East Austin</t>
  </si>
  <si>
    <t>West University</t>
  </si>
  <si>
    <t>id_446</t>
  </si>
  <si>
    <t>South Congress</t>
  </si>
  <si>
    <t>id_447</t>
  </si>
  <si>
    <t>Arts District</t>
  </si>
  <si>
    <t>id_448</t>
  </si>
  <si>
    <t>The Drag</t>
  </si>
  <si>
    <t>Congress Ave District</t>
  </si>
  <si>
    <t>id_449</t>
  </si>
  <si>
    <t>id_450</t>
  </si>
  <si>
    <t>Red River District</t>
  </si>
  <si>
    <t>id_451</t>
  </si>
  <si>
    <t>id_452</t>
  </si>
  <si>
    <t>id_453</t>
  </si>
  <si>
    <t>id_454</t>
  </si>
  <si>
    <t>id_455</t>
  </si>
  <si>
    <t>Convention Center District</t>
  </si>
  <si>
    <t>id_456</t>
  </si>
  <si>
    <t>North Austin</t>
  </si>
  <si>
    <t>id_457</t>
  </si>
  <si>
    <t>Georgian Acres</t>
  </si>
  <si>
    <t>id_458</t>
  </si>
  <si>
    <t>id_459</t>
  </si>
  <si>
    <t>Coxville</t>
  </si>
  <si>
    <t>id_460</t>
  </si>
  <si>
    <t>id_461</t>
  </si>
  <si>
    <t>id_462</t>
  </si>
  <si>
    <t>id_463</t>
  </si>
  <si>
    <t>id_464</t>
  </si>
  <si>
    <t>id_465</t>
  </si>
  <si>
    <t>id_466</t>
  </si>
  <si>
    <t>id_467</t>
  </si>
  <si>
    <t>id_468</t>
  </si>
  <si>
    <t>id_469</t>
  </si>
  <si>
    <t>Austin</t>
  </si>
  <si>
    <t>Katy</t>
  </si>
  <si>
    <t>id_470</t>
  </si>
  <si>
    <t>id_471</t>
  </si>
  <si>
    <t>Alief</t>
  </si>
  <si>
    <t>id_472</t>
  </si>
  <si>
    <t>id_473</t>
  </si>
  <si>
    <t>id_474</t>
  </si>
  <si>
    <t>Sharpstown</t>
  </si>
  <si>
    <t>id_475</t>
  </si>
  <si>
    <t>id_476</t>
  </si>
  <si>
    <t>id_477</t>
  </si>
  <si>
    <t>id_478</t>
  </si>
  <si>
    <t>id_479</t>
  </si>
  <si>
    <t>id_480</t>
  </si>
  <si>
    <t>id_481</t>
  </si>
  <si>
    <t>Sugar Land</t>
  </si>
  <si>
    <t>id_482</t>
  </si>
  <si>
    <t>id_483</t>
  </si>
  <si>
    <t>Galveston</t>
  </si>
  <si>
    <t>id_484</t>
  </si>
  <si>
    <t>Port Bolivar</t>
  </si>
  <si>
    <t>id_485</t>
  </si>
  <si>
    <t>id_486</t>
  </si>
  <si>
    <t>id_487</t>
  </si>
  <si>
    <t>id_488</t>
  </si>
  <si>
    <t>id_489</t>
  </si>
  <si>
    <t>Washington Avenue</t>
  </si>
  <si>
    <t>id_490</t>
  </si>
  <si>
    <t>id_491</t>
  </si>
  <si>
    <t>id_492</t>
  </si>
  <si>
    <t>Briar Meadow</t>
  </si>
  <si>
    <t>id_493</t>
  </si>
  <si>
    <t>id_494</t>
  </si>
  <si>
    <t>id_495</t>
  </si>
  <si>
    <t>id_496</t>
  </si>
  <si>
    <t>id_497</t>
  </si>
  <si>
    <t>id_498</t>
  </si>
  <si>
    <t>Greater Greenspoint</t>
  </si>
  <si>
    <t>id_499</t>
  </si>
  <si>
    <t>id_500</t>
  </si>
  <si>
    <t>id_501</t>
  </si>
  <si>
    <t>id_502</t>
  </si>
  <si>
    <t>id_503</t>
  </si>
  <si>
    <t>id_504</t>
  </si>
  <si>
    <t>id_505</t>
  </si>
  <si>
    <t>Latta</t>
  </si>
  <si>
    <t>id_506</t>
  </si>
  <si>
    <t>Jacksonville</t>
  </si>
  <si>
    <t>id_507</t>
  </si>
  <si>
    <t>Kissimmee</t>
  </si>
  <si>
    <t>id_508</t>
  </si>
  <si>
    <t>Couples Glen</t>
  </si>
  <si>
    <t>Isles of Buena Vista</t>
  </si>
  <si>
    <t>id_509</t>
  </si>
  <si>
    <t>Orlando</t>
  </si>
  <si>
    <t>id_510</t>
  </si>
  <si>
    <t>Lake Reams</t>
  </si>
  <si>
    <t>id_511</t>
  </si>
  <si>
    <t>id_512</t>
  </si>
  <si>
    <t>id_513</t>
  </si>
  <si>
    <t>id_514</t>
  </si>
  <si>
    <t>id_515</t>
  </si>
  <si>
    <t>id_516</t>
  </si>
  <si>
    <t>id_517</t>
  </si>
  <si>
    <t>Vista East</t>
  </si>
  <si>
    <t>id_518</t>
  </si>
  <si>
    <t>id_519</t>
  </si>
  <si>
    <t>id_520</t>
  </si>
  <si>
    <t>Sand Lake Commons</t>
  </si>
  <si>
    <t>Sky Lake</t>
  </si>
  <si>
    <t>id_521</t>
  </si>
  <si>
    <t>id_522</t>
  </si>
  <si>
    <t>id_523</t>
  </si>
  <si>
    <t>id_524</t>
  </si>
  <si>
    <t>id_525</t>
  </si>
  <si>
    <t>id_526</t>
  </si>
  <si>
    <t>id_527</t>
  </si>
  <si>
    <t>id_528</t>
  </si>
  <si>
    <t>id_529</t>
  </si>
  <si>
    <t>id_530</t>
  </si>
  <si>
    <t>id_531</t>
  </si>
  <si>
    <t>id_532</t>
  </si>
  <si>
    <t>Daytona Beach</t>
  </si>
  <si>
    <t>id_533</t>
  </si>
  <si>
    <t>id_534</t>
  </si>
  <si>
    <t>Ridgeland</t>
  </si>
  <si>
    <t>id_535</t>
  </si>
  <si>
    <t>Florence</t>
  </si>
  <si>
    <t>id_536</t>
  </si>
  <si>
    <t>id_537</t>
  </si>
  <si>
    <t>id_538</t>
  </si>
  <si>
    <t>id_539</t>
  </si>
  <si>
    <t>id_540</t>
  </si>
  <si>
    <t>id_541</t>
  </si>
  <si>
    <t>id_542</t>
  </si>
  <si>
    <t>id_543</t>
  </si>
  <si>
    <t>id_544</t>
  </si>
  <si>
    <t>id_545</t>
  </si>
  <si>
    <t>id_546</t>
  </si>
  <si>
    <t>id_547</t>
  </si>
  <si>
    <t>id_548</t>
  </si>
  <si>
    <t>Meredith</t>
  </si>
  <si>
    <t>Cedar Hill</t>
  </si>
  <si>
    <t>id_549</t>
  </si>
  <si>
    <t>id_550</t>
  </si>
  <si>
    <t>id_551</t>
  </si>
  <si>
    <t>Holly Springs</t>
  </si>
  <si>
    <t>id_552</t>
  </si>
  <si>
    <t>id_553</t>
  </si>
  <si>
    <t>id_554</t>
  </si>
  <si>
    <t>Harden Place</t>
  </si>
  <si>
    <t>id_555</t>
  </si>
  <si>
    <t>id_556</t>
  </si>
  <si>
    <t>id_557</t>
  </si>
  <si>
    <t>id_558</t>
  </si>
  <si>
    <t>id_559</t>
  </si>
  <si>
    <t>id_560</t>
  </si>
  <si>
    <t>id_561</t>
  </si>
  <si>
    <t>id_562</t>
  </si>
  <si>
    <t>id_563</t>
  </si>
  <si>
    <t>id_564</t>
  </si>
  <si>
    <t>id_565</t>
  </si>
  <si>
    <t>id_566</t>
  </si>
  <si>
    <t>id_567</t>
  </si>
  <si>
    <t>Chessington</t>
  </si>
  <si>
    <t>id_568</t>
  </si>
  <si>
    <t>id_569</t>
  </si>
  <si>
    <t>Burtrose</t>
  </si>
  <si>
    <t>id_570</t>
  </si>
  <si>
    <t>id_571</t>
  </si>
  <si>
    <t>id_572</t>
  </si>
  <si>
    <t>id_573</t>
  </si>
  <si>
    <t>id_574</t>
  </si>
  <si>
    <t>id_575</t>
  </si>
  <si>
    <t>id_576</t>
  </si>
  <si>
    <t>id_577</t>
  </si>
  <si>
    <t>id_578</t>
  </si>
  <si>
    <t>id_579</t>
  </si>
  <si>
    <t>id_580</t>
  </si>
  <si>
    <t>id_581</t>
  </si>
  <si>
    <t>id_582</t>
  </si>
  <si>
    <t>id_583</t>
  </si>
  <si>
    <t>Parkway</t>
  </si>
  <si>
    <t>id_584</t>
  </si>
  <si>
    <t>id_585</t>
  </si>
  <si>
    <t>id_586</t>
  </si>
  <si>
    <t>id_587</t>
  </si>
  <si>
    <t>id_588</t>
  </si>
  <si>
    <t>id_589</t>
  </si>
  <si>
    <t>Mcvan</t>
  </si>
  <si>
    <t>Capitol One</t>
  </si>
  <si>
    <t>id_590</t>
  </si>
  <si>
    <t>University District</t>
  </si>
  <si>
    <t>id_591</t>
  </si>
  <si>
    <t>id_592</t>
  </si>
  <si>
    <t>Seattle</t>
  </si>
  <si>
    <t>Redmond</t>
  </si>
  <si>
    <t>id_593</t>
  </si>
  <si>
    <t>Bellevue</t>
  </si>
  <si>
    <t>id_594</t>
  </si>
  <si>
    <t>id_595</t>
  </si>
  <si>
    <t>id_596</t>
  </si>
  <si>
    <t>id_597</t>
  </si>
  <si>
    <t>id_598</t>
  </si>
  <si>
    <t>id_599</t>
  </si>
  <si>
    <t>San Francisco</t>
  </si>
  <si>
    <t>Palo Alto</t>
  </si>
  <si>
    <t>id_600</t>
  </si>
  <si>
    <t>Sunnyvale</t>
  </si>
  <si>
    <t>id_601</t>
  </si>
  <si>
    <t>Newark</t>
  </si>
  <si>
    <t>id_602</t>
  </si>
  <si>
    <t>Menlo Park</t>
  </si>
  <si>
    <t>id_603</t>
  </si>
  <si>
    <t>id_604</t>
  </si>
  <si>
    <t>id_605</t>
  </si>
  <si>
    <t>id_606</t>
  </si>
  <si>
    <t>id_607</t>
  </si>
  <si>
    <t>id_608</t>
  </si>
  <si>
    <t>id_609</t>
  </si>
  <si>
    <t>id_610</t>
  </si>
  <si>
    <t>id_611</t>
  </si>
  <si>
    <t>id_612</t>
  </si>
  <si>
    <t>id_613</t>
  </si>
  <si>
    <t>Old City</t>
  </si>
  <si>
    <t>Parkway Museums</t>
  </si>
  <si>
    <t>id_614</t>
  </si>
  <si>
    <t>Hog Island</t>
  </si>
  <si>
    <t>id_615</t>
  </si>
  <si>
    <t>id_616</t>
  </si>
  <si>
    <t>id_617</t>
  </si>
  <si>
    <t>id_618</t>
  </si>
  <si>
    <t>Savon Height</t>
  </si>
  <si>
    <t>id_619</t>
  </si>
  <si>
    <t>id_620</t>
  </si>
  <si>
    <t>Kildaire Farms</t>
  </si>
  <si>
    <t>id_621</t>
  </si>
  <si>
    <t>Kilarney Woods</t>
  </si>
  <si>
    <t>id_622</t>
  </si>
  <si>
    <t>id_623</t>
  </si>
  <si>
    <t>id_624</t>
  </si>
  <si>
    <t>id_625</t>
  </si>
  <si>
    <t>id_626</t>
  </si>
  <si>
    <t>id_627</t>
  </si>
  <si>
    <t>id_628</t>
  </si>
  <si>
    <t>id_629</t>
  </si>
  <si>
    <t>id_630</t>
  </si>
  <si>
    <t>id_631</t>
  </si>
  <si>
    <t>id_632</t>
  </si>
  <si>
    <t>id_633</t>
  </si>
  <si>
    <t>id_634</t>
  </si>
  <si>
    <t>Townes at Everett Crossing</t>
  </si>
  <si>
    <t>id_635</t>
  </si>
  <si>
    <t>id_636</t>
  </si>
  <si>
    <t>Huntington Woods</t>
  </si>
  <si>
    <t>id_637</t>
  </si>
  <si>
    <t>id_638</t>
  </si>
  <si>
    <t>id_639</t>
  </si>
  <si>
    <t>id_640</t>
  </si>
  <si>
    <t>id_641</t>
  </si>
  <si>
    <t>id_642</t>
  </si>
  <si>
    <t>id_643</t>
  </si>
  <si>
    <t>id_644</t>
  </si>
  <si>
    <t>id_645</t>
  </si>
  <si>
    <t>id_646</t>
  </si>
  <si>
    <t>id_647</t>
  </si>
  <si>
    <t>id_648</t>
  </si>
  <si>
    <t>id_649</t>
  </si>
  <si>
    <t>id_650</t>
  </si>
  <si>
    <t>id_651</t>
  </si>
  <si>
    <t>id_652</t>
  </si>
  <si>
    <t>id_653</t>
  </si>
  <si>
    <t>id_654</t>
  </si>
  <si>
    <t>Seaport</t>
  </si>
  <si>
    <t>Gramercy-Flatiron</t>
  </si>
  <si>
    <t>id_655</t>
  </si>
  <si>
    <t>Medical Centre</t>
  </si>
  <si>
    <t>Tudor City</t>
  </si>
  <si>
    <t>id_656</t>
  </si>
  <si>
    <t>Rose Hill</t>
  </si>
  <si>
    <t>Soho</t>
  </si>
  <si>
    <t>id_657</t>
  </si>
  <si>
    <t>Tribeca</t>
  </si>
  <si>
    <t>id_658</t>
  </si>
  <si>
    <t>Financial District</t>
  </si>
  <si>
    <t>id_659</t>
  </si>
  <si>
    <t>Kips Bay</t>
  </si>
  <si>
    <t>id_660</t>
  </si>
  <si>
    <t>id_661</t>
  </si>
  <si>
    <t>id_662</t>
  </si>
  <si>
    <t>id_663</t>
  </si>
  <si>
    <t>id_664</t>
  </si>
  <si>
    <t>id_665</t>
  </si>
  <si>
    <t>id_666</t>
  </si>
  <si>
    <t>id_667</t>
  </si>
  <si>
    <t>id_668</t>
  </si>
  <si>
    <t>id_669</t>
  </si>
  <si>
    <t>id_670</t>
  </si>
  <si>
    <t>id_671</t>
  </si>
  <si>
    <t>id_672</t>
  </si>
  <si>
    <t>Oakland</t>
  </si>
  <si>
    <t>Emeryville</t>
  </si>
  <si>
    <t>id_673</t>
  </si>
  <si>
    <t>Berkeley</t>
  </si>
  <si>
    <t>id_674</t>
  </si>
  <si>
    <t>id_675</t>
  </si>
  <si>
    <t>id_676</t>
  </si>
  <si>
    <t>id_677</t>
  </si>
  <si>
    <t>id_678</t>
  </si>
  <si>
    <t>id_679</t>
  </si>
  <si>
    <t>Bay Farm Island</t>
  </si>
  <si>
    <t>id_680</t>
  </si>
  <si>
    <t>Kenner</t>
  </si>
  <si>
    <t>New Orleans</t>
  </si>
  <si>
    <t>id_681</t>
  </si>
  <si>
    <t>CBD</t>
  </si>
  <si>
    <t>Lower Garden District</t>
  </si>
  <si>
    <t>id_682</t>
  </si>
  <si>
    <t>Lakeview</t>
  </si>
  <si>
    <t>id_683</t>
  </si>
  <si>
    <t>Storyville</t>
  </si>
  <si>
    <t>id_684</t>
  </si>
  <si>
    <t>Faubourg Marigny</t>
  </si>
  <si>
    <t>id_685</t>
  </si>
  <si>
    <t>Metairie</t>
  </si>
  <si>
    <t>id_686</t>
  </si>
  <si>
    <t>id_687</t>
  </si>
  <si>
    <t>id_688</t>
  </si>
  <si>
    <t>id_689</t>
  </si>
  <si>
    <t>id_690</t>
  </si>
  <si>
    <t>id_691</t>
  </si>
  <si>
    <t>id_692</t>
  </si>
  <si>
    <t>id_693</t>
  </si>
  <si>
    <t>id_694</t>
  </si>
  <si>
    <t>id_695</t>
  </si>
  <si>
    <t>id_696</t>
  </si>
  <si>
    <t>id_697</t>
  </si>
  <si>
    <t>id_698</t>
  </si>
  <si>
    <t>id_699</t>
  </si>
  <si>
    <t>id_700</t>
  </si>
  <si>
    <t>id_701</t>
  </si>
  <si>
    <t>id_702</t>
  </si>
  <si>
    <t>id_703</t>
  </si>
  <si>
    <t>Bywater</t>
  </si>
  <si>
    <t>id_704</t>
  </si>
  <si>
    <t>Chalmette</t>
  </si>
  <si>
    <t>id_705</t>
  </si>
  <si>
    <t>Arabi</t>
  </si>
  <si>
    <t>id_706</t>
  </si>
  <si>
    <t>id_707</t>
  </si>
  <si>
    <t>Pontchartrain Shores</t>
  </si>
  <si>
    <t>id_708</t>
  </si>
  <si>
    <t>id_709</t>
  </si>
  <si>
    <t>Marigny</t>
  </si>
  <si>
    <t>id_710</t>
  </si>
  <si>
    <t>id_711</t>
  </si>
  <si>
    <t>id_712</t>
  </si>
  <si>
    <t>id_713</t>
  </si>
  <si>
    <t>id_714</t>
  </si>
  <si>
    <t>id_715</t>
  </si>
  <si>
    <t>Covington</t>
  </si>
  <si>
    <t>id_716</t>
  </si>
  <si>
    <t>id_717</t>
  </si>
  <si>
    <t>id_718</t>
  </si>
  <si>
    <t>id_719</t>
  </si>
  <si>
    <t>id_720</t>
  </si>
  <si>
    <t>id_721</t>
  </si>
  <si>
    <t>Mandeville</t>
  </si>
  <si>
    <t>id_722</t>
  </si>
  <si>
    <t>id_723</t>
  </si>
  <si>
    <t>id_724</t>
  </si>
  <si>
    <t>id_725</t>
  </si>
  <si>
    <t>id_726</t>
  </si>
  <si>
    <t>id_727</t>
  </si>
  <si>
    <t>id_728</t>
  </si>
  <si>
    <t>id_729</t>
  </si>
  <si>
    <t>id_730</t>
  </si>
  <si>
    <t>id_731</t>
  </si>
  <si>
    <t>id_732</t>
  </si>
  <si>
    <t>id_733</t>
  </si>
  <si>
    <t>id_734</t>
  </si>
  <si>
    <t>id_735</t>
  </si>
  <si>
    <t>id_736</t>
  </si>
  <si>
    <t>id_737</t>
  </si>
  <si>
    <t>id_738</t>
  </si>
  <si>
    <t>id_739</t>
  </si>
  <si>
    <t>id_740</t>
  </si>
  <si>
    <t>id_741</t>
  </si>
  <si>
    <t>id_742</t>
  </si>
  <si>
    <t>id_743</t>
  </si>
  <si>
    <t>id_744</t>
  </si>
  <si>
    <t>id_745</t>
  </si>
  <si>
    <t>id_746</t>
  </si>
  <si>
    <t>id_747</t>
  </si>
  <si>
    <t>id_748</t>
  </si>
  <si>
    <t>Summerwinds</t>
  </si>
  <si>
    <t>id_749</t>
  </si>
  <si>
    <t>id_750</t>
  </si>
  <si>
    <t>id_751</t>
  </si>
  <si>
    <t>Parkwood</t>
  </si>
  <si>
    <t>id_752</t>
  </si>
  <si>
    <t>id_753</t>
  </si>
  <si>
    <t>id_754</t>
  </si>
  <si>
    <t>id_755</t>
  </si>
  <si>
    <t>id_756</t>
  </si>
  <si>
    <t>id_757</t>
  </si>
  <si>
    <t>id_758</t>
  </si>
  <si>
    <t>id_759</t>
  </si>
  <si>
    <t>id_760</t>
  </si>
  <si>
    <t>id_761</t>
  </si>
  <si>
    <t>id_762</t>
  </si>
  <si>
    <t>id_763</t>
  </si>
  <si>
    <t>id_764</t>
  </si>
  <si>
    <t>Pontchartrain Beach</t>
  </si>
  <si>
    <t>id_765</t>
  </si>
  <si>
    <t>id_766</t>
  </si>
  <si>
    <t>id_767</t>
  </si>
  <si>
    <t>id_768</t>
  </si>
  <si>
    <t>id_769</t>
  </si>
  <si>
    <t>id_770</t>
  </si>
  <si>
    <t>id_771</t>
  </si>
  <si>
    <t>St Thomas</t>
  </si>
  <si>
    <t>id_772</t>
  </si>
  <si>
    <t>id_773</t>
  </si>
  <si>
    <t>id_774</t>
  </si>
  <si>
    <t>id_775</t>
  </si>
  <si>
    <t>id_776</t>
  </si>
  <si>
    <t>id_777</t>
  </si>
  <si>
    <t>id_778</t>
  </si>
  <si>
    <t>id_779</t>
  </si>
  <si>
    <t>id_780</t>
  </si>
  <si>
    <t>id_781</t>
  </si>
  <si>
    <t>id_782</t>
  </si>
  <si>
    <t>id_783</t>
  </si>
  <si>
    <t>Banner Elk</t>
  </si>
  <si>
    <t>id_784</t>
  </si>
  <si>
    <t>id_785</t>
  </si>
  <si>
    <t>id_786</t>
  </si>
  <si>
    <t>Elk Park</t>
  </si>
  <si>
    <t>id_787</t>
  </si>
  <si>
    <t>id_788</t>
  </si>
  <si>
    <t>id_789</t>
  </si>
  <si>
    <t>Newland</t>
  </si>
  <si>
    <t>id_790</t>
  </si>
  <si>
    <t>id_791</t>
  </si>
  <si>
    <t>Boone</t>
  </si>
  <si>
    <t>id_792</t>
  </si>
  <si>
    <t>id_793</t>
  </si>
  <si>
    <t>id_794</t>
  </si>
  <si>
    <t>id_795</t>
  </si>
  <si>
    <t>id_796</t>
  </si>
  <si>
    <t>id_797</t>
  </si>
  <si>
    <t>id_798</t>
  </si>
  <si>
    <t>id_799</t>
  </si>
  <si>
    <t>id_800</t>
  </si>
  <si>
    <t>id_801</t>
  </si>
  <si>
    <t>id_802</t>
  </si>
  <si>
    <t>id_803</t>
  </si>
  <si>
    <t>id_804</t>
  </si>
  <si>
    <t>id_805</t>
  </si>
  <si>
    <t>id_806</t>
  </si>
  <si>
    <t>Stonewater</t>
  </si>
  <si>
    <t>id_807</t>
  </si>
  <si>
    <t>Lexington Park at Amberly</t>
  </si>
  <si>
    <t>id_808</t>
  </si>
  <si>
    <t>id_809</t>
  </si>
  <si>
    <t>id_810</t>
  </si>
  <si>
    <t>id_811</t>
  </si>
  <si>
    <t>id_812</t>
  </si>
  <si>
    <t>id_813</t>
  </si>
  <si>
    <t>id_814</t>
  </si>
  <si>
    <t>id_815</t>
  </si>
  <si>
    <t>id_816</t>
  </si>
  <si>
    <t>id_817</t>
  </si>
  <si>
    <t>id_818</t>
  </si>
  <si>
    <t>id_819</t>
  </si>
  <si>
    <t>id_820</t>
  </si>
  <si>
    <t>id_821</t>
  </si>
  <si>
    <t>id_822</t>
  </si>
  <si>
    <t>id_823</t>
  </si>
  <si>
    <t>id_824</t>
  </si>
  <si>
    <t>id_825</t>
  </si>
  <si>
    <t>id_826</t>
  </si>
  <si>
    <t>id_827</t>
  </si>
  <si>
    <t>id_828</t>
  </si>
  <si>
    <t>id_829</t>
  </si>
  <si>
    <t>id_830</t>
  </si>
  <si>
    <t>id_831</t>
  </si>
  <si>
    <t>id_832</t>
  </si>
  <si>
    <t>id_833</t>
  </si>
  <si>
    <t>id_834</t>
  </si>
  <si>
    <t>id_835</t>
  </si>
  <si>
    <t>id_836</t>
  </si>
  <si>
    <t>id_837</t>
  </si>
  <si>
    <t>id_838</t>
  </si>
  <si>
    <t>id_839</t>
  </si>
  <si>
    <t>id_840</t>
  </si>
  <si>
    <t>id_841</t>
  </si>
  <si>
    <t>id_842</t>
  </si>
  <si>
    <t>id_843</t>
  </si>
  <si>
    <t>id_844</t>
  </si>
  <si>
    <t>id_845</t>
  </si>
  <si>
    <t>id_846</t>
  </si>
  <si>
    <t>id_847</t>
  </si>
  <si>
    <t>id_848</t>
  </si>
  <si>
    <t>id_849</t>
  </si>
  <si>
    <t>Arlington Park at Amberly</t>
  </si>
  <si>
    <t>id_850</t>
  </si>
  <si>
    <t>id_851</t>
  </si>
  <si>
    <t>id_852</t>
  </si>
  <si>
    <t>id_853</t>
  </si>
  <si>
    <t>id_854</t>
  </si>
  <si>
    <t>id_855</t>
  </si>
  <si>
    <t>id_856</t>
  </si>
  <si>
    <t>id_857</t>
  </si>
  <si>
    <t>id_858</t>
  </si>
  <si>
    <t>Arlington</t>
  </si>
  <si>
    <t>Washington</t>
  </si>
  <si>
    <t>id_859</t>
  </si>
  <si>
    <t>Kalorama Triangle</t>
  </si>
  <si>
    <t>K Street</t>
  </si>
  <si>
    <t>id_860</t>
  </si>
  <si>
    <t>id_861</t>
  </si>
  <si>
    <t>West End</t>
  </si>
  <si>
    <t>Northwest Rectangle</t>
  </si>
  <si>
    <t>id_862</t>
  </si>
  <si>
    <t>id_863</t>
  </si>
  <si>
    <t>id_864</t>
  </si>
  <si>
    <t>Connecticut Avenue</t>
  </si>
  <si>
    <t>id_865</t>
  </si>
  <si>
    <t>Columbia Heights</t>
  </si>
  <si>
    <t>id_866</t>
  </si>
  <si>
    <t>id_867</t>
  </si>
  <si>
    <t>id_868</t>
  </si>
  <si>
    <t>id_869</t>
  </si>
  <si>
    <t>id_870</t>
  </si>
  <si>
    <t>id_871</t>
  </si>
  <si>
    <t>id_872</t>
  </si>
  <si>
    <t>id_873</t>
  </si>
  <si>
    <t>id_874</t>
  </si>
  <si>
    <t>id_875</t>
  </si>
  <si>
    <t>id_876</t>
  </si>
  <si>
    <t>id_877</t>
  </si>
  <si>
    <t>id_878</t>
  </si>
  <si>
    <t>id_879</t>
  </si>
  <si>
    <t>id_880</t>
  </si>
  <si>
    <t>id_881</t>
  </si>
  <si>
    <t>id_882</t>
  </si>
  <si>
    <t>id_883</t>
  </si>
  <si>
    <t>id_884</t>
  </si>
  <si>
    <t>id_885</t>
  </si>
  <si>
    <t>id_886</t>
  </si>
  <si>
    <t>id_887</t>
  </si>
  <si>
    <t>id_888</t>
  </si>
  <si>
    <t>Wake Forest</t>
  </si>
  <si>
    <t>id_889</t>
  </si>
  <si>
    <t>id_890</t>
  </si>
  <si>
    <t>id_891</t>
  </si>
  <si>
    <t>id_892</t>
  </si>
  <si>
    <t>id_893</t>
  </si>
  <si>
    <t>id_894</t>
  </si>
  <si>
    <t>id_895</t>
  </si>
  <si>
    <t>id_896</t>
  </si>
  <si>
    <t>id_897</t>
  </si>
  <si>
    <t>id_898</t>
  </si>
  <si>
    <t>id_899</t>
  </si>
  <si>
    <t>id_900</t>
  </si>
  <si>
    <t>id_901</t>
  </si>
  <si>
    <t>id_902</t>
  </si>
  <si>
    <t>id_903</t>
  </si>
  <si>
    <t>id_904</t>
  </si>
  <si>
    <t>id_905</t>
  </si>
  <si>
    <t>id_906</t>
  </si>
  <si>
    <t>id_907</t>
  </si>
  <si>
    <t>id_908</t>
  </si>
  <si>
    <t>id_909</t>
  </si>
  <si>
    <t>id_910</t>
  </si>
  <si>
    <t>id_911</t>
  </si>
  <si>
    <t>id_912</t>
  </si>
  <si>
    <t>id_913</t>
  </si>
  <si>
    <t>id_914</t>
  </si>
  <si>
    <t>id_915</t>
  </si>
  <si>
    <t>id_916</t>
  </si>
  <si>
    <t>id_917</t>
  </si>
  <si>
    <t>id_918</t>
  </si>
  <si>
    <t>id_919</t>
  </si>
  <si>
    <t>id_920</t>
  </si>
  <si>
    <t>id_921</t>
  </si>
  <si>
    <t>id_922</t>
  </si>
  <si>
    <t>id_923</t>
  </si>
  <si>
    <t>id_924</t>
  </si>
  <si>
    <t>id_925</t>
  </si>
  <si>
    <t>id_926</t>
  </si>
  <si>
    <t>id_927</t>
  </si>
  <si>
    <t>id_928</t>
  </si>
  <si>
    <t>id_929</t>
  </si>
  <si>
    <t>id_930</t>
  </si>
  <si>
    <t>id_931</t>
  </si>
  <si>
    <t>id_932</t>
  </si>
  <si>
    <t>id_933</t>
  </si>
  <si>
    <t>id_934</t>
  </si>
  <si>
    <t>id_935</t>
  </si>
  <si>
    <t>id_936</t>
  </si>
  <si>
    <t>id_937</t>
  </si>
  <si>
    <t>id_938</t>
  </si>
  <si>
    <t>id_939</t>
  </si>
  <si>
    <t>id_940</t>
  </si>
  <si>
    <t>id_941</t>
  </si>
  <si>
    <t>id_942</t>
  </si>
  <si>
    <t>id_943</t>
  </si>
  <si>
    <t>id_944</t>
  </si>
  <si>
    <t>id_945</t>
  </si>
  <si>
    <t>id_946</t>
  </si>
  <si>
    <t>id_947</t>
  </si>
  <si>
    <t>id_948</t>
  </si>
  <si>
    <t>Lahore</t>
  </si>
  <si>
    <t>id_949</t>
  </si>
  <si>
    <t>id_950</t>
  </si>
  <si>
    <t>id_951</t>
  </si>
  <si>
    <t>id_952</t>
  </si>
  <si>
    <t>id_953</t>
  </si>
  <si>
    <t>id_954</t>
  </si>
  <si>
    <t>id_955</t>
  </si>
  <si>
    <t>id_956</t>
  </si>
  <si>
    <t>id_957</t>
  </si>
  <si>
    <t>id_958</t>
  </si>
  <si>
    <t>id_959</t>
  </si>
  <si>
    <t>id_960</t>
  </si>
  <si>
    <t>id_961</t>
  </si>
  <si>
    <t>id_962</t>
  </si>
  <si>
    <t>id_963</t>
  </si>
  <si>
    <t>id_964</t>
  </si>
  <si>
    <t>id_965</t>
  </si>
  <si>
    <t>id_966</t>
  </si>
  <si>
    <t>id_967</t>
  </si>
  <si>
    <t>id_968</t>
  </si>
  <si>
    <t>id_969</t>
  </si>
  <si>
    <t>id_970</t>
  </si>
  <si>
    <t>id_971</t>
  </si>
  <si>
    <t>id_972</t>
  </si>
  <si>
    <t>id_973</t>
  </si>
  <si>
    <t>id_974</t>
  </si>
  <si>
    <t>id_975</t>
  </si>
  <si>
    <t>id_976</t>
  </si>
  <si>
    <t>id_977</t>
  </si>
  <si>
    <t>id_978</t>
  </si>
  <si>
    <t>id_979</t>
  </si>
  <si>
    <t>id_980</t>
  </si>
  <si>
    <t>id_981</t>
  </si>
  <si>
    <t>id_982</t>
  </si>
  <si>
    <t>id_983</t>
  </si>
  <si>
    <t>id_984</t>
  </si>
  <si>
    <t>id_985</t>
  </si>
  <si>
    <t>id_986</t>
  </si>
  <si>
    <t>id_987</t>
  </si>
  <si>
    <t>id_989</t>
  </si>
  <si>
    <t>id_990</t>
  </si>
  <si>
    <t>id_991</t>
  </si>
  <si>
    <t>id_992</t>
  </si>
  <si>
    <t>id_993</t>
  </si>
  <si>
    <t>id_994</t>
  </si>
  <si>
    <t>id_995</t>
  </si>
  <si>
    <t>id_996</t>
  </si>
  <si>
    <t>id_997</t>
  </si>
  <si>
    <t>id_999</t>
  </si>
  <si>
    <t>id_1000</t>
  </si>
  <si>
    <t>id_1001</t>
  </si>
  <si>
    <t>id_1002</t>
  </si>
  <si>
    <t>id_1003</t>
  </si>
  <si>
    <t>id_1004</t>
  </si>
  <si>
    <t>id_1005</t>
  </si>
  <si>
    <t>id_1006</t>
  </si>
  <si>
    <t>id_1007</t>
  </si>
  <si>
    <t>Karachi</t>
  </si>
  <si>
    <t>id_1008</t>
  </si>
  <si>
    <t>id_1009</t>
  </si>
  <si>
    <t>id_1010</t>
  </si>
  <si>
    <t>id_1011</t>
  </si>
  <si>
    <t>id_1012</t>
  </si>
  <si>
    <t>id_1013</t>
  </si>
  <si>
    <t>id_1014</t>
  </si>
  <si>
    <t>id_1015</t>
  </si>
  <si>
    <t>id_1016</t>
  </si>
  <si>
    <t>id_1017</t>
  </si>
  <si>
    <t>id_1018</t>
  </si>
  <si>
    <t>id_1019</t>
  </si>
  <si>
    <t>id_1020</t>
  </si>
  <si>
    <t>id_1021</t>
  </si>
  <si>
    <t>id_1022</t>
  </si>
  <si>
    <t>id_1023</t>
  </si>
  <si>
    <t>id_1024</t>
  </si>
  <si>
    <t>id_1025</t>
  </si>
  <si>
    <t>id_1026</t>
  </si>
  <si>
    <t>id_1027</t>
  </si>
  <si>
    <t>id_1028</t>
  </si>
  <si>
    <t>id_1029</t>
  </si>
  <si>
    <t>id_1030</t>
  </si>
  <si>
    <t>id_1031</t>
  </si>
  <si>
    <t>id_1032</t>
  </si>
  <si>
    <t>id_1033</t>
  </si>
  <si>
    <t>id_1034</t>
  </si>
  <si>
    <t>id_1036</t>
  </si>
  <si>
    <t>id_1037</t>
  </si>
  <si>
    <t>id_1038</t>
  </si>
  <si>
    <t>id_1039</t>
  </si>
  <si>
    <t>id_1040</t>
  </si>
  <si>
    <t>id_1041</t>
  </si>
  <si>
    <t>id_1042</t>
  </si>
  <si>
    <t>id_1043</t>
  </si>
  <si>
    <t>id_1045</t>
  </si>
  <si>
    <t>id_1046</t>
  </si>
  <si>
    <t>id_1047</t>
  </si>
  <si>
    <t>id_1048</t>
  </si>
  <si>
    <t>id_1049</t>
  </si>
  <si>
    <t>id_1050</t>
  </si>
  <si>
    <t>id_1051</t>
  </si>
  <si>
    <t>id_1052</t>
  </si>
  <si>
    <t>id_1053</t>
  </si>
  <si>
    <t>id_1054</t>
  </si>
  <si>
    <t>id_1055</t>
  </si>
  <si>
    <t>id_1056</t>
  </si>
  <si>
    <t>id_1057</t>
  </si>
  <si>
    <t>id_1058</t>
  </si>
  <si>
    <t>id_1059</t>
  </si>
  <si>
    <t>id_1060</t>
  </si>
  <si>
    <t>id_1061</t>
  </si>
  <si>
    <t>id_1062</t>
  </si>
  <si>
    <t>id_1063</t>
  </si>
  <si>
    <t>id_1064</t>
  </si>
  <si>
    <t>id_1065</t>
  </si>
  <si>
    <t>id_1066</t>
  </si>
  <si>
    <t>id_1067</t>
  </si>
  <si>
    <t>id_1068</t>
  </si>
  <si>
    <t>id_1069</t>
  </si>
  <si>
    <t>id_1070</t>
  </si>
  <si>
    <t>id_1071</t>
  </si>
  <si>
    <t>id_1072</t>
  </si>
  <si>
    <t>SOMISSPO</t>
  </si>
  <si>
    <t>French Quarter</t>
  </si>
  <si>
    <t>id_1073</t>
  </si>
  <si>
    <t>id_1074</t>
  </si>
  <si>
    <t>West Berkeley</t>
  </si>
  <si>
    <t>North Berkeley Hills</t>
  </si>
  <si>
    <t>id_1075</t>
  </si>
  <si>
    <t>Southside</t>
  </si>
  <si>
    <t>id_1076</t>
  </si>
  <si>
    <t>id_1077</t>
  </si>
  <si>
    <t>id_1078</t>
  </si>
  <si>
    <t>San Jose</t>
  </si>
  <si>
    <t>id_1079</t>
  </si>
  <si>
    <t>id_1080</t>
  </si>
  <si>
    <t>id_1081</t>
  </si>
  <si>
    <t>id_1082</t>
  </si>
  <si>
    <t>id_1083</t>
  </si>
  <si>
    <t>id_1084</t>
  </si>
  <si>
    <t>id_1085</t>
  </si>
  <si>
    <t>id_1086</t>
  </si>
  <si>
    <t>id_1087</t>
  </si>
  <si>
    <t>id_1088</t>
  </si>
  <si>
    <t>id_1089</t>
  </si>
  <si>
    <t>id_1090</t>
  </si>
  <si>
    <t>id_1091</t>
  </si>
  <si>
    <t>id_1092</t>
  </si>
  <si>
    <t>Eagle Rock</t>
  </si>
  <si>
    <t>id_1093</t>
  </si>
  <si>
    <t>id_1094</t>
  </si>
  <si>
    <t>id_1095</t>
  </si>
  <si>
    <t>id_1096</t>
  </si>
  <si>
    <t>id_1097</t>
  </si>
  <si>
    <t>id_1098</t>
  </si>
  <si>
    <t>id_1099</t>
  </si>
  <si>
    <t>id_1100</t>
  </si>
  <si>
    <t>id_1101</t>
  </si>
  <si>
    <t>id_1102</t>
  </si>
  <si>
    <t>id_1103</t>
  </si>
  <si>
    <t>id_1104</t>
  </si>
  <si>
    <t>id_1105</t>
  </si>
  <si>
    <t>id_1106</t>
  </si>
  <si>
    <t>Winston Salem</t>
  </si>
  <si>
    <t>id_1107</t>
  </si>
  <si>
    <t>Asheville</t>
  </si>
  <si>
    <t>id_1108</t>
  </si>
  <si>
    <t>Topton</t>
  </si>
  <si>
    <t>id_1109</t>
  </si>
  <si>
    <t>Hayesville</t>
  </si>
  <si>
    <t>id_1110</t>
  </si>
  <si>
    <t>id_1111</t>
  </si>
  <si>
    <t>Bryson City</t>
  </si>
  <si>
    <t>id_1112</t>
  </si>
  <si>
    <t>id_1113</t>
  </si>
  <si>
    <t>id_1114</t>
  </si>
  <si>
    <t>id_1115</t>
  </si>
  <si>
    <t>Almond</t>
  </si>
  <si>
    <t>id_1116</t>
  </si>
  <si>
    <t>id_1117</t>
  </si>
  <si>
    <t>id_1118</t>
  </si>
  <si>
    <t>Mebane</t>
  </si>
  <si>
    <t>id_1119</t>
  </si>
  <si>
    <t>id_1120</t>
  </si>
  <si>
    <t>id_1121</t>
  </si>
  <si>
    <t>id_1122</t>
  </si>
  <si>
    <t>id_1123</t>
  </si>
  <si>
    <t>id_1124</t>
  </si>
  <si>
    <t>id_1125</t>
  </si>
  <si>
    <t>id_1126</t>
  </si>
  <si>
    <t>id_1127</t>
  </si>
  <si>
    <t>id_1128</t>
  </si>
  <si>
    <t>id_1129</t>
  </si>
  <si>
    <t>id_1130</t>
  </si>
  <si>
    <t>id_1131</t>
  </si>
  <si>
    <t>id_1132</t>
  </si>
  <si>
    <t>id_1133</t>
  </si>
  <si>
    <t>id_1134</t>
  </si>
  <si>
    <t>id_1135</t>
  </si>
  <si>
    <t>id_1136</t>
  </si>
  <si>
    <t>id_1137</t>
  </si>
  <si>
    <t>id_1138</t>
  </si>
  <si>
    <t>id_1139</t>
  </si>
  <si>
    <t>id_1140</t>
  </si>
  <si>
    <t>id_1141</t>
  </si>
  <si>
    <t>id_1142</t>
  </si>
  <si>
    <t>Santa Clara</t>
  </si>
  <si>
    <t>id_1143</t>
  </si>
  <si>
    <t>Agnew</t>
  </si>
  <si>
    <t>Cory</t>
  </si>
  <si>
    <t>id_1144</t>
  </si>
  <si>
    <t>id_1145</t>
  </si>
  <si>
    <t>Renaissance</t>
  </si>
  <si>
    <t>id_1146</t>
  </si>
  <si>
    <t>id_1147</t>
  </si>
  <si>
    <t>id_1148</t>
  </si>
  <si>
    <t>id_1149</t>
  </si>
  <si>
    <t>id_1150</t>
  </si>
  <si>
    <t>id_1151</t>
  </si>
  <si>
    <t>id_1152</t>
  </si>
  <si>
    <t>Central</t>
  </si>
  <si>
    <t>id_1153</t>
  </si>
  <si>
    <t>id_1154</t>
  </si>
  <si>
    <t>id_1155</t>
  </si>
  <si>
    <t>id_1156</t>
  </si>
  <si>
    <t>id_1157</t>
  </si>
  <si>
    <t>id_1158</t>
  </si>
  <si>
    <t>id_1159</t>
  </si>
  <si>
    <t>id_1160</t>
  </si>
  <si>
    <t>NOMA</t>
  </si>
  <si>
    <t>id_1161</t>
  </si>
  <si>
    <t>Sunnyside</t>
  </si>
  <si>
    <t>id_1162</t>
  </si>
  <si>
    <t>Ingleside</t>
  </si>
  <si>
    <t>id_1163</t>
  </si>
  <si>
    <t>Potrero Flats</t>
  </si>
  <si>
    <t>id_1164</t>
  </si>
  <si>
    <t>id_1165</t>
  </si>
  <si>
    <t>id_1166</t>
  </si>
  <si>
    <t>id_1167</t>
  </si>
  <si>
    <t>id_1168</t>
  </si>
  <si>
    <t>Tenderloin</t>
  </si>
  <si>
    <t>id_1169</t>
  </si>
  <si>
    <t>id_1170</t>
  </si>
  <si>
    <t>id_1171</t>
  </si>
  <si>
    <t>id_1172</t>
  </si>
  <si>
    <t>id_1173</t>
  </si>
  <si>
    <t>id_1174</t>
  </si>
  <si>
    <t>id_1175</t>
  </si>
  <si>
    <t>id_1176</t>
  </si>
  <si>
    <t>id_1177</t>
  </si>
  <si>
    <t>College Avenue</t>
  </si>
  <si>
    <t>id_1178</t>
  </si>
  <si>
    <t>id_1179</t>
  </si>
  <si>
    <t>South</t>
  </si>
  <si>
    <t>id_1180</t>
  </si>
  <si>
    <t>id_1181</t>
  </si>
  <si>
    <t>id_1182</t>
  </si>
  <si>
    <t>id_1183</t>
  </si>
  <si>
    <t>id_1184</t>
  </si>
  <si>
    <t>Southwest Berkeley</t>
  </si>
  <si>
    <t>id_1185</t>
  </si>
  <si>
    <t>id_1186</t>
  </si>
  <si>
    <t>id_1187</t>
  </si>
  <si>
    <t>id_1188</t>
  </si>
  <si>
    <t>id_1189</t>
  </si>
  <si>
    <t>id_1190</t>
  </si>
  <si>
    <t>id_1191</t>
  </si>
  <si>
    <t>id_1192</t>
  </si>
  <si>
    <t>South Berkeley</t>
  </si>
  <si>
    <t>id_1193</t>
  </si>
  <si>
    <t>id_1194</t>
  </si>
  <si>
    <t>id_1195</t>
  </si>
  <si>
    <t>id_1196</t>
  </si>
  <si>
    <t>id_1197</t>
  </si>
  <si>
    <t>Mountain View</t>
  </si>
  <si>
    <t>id_1198</t>
  </si>
  <si>
    <t>id_1199</t>
  </si>
  <si>
    <t>id_1200</t>
  </si>
  <si>
    <t>id_1201</t>
  </si>
  <si>
    <t>id_1202</t>
  </si>
  <si>
    <t>id_1203</t>
  </si>
  <si>
    <t>id_1204</t>
  </si>
  <si>
    <t>El Cerrito</t>
  </si>
  <si>
    <t>id_1205</t>
  </si>
  <si>
    <t>id_1206</t>
  </si>
  <si>
    <t>id_1207</t>
  </si>
  <si>
    <t>id_1208</t>
  </si>
  <si>
    <t>id_1209</t>
  </si>
  <si>
    <t>Krendle Woods</t>
  </si>
  <si>
    <t>id_1210</t>
  </si>
  <si>
    <t>id_1211</t>
  </si>
  <si>
    <t>id_1212</t>
  </si>
  <si>
    <t>id_1213</t>
  </si>
  <si>
    <t>id_1214</t>
  </si>
  <si>
    <t>id_1215</t>
  </si>
  <si>
    <t>id_1216</t>
  </si>
  <si>
    <t>id_1217</t>
  </si>
  <si>
    <t>id_1218</t>
  </si>
  <si>
    <t>id_1219</t>
  </si>
  <si>
    <t>id_1220</t>
  </si>
  <si>
    <t>id_1221</t>
  </si>
  <si>
    <t>id_1222</t>
  </si>
  <si>
    <t>id_1223</t>
  </si>
  <si>
    <t>id_1224</t>
  </si>
  <si>
    <t>id_1225</t>
  </si>
  <si>
    <t>id_1226</t>
  </si>
  <si>
    <t>id_1227</t>
  </si>
  <si>
    <t>id_1228</t>
  </si>
  <si>
    <t>id_1229</t>
  </si>
  <si>
    <t>id_1230</t>
  </si>
  <si>
    <t>id_1231</t>
  </si>
  <si>
    <t>id_1232</t>
  </si>
  <si>
    <t>id_1233</t>
  </si>
  <si>
    <t>id_1234</t>
  </si>
  <si>
    <t>id_1235</t>
  </si>
  <si>
    <t>id_1236</t>
  </si>
  <si>
    <t>id_1237</t>
  </si>
  <si>
    <t>id_1238</t>
  </si>
  <si>
    <t>id_1239</t>
  </si>
  <si>
    <t>id_1240</t>
  </si>
  <si>
    <t>id_1241</t>
  </si>
  <si>
    <t>id_1242</t>
  </si>
  <si>
    <t>id_1243</t>
  </si>
  <si>
    <t>id_1244</t>
  </si>
  <si>
    <t>id_1245</t>
  </si>
  <si>
    <t>id_1246</t>
  </si>
  <si>
    <t>id_1247</t>
  </si>
  <si>
    <t>id_1248</t>
  </si>
  <si>
    <t>id_1249</t>
  </si>
  <si>
    <t>id_1250</t>
  </si>
  <si>
    <t>id_1251</t>
  </si>
  <si>
    <t>id_1252</t>
  </si>
  <si>
    <t>id_1253</t>
  </si>
  <si>
    <t>id_1254</t>
  </si>
  <si>
    <t>Wake Co.</t>
  </si>
  <si>
    <t>id_1255</t>
  </si>
  <si>
    <t>id_1256</t>
  </si>
  <si>
    <t>id_1257</t>
  </si>
  <si>
    <t>id_1258</t>
  </si>
  <si>
    <t>id_1259</t>
  </si>
  <si>
    <t>id_1260</t>
  </si>
  <si>
    <t>id_1261</t>
  </si>
  <si>
    <t>id_1262</t>
  </si>
  <si>
    <t>id_1263</t>
  </si>
  <si>
    <t>id_1264</t>
  </si>
  <si>
    <t>id_1265</t>
  </si>
  <si>
    <t>id_1266</t>
  </si>
  <si>
    <t>id_1267</t>
  </si>
  <si>
    <t>id_1268</t>
  </si>
  <si>
    <t>id_1269</t>
  </si>
  <si>
    <t>id_1270</t>
  </si>
  <si>
    <t>id_1271</t>
  </si>
  <si>
    <t>id_1272</t>
  </si>
  <si>
    <t>id_1273</t>
  </si>
  <si>
    <t>Fuquay-Varina</t>
  </si>
  <si>
    <t>id_1274</t>
  </si>
  <si>
    <t>id_1275</t>
  </si>
  <si>
    <t>id_1276</t>
  </si>
  <si>
    <t>id_1277</t>
  </si>
  <si>
    <t>id_1278</t>
  </si>
  <si>
    <t>id_1279</t>
  </si>
  <si>
    <t>id_1280</t>
  </si>
  <si>
    <t>id_1281</t>
  </si>
  <si>
    <t>id_1282</t>
  </si>
  <si>
    <t>id_1283</t>
  </si>
  <si>
    <t>id_1284</t>
  </si>
  <si>
    <t>id_1285</t>
  </si>
  <si>
    <t>id_1286</t>
  </si>
  <si>
    <t>id_1287</t>
  </si>
  <si>
    <t>id_1288</t>
  </si>
  <si>
    <t>id_1289</t>
  </si>
  <si>
    <t>id_1290</t>
  </si>
  <si>
    <t>id_1291</t>
  </si>
  <si>
    <t>id_1292</t>
  </si>
  <si>
    <t>id_1293</t>
  </si>
  <si>
    <t>id_1294</t>
  </si>
  <si>
    <t>id_1295</t>
  </si>
  <si>
    <t>id_1296</t>
  </si>
  <si>
    <t>id_1297</t>
  </si>
  <si>
    <t>id_1298</t>
  </si>
  <si>
    <t>Rawalpindi</t>
  </si>
  <si>
    <t>id_1299</t>
  </si>
  <si>
    <t>id_1300</t>
  </si>
  <si>
    <t>id_1301</t>
  </si>
  <si>
    <t>id_1302</t>
  </si>
  <si>
    <t>id_1303</t>
  </si>
  <si>
    <t>id_1304</t>
  </si>
  <si>
    <t>id_1305</t>
  </si>
  <si>
    <t>id_1306</t>
  </si>
  <si>
    <t>id_1307</t>
  </si>
  <si>
    <t>id_1308</t>
  </si>
  <si>
    <t>id_1309</t>
  </si>
  <si>
    <t>id_1310</t>
  </si>
  <si>
    <t>id_1311</t>
  </si>
  <si>
    <t>id_1312</t>
  </si>
  <si>
    <t>id_1313</t>
  </si>
  <si>
    <t>id_1314</t>
  </si>
  <si>
    <t>id_1315</t>
  </si>
  <si>
    <t>id_1316</t>
  </si>
  <si>
    <t>id_1317</t>
  </si>
  <si>
    <t>id_1318</t>
  </si>
  <si>
    <t>id_1319</t>
  </si>
  <si>
    <t>id_1320</t>
  </si>
  <si>
    <t>id_1321</t>
  </si>
  <si>
    <t>id_1322</t>
  </si>
  <si>
    <t>id_1323</t>
  </si>
  <si>
    <t>id_1324</t>
  </si>
  <si>
    <t>id_1325</t>
  </si>
  <si>
    <t>id_1326</t>
  </si>
  <si>
    <t>id_1327</t>
  </si>
  <si>
    <t>id_1328</t>
  </si>
  <si>
    <t>id_1329</t>
  </si>
  <si>
    <t>id_1330</t>
  </si>
  <si>
    <t>id_1331</t>
  </si>
  <si>
    <t>id_1332</t>
  </si>
  <si>
    <t>id_1333</t>
  </si>
  <si>
    <t>id_1334</t>
  </si>
  <si>
    <t>id_1335</t>
  </si>
  <si>
    <t>id_1336</t>
  </si>
  <si>
    <t>id_1337</t>
  </si>
  <si>
    <t>id_1338</t>
  </si>
  <si>
    <t>id_1339</t>
  </si>
  <si>
    <t>id_1340</t>
  </si>
  <si>
    <t>id_1341</t>
  </si>
  <si>
    <t>id_1342</t>
  </si>
  <si>
    <t>id_1343</t>
  </si>
  <si>
    <t>id_1344</t>
  </si>
  <si>
    <t>id_1345</t>
  </si>
  <si>
    <t>id_1346</t>
  </si>
  <si>
    <t>id_1347</t>
  </si>
  <si>
    <t>id_1348</t>
  </si>
  <si>
    <t>id_1349</t>
  </si>
  <si>
    <t>id_1350</t>
  </si>
  <si>
    <t>id_1351</t>
  </si>
  <si>
    <t>id_1352</t>
  </si>
  <si>
    <t>id_1353</t>
  </si>
  <si>
    <t>id_1354</t>
  </si>
  <si>
    <t>id_1355</t>
  </si>
  <si>
    <t>id_1356</t>
  </si>
  <si>
    <t>Kar?chi</t>
  </si>
  <si>
    <t>id_1357</t>
  </si>
  <si>
    <t>id_1358</t>
  </si>
  <si>
    <t>id_1359</t>
  </si>
  <si>
    <t>id_1360</t>
  </si>
  <si>
    <t>id_1361</t>
  </si>
  <si>
    <t>id_1362</t>
  </si>
  <si>
    <t>id_1363</t>
  </si>
  <si>
    <t>id_1364</t>
  </si>
  <si>
    <t>id_1365</t>
  </si>
  <si>
    <t>id_1366</t>
  </si>
  <si>
    <t>id_1367</t>
  </si>
  <si>
    <t>id_1368</t>
  </si>
  <si>
    <t>id_1369</t>
  </si>
  <si>
    <t>id_1370</t>
  </si>
  <si>
    <t>id_1371</t>
  </si>
  <si>
    <t>id_1372</t>
  </si>
  <si>
    <t>id_1373</t>
  </si>
  <si>
    <t>id_1374</t>
  </si>
  <si>
    <t>id_1375</t>
  </si>
  <si>
    <t>id_1376</t>
  </si>
  <si>
    <t>id_1377</t>
  </si>
  <si>
    <t>id_1378</t>
  </si>
  <si>
    <t>id_1379</t>
  </si>
  <si>
    <t>id_1380</t>
  </si>
  <si>
    <t>id_1381</t>
  </si>
  <si>
    <t>id_1382</t>
  </si>
  <si>
    <t>id_1383</t>
  </si>
  <si>
    <t>id_1384</t>
  </si>
  <si>
    <t>id_1385</t>
  </si>
  <si>
    <t>id_1386</t>
  </si>
  <si>
    <t>id_1387</t>
  </si>
  <si>
    <t>id_1388</t>
  </si>
  <si>
    <t>id_1389</t>
  </si>
  <si>
    <t>id_1390</t>
  </si>
  <si>
    <t>Katunayake</t>
  </si>
  <si>
    <t>Gampaha</t>
  </si>
  <si>
    <t>id_1391</t>
  </si>
  <si>
    <t>Ilukwatta</t>
  </si>
  <si>
    <t>0. Пошук аномальних значень</t>
  </si>
  <si>
    <t>Назва колонки</t>
  </si>
  <si>
    <t>Кількість записів</t>
  </si>
  <si>
    <t>Кількість порожніх записів</t>
  </si>
  <si>
    <t>Кількість записів із NA значенням</t>
  </si>
  <si>
    <t>Кількість відʼємних записів</t>
  </si>
  <si>
    <t>1. Аналіз поїздок за категоріями та ціллю - кількість поїздок, середня тривалість поїздок, середня довжина поїздок (милі)</t>
  </si>
  <si>
    <t>a. Підрахунок за допомогою формул</t>
  </si>
  <si>
    <t xml:space="preserve">AVERAGEIF('Uber Drives'!$M$2:$M$1156,$A$23,'Uber Drives'!$K$2:$K$1156) </t>
  </si>
  <si>
    <t>Категорія 
(текстова назва)</t>
  </si>
  <si>
    <t>Кількість поїздок</t>
  </si>
  <si>
    <t>Середня тривалість поїздок</t>
  </si>
  <si>
    <t>Середня довжина поїздок (милі)</t>
  </si>
  <si>
    <t>Ціль поїздки
(текстова назва)</t>
  </si>
  <si>
    <t>Висновок:</t>
  </si>
  <si>
    <t>Аналіз показав, що переважна більшість поїздок здійснюється в межах бізнес-категорії, зокрема з цілями Meeting, Meal/Entertain та Errand/Supplies. Такі поїздки мають вищі показники середньої тривалості та довжини, порівняно з персональними.
Річна динаміка свідчить про зростання кількості поїздок у літні та зимові місяці, з піком у грудні. Активність за днями тижня є відносно стабільною, але підвищується у п’ятницю.
За часом доби найбільша кількість поїздок припадає на денний та вечірній періоди, тоді як уночі активність суттєво знижується.
Особисті (Personal) поїздки становлять незначну частку та не демонструють чіткої сезонності.
Отже, можна зробити висновок, що ділові поїздки формують основну частину активності користувачів сервісу Uber у 2016 році.</t>
  </si>
  <si>
    <t xml:space="preserve">b. Підрахунок за допомогою зведеної таблиці
</t>
  </si>
  <si>
    <t>Середня довжина поїздок</t>
  </si>
  <si>
    <t>2. Річна динаміка кількості поїздок, середньої тривалості та довжини поїздок по місяцям</t>
  </si>
  <si>
    <t>START_DATE - Year-Month</t>
  </si>
  <si>
    <t>2016-Jan</t>
  </si>
  <si>
    <t>2016-Feb</t>
  </si>
  <si>
    <t>2016-Mar</t>
  </si>
  <si>
    <t>2016-Apr</t>
  </si>
  <si>
    <t>2016-May</t>
  </si>
  <si>
    <t>2016-Jun</t>
  </si>
  <si>
    <t>2016-Jul</t>
  </si>
  <si>
    <t>2016-Aug</t>
  </si>
  <si>
    <t>2016-Sep</t>
  </si>
  <si>
    <t>2016-Oct</t>
  </si>
  <si>
    <t>2016-Nov</t>
  </si>
  <si>
    <t>2016-Dec</t>
  </si>
  <si>
    <t>2. Річна динаміка кількості поїздок, середньої тривалості та довжини поїздок по дням тижня</t>
  </si>
  <si>
    <t>START_DATE - Day of the week</t>
  </si>
  <si>
    <t>Sunday</t>
  </si>
  <si>
    <t>Monday</t>
  </si>
  <si>
    <t>Tuesday</t>
  </si>
  <si>
    <t>Wednesday</t>
  </si>
  <si>
    <t>Thursday</t>
  </si>
  <si>
    <t>Friday</t>
  </si>
  <si>
    <t>Saturday</t>
  </si>
  <si>
    <t>a. Рчна динаміка кількості поїздок по місяцям, в залежності від категорії поїздки</t>
  </si>
  <si>
    <t>Values</t>
  </si>
  <si>
    <t xml:space="preserve">3. Залежність кількості поїздок по категоріям від часу доби (категоризоване значення часу) </t>
  </si>
  <si>
    <t>COUNTA of TRAVEL_ID</t>
  </si>
  <si>
    <t>Grand Total</t>
  </si>
  <si>
    <t>Day</t>
  </si>
  <si>
    <t>Evening</t>
  </si>
  <si>
    <t>Morning</t>
  </si>
  <si>
    <t>Night</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</si>
</sst>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H:mm:ss"/>
    <numFmt numFmtId="165" formatCode="h:mm:ss am/pm"/>
    <numFmt numFmtId="166" formatCode="#,##0.0"/>
    <numFmt numFmtId="167" formatCode="[$₺]#,##0.00"/>
    <numFmt numFmtId="168" formatCode="m/d/yyyy h:mm:ss"/>
  </numFmts>
  <fonts count="12">
    <font>
      <sz val="10.0"/>
      <color rgb="FF000000"/>
      <name val="Arial"/>
      <scheme val="minor"/>
    </font>
    <font>
      <b/>
      <color theme="1"/>
      <name val="Arial"/>
      <scheme val="minor"/>
    </font>
    <font>
      <color theme="1"/>
      <name val="Arial"/>
      <scheme val="minor"/>
    </font>
    <font/>
    <font>
      <color theme="1"/>
      <name val="Roboto Mono"/>
    </font>
    <font>
      <color theme="1"/>
      <name val="Arial"/>
    </font>
    <font>
      <b/>
      <color theme="1"/>
      <name val="Arial"/>
    </font>
    <font>
      <b/>
      <sz val="10.0"/>
      <color theme="1"/>
      <name val="Arial"/>
      <scheme val="minor"/>
    </font>
    <font>
      <b/>
      <sz val="10.0"/>
      <color rgb="FF000000"/>
      <name val="Arial"/>
      <scheme val="minor"/>
    </font>
    <font>
      <i/>
      <color theme="1"/>
      <name val="Arial"/>
      <scheme val="minor"/>
    </font>
    <font>
      <i/>
      <color theme="1"/>
      <name val="Arial"/>
    </font>
    <font>
      <color rgb="FFFFFFFF"/>
      <name val="Arial"/>
    </font>
  </fonts>
  <fills count="9">
    <fill>
      <patternFill patternType="none"/>
    </fill>
    <fill>
      <patternFill patternType="lightGray"/>
    </fill>
    <fill>
      <patternFill patternType="solid">
        <fgColor rgb="FFF3F3F3"/>
        <bgColor rgb="FFF3F3F3"/>
      </patternFill>
    </fill>
    <fill>
      <patternFill patternType="solid">
        <fgColor rgb="FFEFEFEF"/>
        <bgColor rgb="FFEFEFEF"/>
      </patternFill>
    </fill>
    <fill>
      <patternFill patternType="solid">
        <fgColor rgb="FFFFF2CC"/>
        <bgColor rgb="FFFFF2CC"/>
      </patternFill>
    </fill>
    <fill>
      <patternFill patternType="solid">
        <fgColor rgb="FFFFFFFF"/>
        <bgColor rgb="FFFFFFFF"/>
      </patternFill>
    </fill>
    <fill>
      <patternFill patternType="solid">
        <fgColor rgb="FFDFE4EC"/>
        <bgColor rgb="FFDFE4EC"/>
      </patternFill>
    </fill>
    <fill>
      <patternFill patternType="solid">
        <fgColor rgb="FF8093B3"/>
        <bgColor rgb="FF8093B3"/>
      </patternFill>
    </fill>
    <fill>
      <patternFill patternType="solid">
        <fgColor rgb="FFF4F6F8"/>
        <bgColor rgb="FFF4F6F8"/>
      </patternFill>
    </fill>
  </fills>
  <borders count="13">
    <border/>
    <border>
      <left style="thin">
        <color rgb="FFB7B7B7"/>
      </left>
      <top style="thin">
        <color rgb="FFB7B7B7"/>
      </top>
      <bottom style="thin">
        <color rgb="FFB7B7B7"/>
      </bottom>
    </border>
    <border>
      <right style="thin">
        <color rgb="FFB7B7B7"/>
      </right>
      <top style="thin">
        <color rgb="FFB7B7B7"/>
      </top>
      <bottom style="thin">
        <color rgb="FFB7B7B7"/>
      </bottom>
    </border>
    <border>
      <left style="thin">
        <color rgb="FFB7B7B7"/>
      </left>
      <right style="thin">
        <color rgb="FFB7B7B7"/>
      </right>
      <top style="thin">
        <color rgb="FFB7B7B7"/>
      </top>
    </border>
    <border>
      <right style="thin">
        <color rgb="FFB7B7B7"/>
      </right>
      <top style="thin">
        <color rgb="FFB7B7B7"/>
      </top>
    </border>
    <border>
      <left style="thin">
        <color rgb="FFB7B7B7"/>
      </left>
      <right style="thin">
        <color rgb="FFB7B7B7"/>
      </right>
    </border>
    <border>
      <right style="thin">
        <color rgb="FFB7B7B7"/>
      </right>
    </border>
    <border>
      <right style="thin">
        <color rgb="FFB7B7B7"/>
      </right>
      <bottom style="thin">
        <color rgb="FFB7B7B7"/>
      </bottom>
    </border>
    <border>
      <left style="thin">
        <color rgb="FFB7B7B7"/>
      </left>
      <right style="thin">
        <color rgb="FFB7B7B7"/>
      </right>
      <bottom style="thin">
        <color rgb="FFB7B7B7"/>
      </bottom>
    </border>
    <border>
      <bottom style="thin">
        <color rgb="FFB7B7B7"/>
      </bottom>
    </border>
    <border>
      <left style="thin">
        <color rgb="FFB7B7B7"/>
      </left>
      <bottom style="thin">
        <color rgb="FFB7B7B7"/>
      </bottom>
    </border>
    <border>
      <bottom style="thick">
        <color rgb="FF8093B3"/>
      </bottom>
    </border>
    <border>
      <left style="thin">
        <color rgb="FFFFFFFF"/>
      </left>
      <right style="thin">
        <color rgb="FFFFFFFF"/>
      </right>
    </border>
  </borders>
  <cellStyleXfs count="1">
    <xf borderId="0" fillId="0" fontId="0" numFmtId="0" applyAlignment="1" applyFont="1"/>
  </cellStyleXfs>
  <cellXfs count="7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vertical="top" wrapText="1"/>
    </xf>
    <xf borderId="0" fillId="0" fontId="2" numFmtId="0" xfId="0" applyAlignment="1" applyFont="1">
      <alignment readingOrder="0"/>
    </xf>
    <xf borderId="1" fillId="2" fontId="1" numFmtId="0" xfId="0" applyAlignment="1" applyBorder="1" applyFill="1" applyFont="1">
      <alignment horizontal="center" readingOrder="0"/>
    </xf>
    <xf borderId="2" fillId="0" fontId="3" numFmtId="0" xfId="0" applyBorder="1" applyFont="1"/>
    <xf borderId="3" fillId="3" fontId="1" numFmtId="0" xfId="0" applyAlignment="1" applyBorder="1" applyFill="1" applyFont="1">
      <alignment readingOrder="0"/>
    </xf>
    <xf borderId="4" fillId="3" fontId="1" numFmtId="0" xfId="0" applyAlignment="1" applyBorder="1" applyFont="1">
      <alignment readingOrder="0"/>
    </xf>
    <xf borderId="4" fillId="0" fontId="4" numFmtId="0" xfId="0" applyAlignment="1" applyBorder="1" applyFont="1">
      <alignment horizontal="left" readingOrder="0" vertical="center"/>
    </xf>
    <xf borderId="4" fillId="0" fontId="2" numFmtId="0" xfId="0" applyAlignment="1" applyBorder="1" applyFont="1">
      <alignment readingOrder="0" shrinkToFit="0" wrapText="1"/>
    </xf>
    <xf borderId="0" fillId="0" fontId="5" numFmtId="0" xfId="0" applyAlignment="1" applyFont="1">
      <alignment vertical="bottom"/>
    </xf>
    <xf borderId="5" fillId="0" fontId="4" numFmtId="0" xfId="0" applyAlignment="1" applyBorder="1" applyFont="1">
      <alignment horizontal="left" vertical="center"/>
    </xf>
    <xf borderId="6" fillId="0" fontId="2" numFmtId="0" xfId="0" applyAlignment="1" applyBorder="1" applyFont="1">
      <alignment readingOrder="0" shrinkToFit="0" wrapText="1"/>
    </xf>
    <xf borderId="0" fillId="0" fontId="5" numFmtId="0" xfId="0" applyAlignment="1" applyFont="1">
      <alignment horizontal="right" vertical="bottom"/>
    </xf>
    <xf borderId="6" fillId="0" fontId="4" numFmtId="0" xfId="0" applyAlignment="1" applyBorder="1" applyFont="1">
      <alignment vertical="bottom"/>
    </xf>
    <xf borderId="7" fillId="0" fontId="4" numFmtId="0" xfId="0" applyAlignment="1" applyBorder="1" applyFont="1">
      <alignment vertical="bottom"/>
    </xf>
    <xf borderId="7" fillId="0" fontId="2" numFmtId="0" xfId="0" applyAlignment="1" applyBorder="1" applyFont="1">
      <alignment readingOrder="0" shrinkToFit="0" wrapText="1"/>
    </xf>
    <xf borderId="0" fillId="0" fontId="4" numFmtId="0" xfId="0" applyAlignment="1" applyFont="1">
      <alignment horizontal="left" readingOrder="0" vertical="center"/>
    </xf>
    <xf borderId="0" fillId="0" fontId="2" numFmtId="0" xfId="0" applyAlignment="1" applyFont="1">
      <alignment readingOrder="0" shrinkToFit="0" wrapText="1"/>
    </xf>
    <xf borderId="3" fillId="0" fontId="4" numFmtId="0" xfId="0" applyAlignment="1" applyBorder="1" applyFont="1">
      <alignment horizontal="left" vertical="center"/>
    </xf>
    <xf borderId="8" fillId="0" fontId="4" numFmtId="0" xfId="0" applyAlignment="1" applyBorder="1" applyFont="1">
      <alignment horizontal="left" vertical="center"/>
    </xf>
    <xf borderId="0" fillId="0" fontId="4" numFmtId="0" xfId="0" applyAlignment="1" applyFont="1">
      <alignment horizontal="left" vertical="center"/>
    </xf>
    <xf borderId="9" fillId="0" fontId="4" numFmtId="0" xfId="0" applyAlignment="1" applyBorder="1" applyFont="1">
      <alignment horizontal="left" vertical="center"/>
    </xf>
    <xf borderId="10" fillId="2" fontId="1" numFmtId="0" xfId="0" applyAlignment="1" applyBorder="1" applyFont="1">
      <alignment horizontal="center" readingOrder="0"/>
    </xf>
    <xf borderId="7" fillId="0" fontId="3" numFmtId="0" xfId="0" applyBorder="1" applyFont="1"/>
    <xf borderId="0" fillId="0" fontId="4" numFmtId="0" xfId="0" applyAlignment="1" applyFont="1">
      <alignment vertical="bottom"/>
    </xf>
    <xf borderId="0" fillId="0" fontId="6" numFmtId="0" xfId="0" applyAlignment="1" applyFont="1">
      <alignment vertical="bottom"/>
    </xf>
    <xf borderId="0" fillId="0" fontId="1" numFmtId="0" xfId="0" applyFont="1"/>
    <xf borderId="0" fillId="0" fontId="1" numFmtId="164" xfId="0" applyAlignment="1" applyFont="1" applyNumberFormat="1">
      <alignment readingOrder="0"/>
    </xf>
    <xf borderId="0" fillId="0" fontId="1" numFmtId="3" xfId="0" applyAlignment="1" applyFont="1" applyNumberFormat="1">
      <alignment readingOrder="0"/>
    </xf>
    <xf borderId="0" fillId="0" fontId="1" numFmtId="4" xfId="0" applyAlignment="1" applyFont="1" applyNumberFormat="1">
      <alignment readingOrder="0"/>
    </xf>
    <xf borderId="0" fillId="4" fontId="1" numFmtId="165" xfId="0" applyAlignment="1" applyFill="1" applyFont="1" applyNumberFormat="1">
      <alignment readingOrder="0"/>
    </xf>
    <xf borderId="0" fillId="4" fontId="1" numFmtId="46" xfId="0" applyAlignment="1" applyFont="1" applyNumberFormat="1">
      <alignment readingOrder="0"/>
    </xf>
    <xf borderId="0" fillId="4" fontId="1" numFmtId="0" xfId="0" applyAlignment="1" applyFont="1">
      <alignment readingOrder="0"/>
    </xf>
    <xf borderId="0" fillId="0" fontId="2" numFmtId="164" xfId="0" applyAlignment="1" applyFont="1" applyNumberFormat="1">
      <alignment readingOrder="0"/>
    </xf>
    <xf borderId="0" fillId="0" fontId="2" numFmtId="3" xfId="0" applyAlignment="1" applyFont="1" applyNumberFormat="1">
      <alignment readingOrder="0"/>
    </xf>
    <xf borderId="0" fillId="0" fontId="2" numFmtId="166" xfId="0" applyAlignment="1" applyFont="1" applyNumberFormat="1">
      <alignment readingOrder="0"/>
    </xf>
    <xf borderId="0" fillId="0" fontId="2" numFmtId="165" xfId="0" applyAlignment="1" applyFont="1" applyNumberFormat="1">
      <alignment readingOrder="0"/>
    </xf>
    <xf borderId="0" fillId="0" fontId="2" numFmtId="46" xfId="0" applyFont="1" applyNumberFormat="1"/>
    <xf borderId="0" fillId="0" fontId="2" numFmtId="0" xfId="0" applyFont="1"/>
    <xf borderId="0" fillId="0" fontId="2" numFmtId="4" xfId="0" applyAlignment="1" applyFont="1" applyNumberFormat="1">
      <alignment readingOrder="0"/>
    </xf>
    <xf borderId="0" fillId="5" fontId="2" numFmtId="46" xfId="0" applyFill="1" applyFont="1" applyNumberFormat="1"/>
    <xf borderId="0" fillId="0" fontId="1" numFmtId="0" xfId="0" applyAlignment="1" applyFont="1">
      <alignment horizontal="left" readingOrder="0"/>
    </xf>
    <xf borderId="0" fillId="0" fontId="2" numFmtId="0" xfId="0" applyFont="1"/>
    <xf borderId="0" fillId="0" fontId="1" numFmtId="0" xfId="0" applyAlignment="1" applyFont="1">
      <alignment horizontal="center" readingOrder="0" shrinkToFit="0" vertical="center" wrapText="1"/>
    </xf>
    <xf borderId="0" fillId="4" fontId="2" numFmtId="0" xfId="0" applyFont="1"/>
    <xf borderId="0" fillId="4" fontId="2" numFmtId="0" xfId="0" applyFont="1"/>
    <xf borderId="0" fillId="5" fontId="2" numFmtId="0" xfId="0" applyFont="1"/>
    <xf borderId="0" fillId="0" fontId="1" numFmtId="166" xfId="0" applyAlignment="1" applyFont="1" applyNumberFormat="1">
      <alignment readingOrder="0"/>
    </xf>
    <xf borderId="0" fillId="0" fontId="7" numFmtId="0" xfId="0" applyAlignment="1" applyFont="1">
      <alignment horizontal="center" readingOrder="0" shrinkToFit="0" vertical="center" wrapText="1"/>
    </xf>
    <xf borderId="0" fillId="5" fontId="8" numFmtId="0" xfId="0" applyAlignment="1" applyFont="1">
      <alignment horizontal="center" readingOrder="0" shrinkToFit="0" vertical="center" wrapText="1"/>
    </xf>
    <xf borderId="0" fillId="4" fontId="2" numFmtId="46" xfId="0" applyFont="1" applyNumberFormat="1"/>
    <xf borderId="0" fillId="4" fontId="2" numFmtId="2" xfId="0" applyFont="1" applyNumberFormat="1"/>
    <xf borderId="0" fillId="4" fontId="2" numFmtId="4" xfId="0" applyFont="1" applyNumberFormat="1"/>
    <xf borderId="0" fillId="5" fontId="1" numFmtId="0" xfId="0" applyAlignment="1" applyFont="1">
      <alignment readingOrder="0"/>
    </xf>
    <xf borderId="0" fillId="5" fontId="2" numFmtId="0" xfId="0" applyFont="1"/>
    <xf borderId="0" fillId="5" fontId="9" numFmtId="0" xfId="0" applyAlignment="1" applyFont="1">
      <alignment readingOrder="0" shrinkToFit="0" wrapText="1"/>
    </xf>
    <xf borderId="0" fillId="5" fontId="2" numFmtId="167" xfId="0" applyFont="1" applyNumberFormat="1"/>
    <xf borderId="0" fillId="4" fontId="2" numFmtId="0" xfId="0" applyAlignment="1" applyFont="1">
      <alignment readingOrder="0" shrinkToFit="0" vertical="top" wrapText="1"/>
    </xf>
    <xf borderId="0" fillId="5" fontId="9" numFmtId="0" xfId="0" applyAlignment="1" applyFont="1">
      <alignment readingOrder="0"/>
    </xf>
    <xf borderId="0" fillId="0" fontId="2" numFmtId="167" xfId="0" applyFont="1" applyNumberFormat="1"/>
    <xf borderId="0" fillId="0" fontId="2" numFmtId="2" xfId="0" applyFont="1" applyNumberFormat="1"/>
    <xf borderId="11" fillId="6" fontId="10" numFmtId="0" xfId="0" applyAlignment="1" applyBorder="1" applyFill="1" applyFont="1">
      <alignment vertical="bottom"/>
    </xf>
    <xf borderId="11" fillId="7" fontId="11" numFmtId="0" xfId="0" applyAlignment="1" applyBorder="1" applyFill="1" applyFont="1">
      <alignment shrinkToFit="0" vertical="bottom" wrapText="1"/>
    </xf>
    <xf borderId="0" fillId="0" fontId="2" numFmtId="0" xfId="0" applyAlignment="1" applyFont="1">
      <alignment shrinkToFit="0" wrapText="1"/>
    </xf>
    <xf borderId="0" fillId="8" fontId="5" numFmtId="0" xfId="0" applyAlignment="1" applyFill="1" applyFont="1">
      <alignment vertical="bottom"/>
    </xf>
    <xf borderId="12" fillId="8" fontId="5" numFmtId="0" xfId="0" applyAlignment="1" applyBorder="1" applyFont="1">
      <alignment vertical="bottom"/>
    </xf>
    <xf borderId="0" fillId="5" fontId="5" numFmtId="0" xfId="0" applyAlignment="1" applyFont="1">
      <alignment horizontal="right" vertical="bottom"/>
    </xf>
    <xf borderId="0" fillId="5" fontId="5" numFmtId="46" xfId="0" applyAlignment="1" applyFont="1" applyNumberFormat="1">
      <alignment horizontal="right" vertical="bottom"/>
    </xf>
    <xf borderId="0" fillId="5" fontId="5" numFmtId="166" xfId="0" applyAlignment="1" applyFont="1" applyNumberFormat="1">
      <alignment horizontal="right" vertical="bottom"/>
    </xf>
    <xf borderId="0" fillId="0" fontId="2" numFmtId="168" xfId="0" applyFont="1" applyNumberFormat="1"/>
    <xf borderId="0" fillId="0" fontId="2" numFmtId="166" xfId="0" applyFont="1" applyNumberFormat="1"/>
    <xf borderId="0" fillId="0" fontId="2" numFmtId="46" xfId="0" applyAlignment="1" applyFont="1" applyNumberFormat="1">
      <alignment shrinkToFit="0" wrapText="1"/>
    </xf>
    <xf borderId="0" fillId="0" fontId="2" numFmtId="166" xfId="0" applyAlignment="1" applyFont="1" applyNumberFormat="1">
      <alignment shrinkToFit="0" wrapText="1"/>
    </xf>
    <xf borderId="0" fillId="0" fontId="2" numFmtId="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pivotCacheDefinition" Target="pivotCache/pivotCacheDefinition1.xml"/><Relationship Id="rId10" Type="http://schemas.openxmlformats.org/officeDocument/2006/relationships/worksheet" Target="worksheets/sheet6.xml"/><Relationship Id="rId13" Type="http://schemas.openxmlformats.org/officeDocument/2006/relationships/pivotCacheDefinition" Target="pivotCache/pivotCacheDefinition3.xml"/><Relationship Id="rId12" Type="http://schemas.openxmlformats.org/officeDocument/2006/relationships/pivotCacheDefinition" Target="pivotCache/pivotCacheDefinition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pivotCacheDefinition" Target="pivotCache/pivotCacheDefinition4.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Динаміка кількості поїздок за рік по категоріям</a:t>
            </a:r>
          </a:p>
        </c:rich>
      </c:tx>
      <c:overlay val="0"/>
    </c:title>
    <c:plotArea>
      <c:layout/>
      <c:lineChart>
        <c:ser>
          <c:idx val="0"/>
          <c:order val="0"/>
          <c:tx>
            <c:v>Кількість поїздок Business</c:v>
          </c:tx>
          <c:spPr>
            <a:ln cmpd="sng">
              <a:solidFill>
                <a:srgbClr val="4285F4"/>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'Result Pivot Table'!$A$53:$A$64</c:f>
            </c:strRef>
          </c:cat>
          <c:val>
            <c:numRef>
              <c:f>'Result Pivot Table'!$B$53:$B$64</c:f>
              <c:numCache/>
            </c:numRef>
          </c:val>
          <c:smooth val="0"/>
        </c:ser>
        <c:ser>
          <c:idx val="1"/>
          <c:order val="1"/>
          <c:tx>
            <c:v>Кількість поїздок Personal</c:v>
          </c:tx>
          <c:spPr>
            <a:ln cmpd="sng">
              <a:solidFill>
                <a:srgbClr val="EA4335"/>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'Result Pivot Table'!$A$53:$A$64</c:f>
            </c:strRef>
          </c:cat>
          <c:val>
            <c:numRef>
              <c:f>'Result Pivot Table'!$E$53:$E$64</c:f>
              <c:numCache/>
            </c:numRef>
          </c:val>
          <c:smooth val="0"/>
        </c:ser>
        <c:axId val="1072324678"/>
        <c:axId val="633373798"/>
      </c:lineChart>
      <c:catAx>
        <c:axId val="10723246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Дата</a:t>
                </a:r>
              </a:p>
            </c:rich>
          </c:tx>
          <c:overlay val="0"/>
        </c:title>
        <c:numFmt formatCode="General" sourceLinked="1"/>
        <c:majorTickMark val="none"/>
        <c:minorTickMark val="none"/>
        <c:spPr/>
        <c:txPr>
          <a:bodyPr/>
          <a:lstStyle/>
          <a:p>
            <a:pPr lvl="0">
              <a:defRPr b="0">
                <a:solidFill>
                  <a:srgbClr val="000000"/>
                </a:solidFill>
                <a:latin typeface="+mn-lt"/>
              </a:defRPr>
            </a:pPr>
          </a:p>
        </c:txPr>
        <c:crossAx val="633373798"/>
      </c:catAx>
      <c:valAx>
        <c:axId val="63337379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Кількість</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72324678"/>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Динаміка кількості поїздок по дням тижням</a:t>
            </a:r>
          </a:p>
        </c:rich>
      </c:tx>
      <c:overlay val="0"/>
    </c:title>
    <c:plotArea>
      <c:layout/>
      <c:lineChart>
        <c:varyColors val="0"/>
        <c:ser>
          <c:idx val="0"/>
          <c:order val="0"/>
          <c:tx>
            <c:v>Кількість поїздок Business</c:v>
          </c:tx>
          <c:spPr>
            <a:ln cmpd="sng">
              <a:solidFill>
                <a:srgbClr val="4285F4"/>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'Result Pivot Table'!$A$36:$A$42</c:f>
            </c:strRef>
          </c:cat>
          <c:val>
            <c:numRef>
              <c:f>'Result Pivot Table'!$B$36:$B$42</c:f>
              <c:numCache/>
            </c:numRef>
          </c:val>
          <c:smooth val="0"/>
        </c:ser>
        <c:axId val="1152061832"/>
        <c:axId val="1194036698"/>
      </c:lineChart>
      <c:catAx>
        <c:axId val="115206183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Дата</a:t>
                </a:r>
              </a:p>
            </c:rich>
          </c:tx>
          <c:overlay val="0"/>
        </c:title>
        <c:numFmt formatCode="General" sourceLinked="1"/>
        <c:majorTickMark val="none"/>
        <c:minorTickMark val="none"/>
        <c:spPr/>
        <c:txPr>
          <a:bodyPr/>
          <a:lstStyle/>
          <a:p>
            <a:pPr lvl="0">
              <a:defRPr b="0">
                <a:solidFill>
                  <a:srgbClr val="000000"/>
                </a:solidFill>
                <a:latin typeface="+mn-lt"/>
              </a:defRPr>
            </a:pPr>
          </a:p>
        </c:txPr>
        <c:crossAx val="1194036698"/>
      </c:catAx>
      <c:valAx>
        <c:axId val="119403669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Кількість</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52061832"/>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Річна динаміка кількості поїздок по місяцям;</a:t>
            </a:r>
          </a:p>
        </c:rich>
      </c:tx>
      <c:overlay val="0"/>
    </c:title>
    <c:plotArea>
      <c:layout/>
      <c:lineChart>
        <c:varyColors val="0"/>
        <c:ser>
          <c:idx val="0"/>
          <c:order val="0"/>
          <c:tx>
            <c:strRef>
              <c:f>'Result Pivot Table'!$B$19</c:f>
            </c:strRef>
          </c:tx>
          <c:spPr>
            <a:ln cmpd="sng">
              <a:solidFill>
                <a:srgbClr val="4285F4"/>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'Result Pivot Table'!$A$20:$A$31</c:f>
            </c:strRef>
          </c:cat>
          <c:val>
            <c:numRef>
              <c:f>'Result Pivot Table'!$B$20:$B$31</c:f>
              <c:numCache/>
            </c:numRef>
          </c:val>
          <c:smooth val="0"/>
        </c:ser>
        <c:axId val="158779407"/>
        <c:axId val="1346458141"/>
      </c:lineChart>
      <c:catAx>
        <c:axId val="1587794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Дата</a:t>
                </a:r>
              </a:p>
            </c:rich>
          </c:tx>
          <c:overlay val="0"/>
        </c:title>
        <c:numFmt formatCode="General" sourceLinked="1"/>
        <c:majorTickMark val="none"/>
        <c:minorTickMark val="none"/>
        <c:spPr/>
        <c:txPr>
          <a:bodyPr/>
          <a:lstStyle/>
          <a:p>
            <a:pPr lvl="0">
              <a:defRPr b="0">
                <a:solidFill>
                  <a:srgbClr val="000000"/>
                </a:solidFill>
                <a:latin typeface="+mn-lt"/>
              </a:defRPr>
            </a:pPr>
          </a:p>
        </c:txPr>
        <c:crossAx val="1346458141"/>
      </c:catAx>
      <c:valAx>
        <c:axId val="13464581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Кількість</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8779407"/>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Залежність кількості поїздок по категоріям від часу доби</a:t>
            </a:r>
          </a:p>
        </c:rich>
      </c:tx>
      <c:overlay val="0"/>
    </c:title>
    <c:plotArea>
      <c:layout/>
      <c:barChart>
        <c:barDir val="bar"/>
        <c:ser>
          <c:idx val="0"/>
          <c:order val="0"/>
          <c:tx>
            <c:strRef>
              <c:f>'Result Pivot Table'!$B$71:$B$72</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'Result Pivot Table'!$A$73:$A$76</c:f>
            </c:strRef>
          </c:cat>
          <c:val>
            <c:numRef>
              <c:f>'Result Pivot Table'!$B$73:$B$76</c:f>
              <c:numCache/>
            </c:numRef>
          </c:val>
        </c:ser>
        <c:ser>
          <c:idx val="1"/>
          <c:order val="1"/>
          <c:tx>
            <c:strRef>
              <c:f>'Result Pivot Table'!$C$71:$C$72</c:f>
            </c:strRef>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'Result Pivot Table'!$A$73:$A$76</c:f>
            </c:strRef>
          </c:cat>
          <c:val>
            <c:numRef>
              <c:f>'Result Pivot Table'!$C$73:$C$76</c:f>
              <c:numCache/>
            </c:numRef>
          </c:val>
        </c:ser>
        <c:axId val="1748056625"/>
        <c:axId val="400125532"/>
      </c:barChart>
      <c:catAx>
        <c:axId val="174805662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Час доби</a:t>
                </a:r>
              </a:p>
            </c:rich>
          </c:tx>
          <c:overlay val="0"/>
        </c:title>
        <c:numFmt formatCode="General" sourceLinked="1"/>
        <c:majorTickMark val="none"/>
        <c:minorTickMark val="none"/>
        <c:spPr/>
        <c:txPr>
          <a:bodyPr/>
          <a:lstStyle/>
          <a:p>
            <a:pPr lvl="0">
              <a:defRPr b="0">
                <a:solidFill>
                  <a:srgbClr val="000000"/>
                </a:solidFill>
                <a:latin typeface="+mn-lt"/>
              </a:defRPr>
            </a:pPr>
          </a:p>
        </c:txPr>
        <c:crossAx val="400125532"/>
      </c:catAx>
      <c:valAx>
        <c:axId val="40012553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Кількість поїздок</a:t>
                </a:r>
              </a:p>
            </c:rich>
          </c:tx>
          <c:layout>
            <c:manualLayout>
              <c:xMode val="edge"/>
              <c:yMode val="edge"/>
              <c:x val="0.16319205729166666"/>
              <c:y val="0.9149595687331534"/>
            </c:manualLayout>
          </c:layout>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48056625"/>
        <c:crosses val="max"/>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rawings/_rels/drawing6.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409575</xdr:colOff>
      <xdr:row>49</xdr:row>
      <xdr:rowOff>57150</xdr:rowOff>
    </xdr:from>
    <xdr:ext cx="4657725" cy="28479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409575</xdr:colOff>
      <xdr:row>32</xdr:row>
      <xdr:rowOff>114300</xdr:rowOff>
    </xdr:from>
    <xdr:ext cx="4610100" cy="28479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7</xdr:col>
      <xdr:colOff>409575</xdr:colOff>
      <xdr:row>16</xdr:row>
      <xdr:rowOff>152400</xdr:rowOff>
    </xdr:from>
    <xdr:ext cx="4610100" cy="28479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619125</xdr:colOff>
      <xdr:row>69</xdr:row>
      <xdr:rowOff>161925</xdr:rowOff>
    </xdr:from>
    <xdr:ext cx="5419725" cy="289560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persons/person.xml><?xml version="1.0" encoding="utf-8"?>
<x18tc:personList xmlns:x18tc="http://schemas.microsoft.com/office/spreadsheetml/2018/threadedcomments">
  <x18tc:person displayName="Julia Larionova" id="{4644d00b-d30c-41aa-b6f7-4ffa095c2854}"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N1152" sheet="Uber Drives"/>
  </cacheSource>
  <cacheFields>
    <cacheField name="TRAVEL_ID" numFmtId="0">
      <sharedItems>
        <s v="id_237"/>
        <s v="id_238"/>
        <s v="id_239"/>
        <s v="id_240"/>
        <s v="id_241"/>
        <s v="id_242"/>
        <s v="id_243"/>
        <s v="id_244"/>
        <s v="id_245"/>
        <s v="id_246"/>
        <s v="id_247"/>
        <s v="id_248"/>
        <s v="id_249"/>
        <s v="id_250"/>
        <s v="id_251"/>
        <s v="id_252"/>
        <s v="id_253"/>
        <s v="id_254"/>
        <s v="id_255"/>
        <s v="id_256"/>
        <s v="id_257"/>
        <s v="id_258"/>
        <s v="id_259"/>
        <s v="id_260"/>
        <s v="id_261"/>
        <s v="id_262"/>
        <s v="id_263"/>
        <s v="id_264"/>
        <s v="id_265"/>
        <s v="id_266"/>
        <s v="id_267"/>
        <s v="id_268"/>
        <s v="id_269"/>
        <s v="id_270"/>
        <s v="id_271"/>
        <s v="id_272"/>
        <s v="id_273"/>
        <s v="id_274"/>
        <s v="id_275"/>
        <s v="id_276"/>
        <s v="id_277"/>
        <s v="id_278"/>
        <s v="id_279"/>
        <s v="id_280"/>
        <s v="id_281"/>
        <s v="id_282"/>
        <s v="id_283"/>
        <s v="id_284"/>
        <s v="id_285"/>
        <s v="id_286"/>
        <s v="id_287"/>
        <s v="id_288"/>
        <s v="id_289"/>
        <s v="id_290"/>
        <s v="id_291"/>
        <s v="id_292"/>
        <s v="id_293"/>
        <s v="id_294"/>
        <s v="id_295"/>
        <s v="id_296"/>
        <s v="id_297"/>
        <s v="id_298"/>
        <s v="id_299"/>
        <s v="id_300"/>
        <s v="id_301"/>
        <s v="id_302"/>
        <s v="id_303"/>
        <s v="id_304"/>
        <s v="id_305"/>
        <s v="id_306"/>
        <s v="id_307"/>
        <s v="id_308"/>
        <s v="id_309"/>
        <s v="id_310"/>
        <s v="id_311"/>
        <s v="id_312"/>
        <s v="id_313"/>
        <s v="id_314"/>
        <s v="id_315"/>
        <s v="id_316"/>
        <s v="id_317"/>
        <s v="id_318"/>
        <s v="id_319"/>
        <s v="id_320"/>
        <s v="id_321"/>
        <s v="id_322"/>
        <s v="id_323"/>
        <s v="id_324"/>
        <s v="id_325"/>
        <s v="id_326"/>
        <s v="id_327"/>
        <s v="id_328"/>
        <s v="id_329"/>
        <s v="id_330"/>
        <s v="id_331"/>
        <s v="id_332"/>
        <s v="id_333"/>
        <s v="id_334"/>
        <s v="id_335"/>
        <s v="id_336"/>
        <s v="id_337"/>
        <s v="id_338"/>
        <s v="id_339"/>
        <s v="id_340"/>
        <s v="id_341"/>
        <s v="id_342"/>
        <s v="id_343"/>
        <s v="id_344"/>
        <s v="id_345"/>
        <s v="id_346"/>
        <s v="id_347"/>
        <s v="id_348"/>
        <s v="id_349"/>
        <s v="id_350"/>
        <s v="id_351"/>
        <s v="id_352"/>
        <s v="id_353"/>
        <s v="id_354"/>
        <s v="id_355"/>
        <s v="id_356"/>
        <s v="id_357"/>
        <s v="id_358"/>
        <s v="id_359"/>
        <s v="id_360"/>
        <s v="id_361"/>
        <s v="id_362"/>
        <s v="id_363"/>
        <s v="id_364"/>
        <s v="id_365"/>
        <s v="id_366"/>
        <s v="id_367"/>
        <s v="id_368"/>
        <s v="id_369"/>
        <s v="id_370"/>
        <s v="id_371"/>
        <s v="id_372"/>
        <s v="id_373"/>
        <s v="id_374"/>
        <s v="id_375"/>
        <s v="id_376"/>
        <s v="id_377"/>
        <s v="id_378"/>
        <s v="id_379"/>
        <s v="id_380"/>
        <s v="id_381"/>
        <s v="id_382"/>
        <s v="id_383"/>
        <s v="id_384"/>
        <s v="id_385"/>
        <s v="id_386"/>
        <s v="id_387"/>
        <s v="id_388"/>
        <s v="id_389"/>
        <s v="id_390"/>
        <s v="id_391"/>
        <s v="id_392"/>
        <s v="id_393"/>
        <s v="id_394"/>
        <s v="id_395"/>
        <s v="id_396"/>
        <s v="id_397"/>
        <s v="id_398"/>
        <s v="id_399"/>
        <s v="id_400"/>
        <s v="id_401"/>
        <s v="id_402"/>
        <s v="id_403"/>
        <s v="id_404"/>
        <s v="id_405"/>
        <s v="id_406"/>
        <s v="id_407"/>
        <s v="id_408"/>
        <s v="id_409"/>
        <s v="id_410"/>
        <s v="id_411"/>
        <s v="id_412"/>
        <s v="id_413"/>
        <s v="id_414"/>
        <s v="id_415"/>
        <s v="id_416"/>
        <s v="id_417"/>
        <s v="id_418"/>
        <s v="id_419"/>
        <s v="id_420"/>
        <s v="id_421"/>
        <s v="id_422"/>
        <s v="id_423"/>
        <s v="id_424"/>
        <s v="id_425"/>
        <s v="id_426"/>
        <s v="id_427"/>
        <s v="id_428"/>
        <s v="id_429"/>
        <s v="id_430"/>
        <s v="id_431"/>
        <s v="id_432"/>
        <s v="id_433"/>
        <s v="id_434"/>
        <s v="id_435"/>
        <s v="id_436"/>
        <s v="id_437"/>
        <s v="id_438"/>
        <s v="id_439"/>
        <s v="id_440"/>
        <s v="id_441"/>
        <s v="id_442"/>
        <s v="id_443"/>
        <s v="id_444"/>
        <s v="id_445"/>
        <s v="id_446"/>
        <s v="id_447"/>
        <s v="id_448"/>
        <s v="id_449"/>
        <s v="id_450"/>
        <s v="id_451"/>
        <s v="id_452"/>
        <s v="id_453"/>
        <s v="id_454"/>
        <s v="id_455"/>
        <s v="id_456"/>
        <s v="id_457"/>
        <s v="id_458"/>
        <s v="id_459"/>
        <s v="id_460"/>
        <s v="id_461"/>
        <s v="id_462"/>
        <s v="id_463"/>
        <s v="id_464"/>
        <s v="id_465"/>
        <s v="id_466"/>
        <s v="id_467"/>
        <s v="id_468"/>
        <s v="id_469"/>
        <s v="id_470"/>
        <s v="id_471"/>
        <s v="id_472"/>
        <s v="id_473"/>
        <s v="id_474"/>
        <s v="id_475"/>
        <s v="id_476"/>
        <s v="id_477"/>
        <s v="id_478"/>
        <s v="id_479"/>
        <s v="id_480"/>
        <s v="id_481"/>
        <s v="id_482"/>
        <s v="id_483"/>
        <s v="id_484"/>
        <s v="id_485"/>
        <s v="id_486"/>
        <s v="id_487"/>
        <s v="id_488"/>
        <s v="id_489"/>
        <s v="id_490"/>
        <s v="id_491"/>
        <s v="id_492"/>
        <s v="id_493"/>
        <s v="id_494"/>
        <s v="id_495"/>
        <s v="id_496"/>
        <s v="id_497"/>
        <s v="id_498"/>
        <s v="id_499"/>
        <s v="id_500"/>
        <s v="id_501"/>
        <s v="id_502"/>
        <s v="id_503"/>
        <s v="id_504"/>
        <s v="id_505"/>
        <s v="id_506"/>
        <s v="id_507"/>
        <s v="id_508"/>
        <s v="id_509"/>
        <s v="id_510"/>
        <s v="id_511"/>
        <s v="id_512"/>
        <s v="id_513"/>
        <s v="id_514"/>
        <s v="id_515"/>
        <s v="id_516"/>
        <s v="id_517"/>
        <s v="id_518"/>
        <s v="id_519"/>
        <s v="id_520"/>
        <s v="id_521"/>
        <s v="id_522"/>
        <s v="id_523"/>
        <s v="id_524"/>
        <s v="id_525"/>
        <s v="id_526"/>
        <s v="id_527"/>
        <s v="id_528"/>
        <s v="id_529"/>
        <s v="id_530"/>
        <s v="id_531"/>
        <s v="id_532"/>
        <s v="id_533"/>
        <s v="id_534"/>
        <s v="id_535"/>
        <s v="id_536"/>
        <s v="id_537"/>
        <s v="id_538"/>
        <s v="id_539"/>
        <s v="id_540"/>
        <s v="id_541"/>
        <s v="id_542"/>
        <s v="id_543"/>
        <s v="id_544"/>
        <s v="id_545"/>
        <s v="id_546"/>
        <s v="id_547"/>
        <s v="id_548"/>
        <s v="id_549"/>
        <s v="id_550"/>
        <s v="id_551"/>
        <s v="id_552"/>
        <s v="id_553"/>
        <s v="id_554"/>
        <s v="id_555"/>
        <s v="id_556"/>
        <s v="id_557"/>
        <s v="id_558"/>
        <s v="id_559"/>
        <s v="id_560"/>
        <s v="id_561"/>
        <s v="id_562"/>
        <s v="id_563"/>
        <s v="id_564"/>
        <s v="id_565"/>
        <s v="id_566"/>
        <s v="id_567"/>
        <s v="id_568"/>
        <s v="id_569"/>
        <s v="id_570"/>
        <s v="id_571"/>
        <s v="id_572"/>
        <s v="id_573"/>
        <s v="id_574"/>
        <s v="id_575"/>
        <s v="id_576"/>
        <s v="id_577"/>
        <s v="id_578"/>
        <s v="id_579"/>
        <s v="id_580"/>
        <s v="id_581"/>
        <s v="id_582"/>
        <s v="id_583"/>
        <s v="id_584"/>
        <s v="id_585"/>
        <s v="id_586"/>
        <s v="id_587"/>
        <s v="id_588"/>
        <s v="id_589"/>
        <s v="id_590"/>
        <s v="id_591"/>
        <s v="id_592"/>
        <s v="id_593"/>
        <s v="id_594"/>
        <s v="id_595"/>
        <s v="id_596"/>
        <s v="id_597"/>
        <s v="id_598"/>
        <s v="id_599"/>
        <s v="id_600"/>
        <s v="id_601"/>
        <s v="id_602"/>
        <s v="id_603"/>
        <s v="id_604"/>
        <s v="id_605"/>
        <s v="id_606"/>
        <s v="id_607"/>
        <s v="id_608"/>
        <s v="id_609"/>
        <s v="id_610"/>
        <s v="id_611"/>
        <s v="id_612"/>
        <s v="id_613"/>
        <s v="id_614"/>
        <s v="id_615"/>
        <s v="id_616"/>
        <s v="id_617"/>
        <s v="id_618"/>
        <s v="id_619"/>
        <s v="id_620"/>
        <s v="id_621"/>
        <s v="id_622"/>
        <s v="id_623"/>
        <s v="id_624"/>
        <s v="id_625"/>
        <s v="id_626"/>
        <s v="id_627"/>
        <s v="id_628"/>
        <s v="id_629"/>
        <s v="id_630"/>
        <s v="id_631"/>
        <s v="id_632"/>
        <s v="id_633"/>
        <s v="id_634"/>
        <s v="id_635"/>
        <s v="id_636"/>
        <s v="id_637"/>
        <s v="id_638"/>
        <s v="id_639"/>
        <s v="id_640"/>
        <s v="id_641"/>
        <s v="id_642"/>
        <s v="id_643"/>
        <s v="id_644"/>
        <s v="id_645"/>
        <s v="id_646"/>
        <s v="id_647"/>
        <s v="id_648"/>
        <s v="id_649"/>
        <s v="id_650"/>
        <s v="id_651"/>
        <s v="id_652"/>
        <s v="id_653"/>
        <s v="id_654"/>
        <s v="id_655"/>
        <s v="id_656"/>
        <s v="id_657"/>
        <s v="id_658"/>
        <s v="id_659"/>
        <s v="id_660"/>
        <s v="id_661"/>
        <s v="id_662"/>
        <s v="id_663"/>
        <s v="id_664"/>
        <s v="id_665"/>
        <s v="id_666"/>
        <s v="id_667"/>
        <s v="id_668"/>
        <s v="id_669"/>
        <s v="id_670"/>
        <s v="id_671"/>
        <s v="id_672"/>
        <s v="id_673"/>
        <s v="id_674"/>
        <s v="id_675"/>
        <s v="id_676"/>
        <s v="id_677"/>
        <s v="id_678"/>
        <s v="id_679"/>
        <s v="id_680"/>
        <s v="id_681"/>
        <s v="id_682"/>
        <s v="id_683"/>
        <s v="id_684"/>
        <s v="id_685"/>
        <s v="id_686"/>
        <s v="id_687"/>
        <s v="id_688"/>
        <s v="id_689"/>
        <s v="id_690"/>
        <s v="id_691"/>
        <s v="id_692"/>
        <s v="id_693"/>
        <s v="id_694"/>
        <s v="id_695"/>
        <s v="id_696"/>
        <s v="id_697"/>
        <s v="id_698"/>
        <s v="id_699"/>
        <s v="id_700"/>
        <s v="id_701"/>
        <s v="id_702"/>
        <s v="id_703"/>
        <s v="id_704"/>
        <s v="id_705"/>
        <s v="id_706"/>
        <s v="id_707"/>
        <s v="id_708"/>
        <s v="id_709"/>
        <s v="id_710"/>
        <s v="id_711"/>
        <s v="id_712"/>
        <s v="id_713"/>
        <s v="id_714"/>
        <s v="id_715"/>
        <s v="id_716"/>
        <s v="id_717"/>
        <s v="id_718"/>
        <s v="id_719"/>
        <s v="id_720"/>
        <s v="id_721"/>
        <s v="id_722"/>
        <s v="id_723"/>
        <s v="id_724"/>
        <s v="id_725"/>
        <s v="id_726"/>
        <s v="id_727"/>
        <s v="id_728"/>
        <s v="id_729"/>
        <s v="id_730"/>
        <s v="id_731"/>
        <s v="id_732"/>
        <s v="id_733"/>
        <s v="id_734"/>
        <s v="id_735"/>
        <s v="id_736"/>
        <s v="id_737"/>
        <s v="id_738"/>
        <s v="id_739"/>
        <s v="id_740"/>
        <s v="id_741"/>
        <s v="id_742"/>
        <s v="id_743"/>
        <s v="id_744"/>
        <s v="id_745"/>
        <s v="id_746"/>
        <s v="id_747"/>
        <s v="id_748"/>
        <s v="id_749"/>
        <s v="id_750"/>
        <s v="id_751"/>
        <s v="id_752"/>
        <s v="id_753"/>
        <s v="id_754"/>
        <s v="id_755"/>
        <s v="id_756"/>
        <s v="id_757"/>
        <s v="id_758"/>
        <s v="id_759"/>
        <s v="id_760"/>
        <s v="id_761"/>
        <s v="id_762"/>
        <s v="id_763"/>
        <s v="id_764"/>
        <s v="id_765"/>
        <s v="id_766"/>
        <s v="id_767"/>
        <s v="id_768"/>
        <s v="id_769"/>
        <s v="id_770"/>
        <s v="id_771"/>
        <s v="id_772"/>
        <s v="id_773"/>
        <s v="id_774"/>
        <s v="id_775"/>
        <s v="id_776"/>
        <s v="id_777"/>
        <s v="id_778"/>
        <s v="id_779"/>
        <s v="id_780"/>
        <s v="id_781"/>
        <s v="id_782"/>
        <s v="id_783"/>
        <s v="id_784"/>
        <s v="id_785"/>
        <s v="id_786"/>
        <s v="id_787"/>
        <s v="id_788"/>
        <s v="id_789"/>
        <s v="id_790"/>
        <s v="id_791"/>
        <s v="id_792"/>
        <s v="id_793"/>
        <s v="id_794"/>
        <s v="id_795"/>
        <s v="id_796"/>
        <s v="id_797"/>
        <s v="id_798"/>
        <s v="id_799"/>
        <s v="id_800"/>
        <s v="id_801"/>
        <s v="id_802"/>
        <s v="id_803"/>
        <s v="id_804"/>
        <s v="id_805"/>
        <s v="id_806"/>
        <s v="id_807"/>
        <s v="id_808"/>
        <s v="id_809"/>
        <s v="id_810"/>
        <s v="id_811"/>
        <s v="id_812"/>
        <s v="id_813"/>
        <s v="id_814"/>
        <s v="id_815"/>
        <s v="id_816"/>
        <s v="id_817"/>
        <s v="id_818"/>
        <s v="id_819"/>
        <s v="id_820"/>
        <s v="id_821"/>
        <s v="id_822"/>
        <s v="id_823"/>
        <s v="id_824"/>
        <s v="id_825"/>
        <s v="id_826"/>
        <s v="id_827"/>
        <s v="id_828"/>
        <s v="id_829"/>
        <s v="id_830"/>
        <s v="id_831"/>
        <s v="id_832"/>
        <s v="id_833"/>
        <s v="id_834"/>
        <s v="id_835"/>
        <s v="id_836"/>
        <s v="id_837"/>
        <s v="id_838"/>
        <s v="id_839"/>
        <s v="id_840"/>
        <s v="id_841"/>
        <s v="id_842"/>
        <s v="id_843"/>
        <s v="id_844"/>
        <s v="id_845"/>
        <s v="id_846"/>
        <s v="id_847"/>
        <s v="id_848"/>
        <s v="id_849"/>
        <s v="id_850"/>
        <s v="id_851"/>
        <s v="id_852"/>
        <s v="id_853"/>
        <s v="id_854"/>
        <s v="id_855"/>
        <s v="id_856"/>
        <s v="id_857"/>
        <s v="id_858"/>
        <s v="id_859"/>
        <s v="id_860"/>
        <s v="id_861"/>
        <s v="id_862"/>
        <s v="id_863"/>
        <s v="id_864"/>
        <s v="id_865"/>
        <s v="id_866"/>
        <s v="id_867"/>
        <s v="id_868"/>
        <s v="id_869"/>
        <s v="id_870"/>
        <s v="id_871"/>
        <s v="id_872"/>
        <s v="id_873"/>
        <s v="id_874"/>
        <s v="id_875"/>
        <s v="id_876"/>
        <s v="id_877"/>
        <s v="id_878"/>
        <s v="id_879"/>
        <s v="id_880"/>
        <s v="id_881"/>
        <s v="id_882"/>
        <s v="id_883"/>
        <s v="id_884"/>
        <s v="id_885"/>
        <s v="id_886"/>
        <s v="id_887"/>
        <s v="id_888"/>
        <s v="id_889"/>
        <s v="id_890"/>
        <s v="id_891"/>
        <s v="id_892"/>
        <s v="id_893"/>
        <s v="id_894"/>
        <s v="id_895"/>
        <s v="id_896"/>
        <s v="id_897"/>
        <s v="id_898"/>
        <s v="id_899"/>
        <s v="id_900"/>
        <s v="id_901"/>
        <s v="id_902"/>
        <s v="id_903"/>
        <s v="id_904"/>
        <s v="id_905"/>
        <s v="id_906"/>
        <s v="id_907"/>
        <s v="id_908"/>
        <s v="id_909"/>
        <s v="id_910"/>
        <s v="id_911"/>
        <s v="id_912"/>
        <s v="id_913"/>
        <s v="id_914"/>
        <s v="id_915"/>
        <s v="id_916"/>
        <s v="id_917"/>
        <s v="id_918"/>
        <s v="id_919"/>
        <s v="id_920"/>
        <s v="id_921"/>
        <s v="id_922"/>
        <s v="id_923"/>
        <s v="id_924"/>
        <s v="id_925"/>
        <s v="id_926"/>
        <s v="id_927"/>
        <s v="id_928"/>
        <s v="id_929"/>
        <s v="id_930"/>
        <s v="id_931"/>
        <s v="id_932"/>
        <s v="id_933"/>
        <s v="id_934"/>
        <s v="id_935"/>
        <s v="id_936"/>
        <s v="id_937"/>
        <s v="id_938"/>
        <s v="id_939"/>
        <s v="id_940"/>
        <s v="id_941"/>
        <s v="id_942"/>
        <s v="id_943"/>
        <s v="id_944"/>
        <s v="id_945"/>
        <s v="id_946"/>
        <s v="id_947"/>
        <s v="id_948"/>
        <s v="id_949"/>
        <s v="id_950"/>
        <s v="id_951"/>
        <s v="id_952"/>
        <s v="id_953"/>
        <s v="id_954"/>
        <s v="id_955"/>
        <s v="id_956"/>
        <s v="id_957"/>
        <s v="id_958"/>
        <s v="id_959"/>
        <s v="id_960"/>
        <s v="id_961"/>
        <s v="id_962"/>
        <s v="id_963"/>
        <s v="id_964"/>
        <s v="id_965"/>
        <s v="id_966"/>
        <s v="id_967"/>
        <s v="id_968"/>
        <s v="id_969"/>
        <s v="id_970"/>
        <s v="id_971"/>
        <s v="id_972"/>
        <s v="id_973"/>
        <s v="id_974"/>
        <s v="id_975"/>
        <s v="id_976"/>
        <s v="id_977"/>
        <s v="id_978"/>
        <s v="id_979"/>
        <s v="id_980"/>
        <s v="id_981"/>
        <s v="id_982"/>
        <s v="id_983"/>
        <s v="id_984"/>
        <s v="id_985"/>
        <s v="id_986"/>
        <s v="id_987"/>
        <s v="id_989"/>
        <s v="id_990"/>
        <s v="id_991"/>
        <s v="id_992"/>
        <s v="id_993"/>
        <s v="id_994"/>
        <s v="id_995"/>
        <s v="id_996"/>
        <s v="id_997"/>
        <s v="id_999"/>
        <s v="id_1000"/>
        <s v="id_1001"/>
        <s v="id_1002"/>
        <s v="id_1003"/>
        <s v="id_1004"/>
        <s v="id_1005"/>
        <s v="id_1006"/>
        <s v="id_1007"/>
        <s v="id_1008"/>
        <s v="id_1009"/>
        <s v="id_1010"/>
        <s v="id_1011"/>
        <s v="id_1012"/>
        <s v="id_1013"/>
        <s v="id_1014"/>
        <s v="id_1015"/>
        <s v="id_1016"/>
        <s v="id_1017"/>
        <s v="id_1018"/>
        <s v="id_1019"/>
        <s v="id_1020"/>
        <s v="id_1021"/>
        <s v="id_1022"/>
        <s v="id_1023"/>
        <s v="id_1024"/>
        <s v="id_1025"/>
        <s v="id_1026"/>
        <s v="id_1027"/>
        <s v="id_1028"/>
        <s v="id_1029"/>
        <s v="id_1030"/>
        <s v="id_1031"/>
        <s v="id_1032"/>
        <s v="id_1033"/>
        <s v="id_1034"/>
        <s v="id_1036"/>
        <s v="id_1037"/>
        <s v="id_1038"/>
        <s v="id_1039"/>
        <s v="id_1040"/>
        <s v="id_1041"/>
        <s v="id_1042"/>
        <s v="id_1043"/>
        <s v="id_1045"/>
        <s v="id_1046"/>
        <s v="id_1047"/>
        <s v="id_1048"/>
        <s v="id_1049"/>
        <s v="id_1050"/>
        <s v="id_1051"/>
        <s v="id_1052"/>
        <s v="id_1053"/>
        <s v="id_1054"/>
        <s v="id_1055"/>
        <s v="id_1056"/>
        <s v="id_1057"/>
        <s v="id_1058"/>
        <s v="id_1059"/>
        <s v="id_1060"/>
        <s v="id_1061"/>
        <s v="id_1062"/>
        <s v="id_1063"/>
        <s v="id_1064"/>
        <s v="id_1065"/>
        <s v="id_1066"/>
        <s v="id_1067"/>
        <s v="id_1068"/>
        <s v="id_1069"/>
        <s v="id_1070"/>
        <s v="id_1071"/>
        <s v="id_1072"/>
        <s v="id_1073"/>
        <s v="id_1074"/>
        <s v="id_1075"/>
        <s v="id_1076"/>
        <s v="id_1077"/>
        <s v="id_1078"/>
        <s v="id_1079"/>
        <s v="id_1080"/>
        <s v="id_1081"/>
        <s v="id_1082"/>
        <s v="id_1083"/>
        <s v="id_1084"/>
        <s v="id_1085"/>
        <s v="id_1086"/>
        <s v="id_1087"/>
        <s v="id_1088"/>
        <s v="id_1089"/>
        <s v="id_1090"/>
        <s v="id_1091"/>
        <s v="id_1092"/>
        <s v="id_1093"/>
        <s v="id_1094"/>
        <s v="id_1095"/>
        <s v="id_1096"/>
        <s v="id_1097"/>
        <s v="id_1098"/>
        <s v="id_1099"/>
        <s v="id_1100"/>
        <s v="id_1101"/>
        <s v="id_1102"/>
        <s v="id_1103"/>
        <s v="id_1104"/>
        <s v="id_1105"/>
        <s v="id_1106"/>
        <s v="id_1107"/>
        <s v="id_1108"/>
        <s v="id_1109"/>
        <s v="id_1110"/>
        <s v="id_1111"/>
        <s v="id_1112"/>
        <s v="id_1113"/>
        <s v="id_1114"/>
        <s v="id_1115"/>
        <s v="id_1116"/>
        <s v="id_1117"/>
        <s v="id_1118"/>
        <s v="id_1119"/>
        <s v="id_1120"/>
        <s v="id_1121"/>
        <s v="id_1122"/>
        <s v="id_1123"/>
        <s v="id_1124"/>
        <s v="id_1125"/>
        <s v="id_1126"/>
        <s v="id_1127"/>
        <s v="id_1128"/>
        <s v="id_1129"/>
        <s v="id_1130"/>
        <s v="id_1131"/>
        <s v="id_1132"/>
        <s v="id_1133"/>
        <s v="id_1134"/>
        <s v="id_1135"/>
        <s v="id_1136"/>
        <s v="id_1137"/>
        <s v="id_1138"/>
        <s v="id_1139"/>
        <s v="id_1140"/>
        <s v="id_1141"/>
        <s v="id_1142"/>
        <s v="id_1143"/>
        <s v="id_1144"/>
        <s v="id_1145"/>
        <s v="id_1146"/>
        <s v="id_1147"/>
        <s v="id_1148"/>
        <s v="id_1149"/>
        <s v="id_1150"/>
        <s v="id_1151"/>
        <s v="id_1152"/>
        <s v="id_1153"/>
        <s v="id_1154"/>
        <s v="id_1155"/>
        <s v="id_1156"/>
        <s v="id_1157"/>
        <s v="id_1158"/>
        <s v="id_1159"/>
        <s v="id_1160"/>
        <s v="id_1161"/>
        <s v="id_1162"/>
        <s v="id_1163"/>
        <s v="id_1164"/>
        <s v="id_1165"/>
        <s v="id_1166"/>
        <s v="id_1167"/>
        <s v="id_1168"/>
        <s v="id_1169"/>
        <s v="id_1170"/>
        <s v="id_1171"/>
        <s v="id_1172"/>
        <s v="id_1173"/>
        <s v="id_1174"/>
        <s v="id_1175"/>
        <s v="id_1176"/>
        <s v="id_1177"/>
        <s v="id_1178"/>
        <s v="id_1179"/>
        <s v="id_1180"/>
        <s v="id_1181"/>
        <s v="id_1182"/>
        <s v="id_1183"/>
        <s v="id_1184"/>
        <s v="id_1185"/>
        <s v="id_1186"/>
        <s v="id_1187"/>
        <s v="id_1188"/>
        <s v="id_1189"/>
        <s v="id_1190"/>
        <s v="id_1191"/>
        <s v="id_1192"/>
        <s v="id_1193"/>
        <s v="id_1194"/>
        <s v="id_1195"/>
        <s v="id_1196"/>
        <s v="id_1197"/>
        <s v="id_1198"/>
        <s v="id_1199"/>
        <s v="id_1200"/>
        <s v="id_1201"/>
        <s v="id_1202"/>
        <s v="id_1203"/>
        <s v="id_1204"/>
        <s v="id_1205"/>
        <s v="id_1206"/>
        <s v="id_1207"/>
        <s v="id_1208"/>
        <s v="id_1209"/>
        <s v="id_1210"/>
        <s v="id_1211"/>
        <s v="id_1212"/>
        <s v="id_1213"/>
        <s v="id_1214"/>
        <s v="id_1215"/>
        <s v="id_1216"/>
        <s v="id_1217"/>
        <s v="id_1218"/>
        <s v="id_1219"/>
        <s v="id_1220"/>
        <s v="id_1221"/>
        <s v="id_1222"/>
        <s v="id_1223"/>
        <s v="id_1224"/>
        <s v="id_1225"/>
        <s v="id_1226"/>
        <s v="id_1227"/>
        <s v="id_1228"/>
        <s v="id_1229"/>
        <s v="id_1230"/>
        <s v="id_1231"/>
        <s v="id_1232"/>
        <s v="id_1233"/>
        <s v="id_1234"/>
        <s v="id_1235"/>
        <s v="id_1236"/>
        <s v="id_1237"/>
        <s v="id_1238"/>
        <s v="id_1239"/>
        <s v="id_1240"/>
        <s v="id_1241"/>
        <s v="id_1242"/>
        <s v="id_1243"/>
        <s v="id_1244"/>
        <s v="id_1245"/>
        <s v="id_1246"/>
        <s v="id_1247"/>
        <s v="id_1248"/>
        <s v="id_1249"/>
        <s v="id_1250"/>
        <s v="id_1251"/>
        <s v="id_1252"/>
        <s v="id_1253"/>
        <s v="id_1254"/>
        <s v="id_1255"/>
        <s v="id_1256"/>
        <s v="id_1257"/>
        <s v="id_1258"/>
        <s v="id_1259"/>
        <s v="id_1260"/>
        <s v="id_1261"/>
        <s v="id_1262"/>
        <s v="id_1263"/>
        <s v="id_1264"/>
        <s v="id_1265"/>
        <s v="id_1266"/>
        <s v="id_1267"/>
        <s v="id_1268"/>
        <s v="id_1269"/>
        <s v="id_1270"/>
        <s v="id_1271"/>
        <s v="id_1272"/>
        <s v="id_1273"/>
        <s v="id_1274"/>
        <s v="id_1275"/>
        <s v="id_1276"/>
        <s v="id_1277"/>
        <s v="id_1278"/>
        <s v="id_1279"/>
        <s v="id_1280"/>
        <s v="id_1281"/>
        <s v="id_1282"/>
        <s v="id_1283"/>
        <s v="id_1284"/>
        <s v="id_1285"/>
        <s v="id_1286"/>
        <s v="id_1287"/>
        <s v="id_1288"/>
        <s v="id_1289"/>
        <s v="id_1290"/>
        <s v="id_1291"/>
        <s v="id_1292"/>
        <s v="id_1293"/>
        <s v="id_1294"/>
        <s v="id_1295"/>
        <s v="id_1296"/>
        <s v="id_1297"/>
        <s v="id_1298"/>
        <s v="id_1299"/>
        <s v="id_1300"/>
        <s v="id_1301"/>
        <s v="id_1302"/>
        <s v="id_1303"/>
        <s v="id_1304"/>
        <s v="id_1305"/>
        <s v="id_1306"/>
        <s v="id_1307"/>
        <s v="id_1308"/>
        <s v="id_1309"/>
        <s v="id_1310"/>
        <s v="id_1311"/>
        <s v="id_1312"/>
        <s v="id_1313"/>
        <s v="id_1314"/>
        <s v="id_1315"/>
        <s v="id_1316"/>
        <s v="id_1317"/>
        <s v="id_1318"/>
        <s v="id_1319"/>
        <s v="id_1320"/>
        <s v="id_1321"/>
        <s v="id_1322"/>
        <s v="id_1323"/>
        <s v="id_1324"/>
        <s v="id_1325"/>
        <s v="id_1326"/>
        <s v="id_1327"/>
        <s v="id_1328"/>
        <s v="id_1329"/>
        <s v="id_1330"/>
        <s v="id_1331"/>
        <s v="id_1332"/>
        <s v="id_1333"/>
        <s v="id_1334"/>
        <s v="id_1335"/>
        <s v="id_1336"/>
        <s v="id_1337"/>
        <s v="id_1338"/>
        <s v="id_1339"/>
        <s v="id_1340"/>
        <s v="id_1341"/>
        <s v="id_1342"/>
        <s v="id_1343"/>
        <s v="id_1344"/>
        <s v="id_1345"/>
        <s v="id_1346"/>
        <s v="id_1347"/>
        <s v="id_1348"/>
        <s v="id_1349"/>
        <s v="id_1350"/>
        <s v="id_1351"/>
        <s v="id_1352"/>
        <s v="id_1353"/>
        <s v="id_1354"/>
        <s v="id_1355"/>
        <s v="id_1356"/>
        <s v="id_1357"/>
        <s v="id_1358"/>
        <s v="id_1359"/>
        <s v="id_1360"/>
        <s v="id_1361"/>
        <s v="id_1362"/>
        <s v="id_1363"/>
        <s v="id_1364"/>
        <s v="id_1365"/>
        <s v="id_1366"/>
        <s v="id_1367"/>
        <s v="id_1368"/>
        <s v="id_1369"/>
        <s v="id_1370"/>
        <s v="id_1371"/>
        <s v="id_1372"/>
        <s v="id_1373"/>
        <s v="id_1374"/>
        <s v="id_1375"/>
        <s v="id_1376"/>
        <s v="id_1377"/>
        <s v="id_1378"/>
        <s v="id_1379"/>
        <s v="id_1380"/>
        <s v="id_1381"/>
        <s v="id_1382"/>
        <s v="id_1383"/>
        <s v="id_1384"/>
        <s v="id_1385"/>
        <s v="id_1386"/>
        <s v="id_1387"/>
        <s v="id_1388"/>
        <s v="id_1389"/>
        <s v="id_1390"/>
        <s v="id_1391"/>
      </sharedItems>
    </cacheField>
    <cacheField name="START_DATE" numFmtId="164">
      <sharedItems containsSemiMixedTypes="0" containsDate="1" containsString="0">
        <d v="2016-01-01T21:11:00Z"/>
        <d v="2016-01-02T01:25:00Z"/>
        <d v="2016-01-02T20:25:00Z"/>
        <d v="2016-01-05T17:31:00Z"/>
        <d v="2016-01-06T14:42:00Z"/>
        <d v="2016-01-06T17:15:00Z"/>
        <d v="2016-01-06T17:30:00Z"/>
        <d v="2016-01-07T13:27:00Z"/>
        <d v="2016-01-10T08:05:00Z"/>
        <d v="2016-01-10T12:17:00Z"/>
        <d v="2016-01-10T15:08:00Z"/>
        <d v="2016-01-10T18:18:00Z"/>
        <d v="2016-01-10T19:12:00Z"/>
        <d v="2016-01-11T08:55:00Z"/>
        <d v="2016-01-11T11:56:00Z"/>
        <d v="2016-01-11T13:32:00Z"/>
        <d v="2016-01-11T14:30:00Z"/>
        <d v="2016-01-12T12:33:00Z"/>
        <d v="2016-01-12T12:53:00Z"/>
        <d v="2016-01-12T14:42:00Z"/>
        <d v="2016-01-12T15:13:00Z"/>
        <d v="2016-01-12T15:42:00Z"/>
        <d v="2016-01-12T16:02:00Z"/>
        <d v="2016-01-13T13:54:00Z"/>
        <d v="2016-01-13T15:00:00Z"/>
        <d v="2016-01-14T16:29:00Z"/>
        <d v="2016-01-14T21:39:00Z"/>
        <d v="2016-01-15T00:41:00Z"/>
        <d v="2016-01-15T11:43:00Z"/>
        <d v="2016-01-15T13:26:00Z"/>
        <d v="2016-01-18T14:55:00Z"/>
        <d v="2016-01-18T16:13:00Z"/>
        <d v="2016-01-19T09:09:00Z"/>
        <d v="2016-01-19T10:55:00Z"/>
        <d v="2016-01-20T10:36:00Z"/>
        <d v="2016-01-20T11:48:00Z"/>
        <d v="2016-01-20T13:25:00Z"/>
        <d v="2016-01-21T14:25:00Z"/>
        <d v="2016-01-21T14:43:00Z"/>
        <d v="2016-01-21T16:01:00Z"/>
        <d v="2016-01-26T10:41:00Z"/>
        <d v="2016-01-26T12:33:00Z"/>
        <d v="2016-01-26T16:24:00Z"/>
        <d v="2016-01-26T17:17:00Z"/>
        <d v="2016-01-26T17:27:00Z"/>
        <d v="2016-01-27T09:24:00Z"/>
        <d v="2016-01-27T10:19:00Z"/>
        <d v="2016-01-27T12:34:00Z"/>
        <d v="2016-01-27T14:05:00Z"/>
        <d v="2016-01-27T14:46:00Z"/>
        <d v="2016-01-28T12:28:00Z"/>
        <d v="2016-01-28T15:11:00Z"/>
        <d v="2016-01-28T16:21:00Z"/>
        <d v="2016-01-29T09:31:00Z"/>
        <d v="2016-01-29T10:56:00Z"/>
        <d v="2016-01-29T11:43:00Z"/>
        <d v="2016-01-29T13:24:00Z"/>
        <d v="2016-01-29T18:31:00Z"/>
        <d v="2016-01-29T21:21:00Z"/>
        <d v="2016-01-30T16:21:00Z"/>
        <d v="2016-01-30T18:09:00Z"/>
        <d v="2016-02-01T10:35:00Z"/>
        <d v="2016-02-01T12:10:00Z"/>
        <d v="2016-02-01T12:56:00Z"/>
        <d v="2016-02-02T13:04:00Z"/>
        <d v="2016-02-02T13:51:00Z"/>
        <d v="2016-02-02T14:38:00Z"/>
        <d v="2016-02-04T08:40:00Z"/>
        <d v="2016-02-04T09:37:00Z"/>
        <d v="2016-02-04T10:26:00Z"/>
        <d v="2016-02-04T15:59:00Z"/>
        <d v="2016-02-04T16:35:00Z"/>
        <d v="2016-02-04T18:04:00Z"/>
        <d v="2016-02-04T20:36:00Z"/>
        <d v="2016-02-05T11:47:00Z"/>
        <d v="2016-02-05T13:22:00Z"/>
        <d v="2016-02-06T16:20:00Z"/>
        <d v="2016-02-06T18:57:00Z"/>
        <d v="2016-02-06T19:28:00Z"/>
        <d v="2016-02-07T16:49:00Z"/>
        <d v="2016-02-07T18:03:00Z"/>
        <d v="2016-02-07T18:39:00Z"/>
        <d v="2016-02-07T20:22:00Z"/>
        <d v="2016-02-08T12:57:00Z"/>
        <d v="2016-02-08T14:00:00Z"/>
        <d v="2016-02-09T10:54:00Z"/>
        <d v="2016-02-09T11:43:00Z"/>
        <d v="2016-02-09T13:36:00Z"/>
        <d v="2016-02-09T13:58:00Z"/>
        <d v="2016-02-09T18:55:00Z"/>
        <d v="2016-02-09T20:24:00Z"/>
        <d v="2016-02-11T16:28:00Z"/>
        <d v="2016-02-11T17:49:00Z"/>
        <d v="2016-02-11T18:24:00Z"/>
        <d v="2016-02-11T20:36:00Z"/>
        <d v="2016-02-12T08:21:00Z"/>
        <d v="2016-02-12T10:45:00Z"/>
        <d v="2016-02-12T11:14:00Z"/>
        <d v="2016-02-12T13:02:00Z"/>
        <d v="2016-02-12T14:49:00Z"/>
        <d v="2016-02-12T15:33:00Z"/>
        <d v="2016-02-13T14:21:00Z"/>
        <d v="2016-02-13T23:45:00Z"/>
        <d v="2016-02-14T00:50:00Z"/>
        <d v="2016-02-14T14:07:00Z"/>
        <d v="2016-02-14T14:46:00Z"/>
        <d v="2016-02-14T16:35:00Z"/>
        <d v="2016-02-14T17:06:00Z"/>
        <d v="2016-02-16T03:21:00Z"/>
        <d v="2016-02-16T08:29:00Z"/>
        <d v="2016-02-16T10:31:00Z"/>
        <d v="2016-02-16T11:32:00Z"/>
        <d v="2016-02-16T12:39:00Z"/>
        <d v="2016-02-16T13:43:00Z"/>
        <d v="2016-02-16T16:34:00Z"/>
        <d v="2016-02-16T17:17:00Z"/>
        <d v="2016-02-16T17:40:00Z"/>
        <d v="2016-02-17T13:18:00Z"/>
        <d v="2016-02-17T15:17:00Z"/>
        <d v="2016-02-17T15:33:00Z"/>
        <d v="2016-02-17T16:38:00Z"/>
        <d v="2016-02-18T08:19:00Z"/>
        <d v="2016-02-18T14:03:00Z"/>
        <d v="2016-02-18T15:16:00Z"/>
        <d v="2016-02-18T18:44:00Z"/>
        <d v="2016-02-18T19:27:00Z"/>
        <d v="2016-02-19T09:02:00Z"/>
        <d v="2016-02-19T09:21:00Z"/>
        <d v="2016-02-19T10:21:00Z"/>
        <d v="2016-02-19T11:20:00Z"/>
        <d v="2016-02-19T11:45:00Z"/>
        <d v="2016-02-19T12:09:00Z"/>
        <d v="2016-02-19T16:26:00Z"/>
        <d v="2016-02-19T17:09:00Z"/>
        <d v="2016-02-19T20:08:00Z"/>
        <d v="2016-02-19T20:34:00Z"/>
        <d v="2016-02-20T07:59:00Z"/>
        <d v="2016-02-20T10:48:00Z"/>
        <d v="2016-02-20T11:45:00Z"/>
        <d v="2016-02-20T12:41:00Z"/>
        <d v="2016-02-20T14:50:00Z"/>
        <d v="2016-02-20T16:59:00Z"/>
        <d v="2016-02-20T18:00:00Z"/>
        <d v="2016-02-20T19:28:00Z"/>
        <d v="2016-02-21T09:07:00Z"/>
        <d v="2016-02-21T11:39:00Z"/>
        <d v="2016-02-21T11:47:00Z"/>
        <d v="2016-02-21T12:13:00Z"/>
        <d v="2016-02-21T12:51:00Z"/>
        <d v="2016-02-21T13:33:00Z"/>
        <d v="2016-02-21T14:36:00Z"/>
        <d v="2016-02-21T15:14:00Z"/>
        <d v="2016-02-21T15:36:00Z"/>
        <d v="2016-02-21T16:04:00Z"/>
        <d v="2016-02-21T23:15:00Z"/>
        <d v="2016-02-22T21:54:00Z"/>
        <d v="2016-02-24T14:30:00Z"/>
        <d v="2016-02-24T15:19:00Z"/>
        <d v="2016-02-25T16:27:00Z"/>
        <d v="2016-02-25T16:47:00Z"/>
        <d v="2016-02-25T17:16:00Z"/>
        <d v="2016-02-25T18:22:00Z"/>
        <d v="2016-02-26T09:06:00Z"/>
        <d v="2016-02-26T11:05:00Z"/>
        <d v="2016-02-26T11:35:00Z"/>
        <d v="2016-02-26T13:01:00Z"/>
        <d v="2016-02-26T14:38:00Z"/>
        <d v="2016-02-26T15:00:00Z"/>
        <d v="2016-02-26T17:01:00Z"/>
        <d v="2016-02-28T05:22:00Z"/>
        <d v="2016-02-28T09:26:00Z"/>
        <d v="2016-02-29T11:07:00Z"/>
        <d v="2016-02-29T11:30:00Z"/>
        <d v="2016-02-29T12:36:00Z"/>
        <d v="2016-02-29T14:55:00Z"/>
        <d v="2016-02-29T16:40:00Z"/>
        <d v="2016-03-01T18:47:00Z"/>
        <d v="2016-03-01T21:27:00Z"/>
        <d v="2016-03-03T09:45:00Z"/>
        <d v="2016-03-03T11:04:00Z"/>
        <d v="2016-03-03T14:44:00Z"/>
        <d v="2016-03-03T15:27:00Z"/>
        <d v="2016-03-03T16:02:00Z"/>
        <d v="2016-03-04T07:47:00Z"/>
        <d v="2016-03-04T09:46:00Z"/>
        <d v="2016-03-04T11:46:00Z"/>
        <d v="2016-03-04T13:03:00Z"/>
        <d v="2016-03-04T13:40:00Z"/>
        <d v="2016-03-04T15:56:00Z"/>
        <d v="2016-03-04T16:16:00Z"/>
        <d v="2016-03-04T16:43:00Z"/>
        <d v="2016-03-04T19:02:00Z"/>
        <d v="2016-03-04T19:16:00Z"/>
        <d v="2016-03-05T11:44:00Z"/>
        <d v="2016-03-05T12:57:00Z"/>
        <d v="2016-03-05T14:08:00Z"/>
        <d v="2016-03-05T14:39:00Z"/>
        <d v="2016-03-05T16:52:00Z"/>
        <d v="2016-03-05T17:23:00Z"/>
        <d v="2016-03-07T09:10:00Z"/>
        <d v="2016-03-07T09:23:00Z"/>
        <d v="2016-03-07T12:10:00Z"/>
        <d v="2016-03-07T13:57:00Z"/>
        <d v="2016-03-07T15:19:00Z"/>
        <d v="2016-03-08T14:38:00Z"/>
        <d v="2016-03-08T15:35:00Z"/>
        <d v="2016-03-08T16:13:00Z"/>
        <d v="2016-03-10T03:36:00Z"/>
        <d v="2016-03-10T10:08:00Z"/>
        <d v="2016-03-10T14:39:00Z"/>
        <d v="2016-03-10T16:18:00Z"/>
        <d v="2016-03-11T09:47:00Z"/>
        <d v="2016-03-11T10:29:00Z"/>
        <d v="2016-03-11T11:57:00Z"/>
        <d v="2016-03-11T13:43:00Z"/>
        <d v="2016-03-11T19:21:00Z"/>
        <d v="2016-03-12T09:13:00Z"/>
        <d v="2016-03-12T18:27:00Z"/>
        <d v="2016-03-13T09:07:00Z"/>
        <d v="2016-03-13T18:23:00Z"/>
        <d v="2016-03-13T20:07:00Z"/>
        <d v="2016-03-13T20:39:00Z"/>
        <d v="2016-03-13T21:11:00Z"/>
        <d v="2016-03-13T22:19:00Z"/>
        <d v="2016-03-14T08:34:00Z"/>
        <d v="2016-03-14T18:39:00Z"/>
        <d v="2016-03-15T08:45:00Z"/>
        <d v="2016-03-15T20:48:00Z"/>
        <d v="2016-03-16T11:34:00Z"/>
        <d v="2016-03-16T14:44:00Z"/>
        <d v="2016-03-16T18:43:00Z"/>
        <d v="2016-03-17T00:33:00Z"/>
        <d v="2016-03-17T12:52:00Z"/>
        <d v="2016-03-17T15:16:00Z"/>
        <d v="2016-03-17T17:20:00Z"/>
        <d v="2016-03-17T18:47:00Z"/>
        <d v="2016-03-17T20:57:00Z"/>
        <d v="2016-03-17T21:48:00Z"/>
        <d v="2016-03-18T07:15:00Z"/>
        <d v="2016-03-18T08:35:00Z"/>
        <d v="2016-03-18T18:24:00Z"/>
        <d v="2016-03-18T19:23:00Z"/>
        <d v="2016-03-18T21:01:00Z"/>
        <d v="2016-03-19T09:10:00Z"/>
        <d v="2016-03-19T12:50:00Z"/>
        <d v="2016-03-19T14:01:00Z"/>
        <d v="2016-03-19T15:34:00Z"/>
        <d v="2016-03-19T17:17:00Z"/>
        <d v="2016-03-19T17:37:00Z"/>
        <d v="2016-03-19T17:52:00Z"/>
        <d v="2016-03-19T18:53:00Z"/>
        <d v="2016-03-19T19:33:00Z"/>
        <d v="2016-03-20T07:37:00Z"/>
        <d v="2016-03-20T11:42:00Z"/>
        <d v="2016-03-20T17:08:00Z"/>
        <d v="2016-03-20T18:34:00Z"/>
        <d v="2016-03-20T18:45:00Z"/>
        <d v="2016-03-21T10:21:00Z"/>
        <d v="2016-03-21T16:05:00Z"/>
        <d v="2016-03-21T18:59:00Z"/>
        <d v="2016-03-21T20:18:00Z"/>
        <d v="2016-03-22T06:17:00Z"/>
        <d v="2016-03-22T12:06:00Z"/>
        <d v="2016-03-22T19:12:00Z"/>
        <d v="2016-03-23T14:37:00Z"/>
        <d v="2016-03-23T14:53:00Z"/>
        <d v="2016-03-24T19:47:00Z"/>
        <d v="2016-03-24T20:34:00Z"/>
        <d v="2016-03-25T13:24:00Z"/>
        <d v="2016-03-25T16:52:00Z"/>
        <d v="2016-03-25T22:54:00Z"/>
        <d v="2016-03-26T14:05:00Z"/>
        <d v="2016-03-26T15:19:00Z"/>
        <d v="2016-03-26T16:26:00Z"/>
        <d v="2016-03-27T00:31:00Z"/>
        <d v="2016-03-27T01:11:00Z"/>
        <d v="2016-03-27T15:31:00Z"/>
        <d v="2016-03-27T21:26:00Z"/>
        <d v="2016-03-27T23:04:00Z"/>
        <d v="2016-03-28T12:29:00Z"/>
        <d v="2016-03-28T19:30:00Z"/>
        <d v="2016-03-28T22:55:00Z"/>
        <d v="2016-03-29T15:27:00Z"/>
        <d v="2016-03-29T18:20:00Z"/>
        <d v="2016-03-29T20:29:00Z"/>
        <d v="2016-03-29T23:04:00Z"/>
        <d v="2016-03-30T22:05:00Z"/>
        <d v="2016-03-31T12:47:00Z"/>
        <d v="2016-03-31T14:37:00Z"/>
        <d v="2016-04-01T13:43:00Z"/>
        <d v="2016-04-01T14:36:00Z"/>
        <d v="2016-04-01T16:01:00Z"/>
        <d v="2016-04-01T16:52:00Z"/>
        <d v="2016-04-02T08:48:00Z"/>
        <d v="2016-04-02T11:01:00Z"/>
        <d v="2016-04-02T12:21:00Z"/>
        <d v="2016-04-02T16:57:00Z"/>
        <d v="2016-04-02T19:38:00Z"/>
        <d v="2016-04-02T23:11:00Z"/>
        <d v="2016-04-03T02:00:00Z"/>
        <d v="2016-04-05T21:39:00Z"/>
        <d v="2016-04-06T00:19:00Z"/>
        <d v="2016-04-07T18:20:00Z"/>
        <d v="2016-04-07T19:45:00Z"/>
        <d v="2016-04-08T12:30:00Z"/>
        <d v="2016-04-08T13:34:00Z"/>
        <d v="2016-04-08T13:55:00Z"/>
        <d v="2016-04-08T14:43:00Z"/>
        <d v="2016-04-08T16:05:00Z"/>
        <d v="2016-04-12T09:15:00Z"/>
        <d v="2016-04-12T09:34:00Z"/>
        <d v="2016-04-12T10:58:00Z"/>
        <d v="2016-04-12T12:22:00Z"/>
        <d v="2016-04-12T13:42:00Z"/>
        <d v="2016-04-14T07:29:00Z"/>
        <d v="2016-04-14T16:00:00Z"/>
        <d v="2016-04-15T11:36:00Z"/>
        <d v="2016-04-15T12:29:00Z"/>
        <d v="2016-04-15T14:31:00Z"/>
        <d v="2016-04-16T12:59:00Z"/>
        <d v="2016-04-16T15:10:00Z"/>
        <d v="2016-04-19T17:44:00Z"/>
        <d v="2016-04-19T19:57:00Z"/>
        <d v="2016-04-22T08:25:00Z"/>
        <d v="2016-04-22T10:10:00Z"/>
        <d v="2016-04-22T12:08:00Z"/>
        <d v="2016-04-22T13:02:00Z"/>
        <d v="2016-04-23T17:03:00Z"/>
        <d v="2016-04-23T18:49:00Z"/>
        <d v="2016-04-24T19:07:00Z"/>
        <d v="2016-04-24T19:46:00Z"/>
        <d v="2016-04-24T21:41:00Z"/>
        <d v="2016-04-27T13:30:00Z"/>
        <d v="2016-04-27T14:13:00Z"/>
        <d v="2016-04-28T12:09:00Z"/>
        <d v="2016-04-28T13:30:00Z"/>
        <d v="2016-04-28T22:10:00Z"/>
        <d v="2016-04-29T11:44:00Z"/>
        <d v="2016-04-29T13:13:00Z"/>
        <d v="2016-04-29T18:46:00Z"/>
        <d v="2016-04-29T22:44:00Z"/>
        <d v="2016-04-30T18:42:00Z"/>
        <d v="2016-04-30T22:16:00Z"/>
        <d v="2016-05-01T13:45:00Z"/>
        <d v="2016-05-01T14:26:00Z"/>
        <d v="2016-05-01T17:33:00Z"/>
        <d v="2016-05-01T17:54:00Z"/>
        <d v="2016-05-01T22:38:00Z"/>
        <d v="2016-05-02T14:14:00Z"/>
        <d v="2016-05-02T15:37:00Z"/>
        <d v="2016-05-03T22:20:00Z"/>
        <d v="2016-05-04T15:16:00Z"/>
        <d v="2016-05-04T20:55:00Z"/>
        <d v="2016-05-04T21:30:00Z"/>
        <d v="2016-05-04T22:19:00Z"/>
        <d v="2016-05-05T21:24:00Z"/>
        <d v="2016-05-05T22:34:00Z"/>
        <d v="2016-05-05T23:55:00Z"/>
        <d v="2016-05-06T05:47:00Z"/>
        <d v="2016-05-06T16:45:00Z"/>
        <d v="2016-05-06T17:18:00Z"/>
        <d v="2016-05-09T06:08:00Z"/>
        <d v="2016-05-09T14:39:00Z"/>
        <d v="2016-05-09T17:58:00Z"/>
        <d v="2016-05-09T19:35:00Z"/>
        <d v="2016-05-10T09:03:00Z"/>
        <d v="2016-05-10T17:19:00Z"/>
        <d v="2016-05-11T08:35:00Z"/>
        <d v="2016-05-11T21:47:00Z"/>
        <d v="2016-05-14T18:35:00Z"/>
        <d v="2016-05-14T23:01:00Z"/>
        <d v="2016-05-17T13:15:00Z"/>
        <d v="2016-05-17T13:56:00Z"/>
        <d v="2016-05-17T14:34:00Z"/>
        <d v="2016-05-18T09:11:00Z"/>
        <d v="2016-05-18T13:00:00Z"/>
        <d v="2016-05-19T14:37:00Z"/>
        <d v="2016-05-20T10:56:00Z"/>
        <d v="2016-05-20T15:43:00Z"/>
        <d v="2016-05-22T15:39:00Z"/>
        <d v="2016-05-22T18:46:00Z"/>
        <d v="2016-05-23T20:19:00Z"/>
        <d v="2016-05-23T21:09:00Z"/>
        <d v="2016-05-27T20:26:00Z"/>
        <d v="2016-05-27T20:47:00Z"/>
        <d v="2016-05-27T22:11:00Z"/>
        <d v="2016-05-28T00:15:00Z"/>
        <d v="2016-05-28T12:52:00Z"/>
        <d v="2016-05-28T14:35:00Z"/>
        <d v="2016-05-31T13:54:00Z"/>
        <d v="2016-05-31T16:02:00Z"/>
        <d v="2016-05-31T17:50:00Z"/>
        <d v="2016-06-01T10:19:00Z"/>
        <d v="2016-06-01T13:10:00Z"/>
        <d v="2016-06-03T11:29:00Z"/>
        <d v="2016-06-03T13:08:00Z"/>
        <d v="2016-06-03T15:31:00Z"/>
        <d v="2016-06-03T18:14:00Z"/>
        <d v="2016-06-03T18:41:00Z"/>
        <d v="2016-06-03T19:36:00Z"/>
        <d v="2016-06-03T22:47:00Z"/>
        <d v="2016-06-05T14:03:00Z"/>
        <d v="2016-06-05T15:06:00Z"/>
        <d v="2016-06-05T15:57:00Z"/>
        <d v="2016-06-05T18:05:00Z"/>
        <d v="2016-06-05T21:53:00Z"/>
        <d v="2016-06-05T23:52:00Z"/>
        <d v="2016-06-06T15:36:00Z"/>
        <d v="2016-06-06T16:16:00Z"/>
        <d v="2016-06-06T20:06:00Z"/>
        <d v="2016-06-06T21:08:00Z"/>
        <d v="2016-06-06T21:41:00Z"/>
        <d v="2016-06-06T23:34:00Z"/>
        <d v="2016-06-07T21:42:00Z"/>
        <d v="2016-06-07T23:41:00Z"/>
        <d v="2016-06-08T08:23:00Z"/>
        <d v="2016-06-08T12:04:00Z"/>
        <d v="2016-06-08T13:12:00Z"/>
        <d v="2016-06-08T14:31:00Z"/>
        <d v="2016-06-08T16:55:00Z"/>
        <d v="2016-06-08T17:16:00Z"/>
        <d v="2016-06-08T17:59:00Z"/>
        <d v="2016-06-08T20:11:00Z"/>
        <d v="2016-06-10T15:19:00Z"/>
        <d v="2016-06-10T21:47:00Z"/>
        <d v="2016-06-10T23:53:00Z"/>
        <d v="2016-06-11T17:08:00Z"/>
        <d v="2016-06-11T17:34:00Z"/>
        <d v="2016-06-11T17:50:00Z"/>
        <d v="2016-06-11T21:45:00Z"/>
        <d v="2016-06-11T23:39:00Z"/>
        <d v="2016-06-12T19:53:00Z"/>
        <d v="2016-06-12T20:05:00Z"/>
        <d v="2016-06-12T21:58:00Z"/>
        <d v="2016-06-13T05:23:00Z"/>
        <d v="2016-06-13T14:17:00Z"/>
        <d v="2016-06-13T18:08:00Z"/>
        <d v="2016-06-13T18:54:00Z"/>
        <d v="2016-06-13T20:00:00Z"/>
        <d v="2016-06-14T12:03:00Z"/>
        <d v="2016-06-14T16:09:00Z"/>
        <d v="2016-06-14T17:15:00Z"/>
        <d v="2016-06-14T17:27:00Z"/>
        <d v="2016-06-15T01:46:00Z"/>
        <d v="2016-06-15T15:26:00Z"/>
        <d v="2016-06-15T16:37:00Z"/>
        <d v="2016-06-15T17:29:00Z"/>
        <d v="2016-06-15T19:52:00Z"/>
        <d v="2016-06-16T13:36:00Z"/>
        <d v="2016-06-16T14:42:00Z"/>
        <d v="2016-06-16T15:17:00Z"/>
        <d v="2016-06-16T19:39:00Z"/>
        <d v="2016-06-16T21:43:00Z"/>
        <d v="2016-06-17T16:11:00Z"/>
        <d v="2016-06-18T00:29:00Z"/>
        <d v="2016-06-19T02:39:00Z"/>
        <d v="2016-06-19T05:51:00Z"/>
        <d v="2016-06-21T15:39:00Z"/>
        <d v="2016-06-21T17:11:00Z"/>
        <d v="2016-06-24T10:41:00Z"/>
        <d v="2016-06-24T11:54:00Z"/>
        <d v="2016-06-24T12:19:00Z"/>
        <d v="2016-06-24T12:50:00Z"/>
        <d v="2016-06-24T13:18:00Z"/>
        <d v="2016-06-24T14:01:00Z"/>
        <d v="2016-06-24T20:44:00Z"/>
        <d v="2016-06-25T09:03:00Z"/>
        <d v="2016-06-25T09:15:00Z"/>
        <d v="2016-06-25T10:18:00Z"/>
        <d v="2016-06-25T10:50:00Z"/>
        <d v="2016-06-25T11:25:00Z"/>
        <d v="2016-06-25T11:53:00Z"/>
        <d v="2016-06-25T19:47:00Z"/>
        <d v="2016-06-25T23:19:00Z"/>
        <d v="2016-06-26T17:43:00Z"/>
        <d v="2016-06-26T18:45:00Z"/>
        <d v="2016-06-26T19:41:00Z"/>
        <d v="2016-06-26T21:14:00Z"/>
        <d v="2016-06-27T07:37:00Z"/>
        <d v="2016-06-27T08:51:00Z"/>
        <d v="2016-06-27T09:05:00Z"/>
        <d v="2016-06-27T09:43:00Z"/>
        <d v="2016-06-27T10:22:00Z"/>
        <d v="2016-06-27T10:51:00Z"/>
        <d v="2016-06-27T11:06:00Z"/>
        <d v="2016-06-27T11:30:00Z"/>
        <d v="2016-06-27T12:22:00Z"/>
        <d v="2016-06-27T13:56:00Z"/>
        <d v="2016-06-27T21:09:00Z"/>
        <d v="2016-06-28T00:48:00Z"/>
        <d v="2016-06-28T20:13:00Z"/>
        <d v="2016-06-28T23:34:00Z"/>
        <d v="2016-06-29T08:56:00Z"/>
        <d v="2016-06-29T10:22:00Z"/>
        <d v="2016-06-29T11:49:00Z"/>
        <d v="2016-06-29T12:11:00Z"/>
        <d v="2016-06-29T20:11:00Z"/>
        <d v="2016-06-29T23:38:00Z"/>
        <d v="2016-06-30T20:09:00Z"/>
        <d v="2016-07-01T00:00:00Z"/>
        <d v="2016-07-01T09:34:00Z"/>
        <d v="2016-07-01T12:36:00Z"/>
        <d v="2016-07-01T20:06:00Z"/>
        <d v="2016-07-01T23:48:00Z"/>
        <d v="2016-07-02T20:18:00Z"/>
        <d v="2016-07-02T23:48:00Z"/>
        <d v="2016-07-03T00:28:00Z"/>
        <d v="2016-07-03T03:02:00Z"/>
        <d v="2016-07-03T20:00:00Z"/>
        <d v="2016-07-04T00:32:00Z"/>
        <d v="2016-07-04T17:31:00Z"/>
        <d v="2016-07-04T18:23:00Z"/>
        <d v="2016-07-04T20:00:00Z"/>
        <d v="2016-07-05T00:00:00Z"/>
        <d v="2016-07-05T00:08:00Z"/>
        <d v="2016-07-05T16:48:00Z"/>
        <d v="2016-07-05T20:06:00Z"/>
        <d v="2016-07-05T22:41:00Z"/>
        <d v="2016-07-06T00:33:00Z"/>
        <d v="2016-07-06T09:06:00Z"/>
        <d v="2016-07-06T12:48:00Z"/>
        <d v="2016-07-06T20:04:00Z"/>
        <d v="2016-07-06T23:46:00Z"/>
        <d v="2016-07-07T08:22:00Z"/>
        <d v="2016-07-07T10:27:00Z"/>
        <d v="2016-07-07T12:59:00Z"/>
        <d v="2016-07-08T09:50:00Z"/>
        <d v="2016-07-08T10:51:00Z"/>
        <d v="2016-07-08T13:48:00Z"/>
        <d v="2016-07-08T17:11:00Z"/>
        <d v="2016-07-09T09:03:00Z"/>
        <d v="2016-07-09T09:52:00Z"/>
        <d v="2016-07-09T10:15:00Z"/>
        <d v="2016-07-10T14:10:00Z"/>
        <d v="2016-07-10T16:04:00Z"/>
        <d v="2016-07-10T18:05:00Z"/>
        <d v="2016-07-10T19:51:00Z"/>
        <d v="2016-07-12T16:10:00Z"/>
        <d v="2016-07-12T19:21:00Z"/>
        <d v="2016-07-12T23:47:00Z"/>
        <d v="2016-07-13T12:39:00Z"/>
        <d v="2016-07-13T13:25:00Z"/>
        <d v="2016-07-13T13:42:00Z"/>
        <d v="2016-07-14T15:51:00Z"/>
        <d v="2016-07-14T16:03:00Z"/>
        <d v="2016-07-14T16:39:00Z"/>
        <d v="2016-07-15T11:32:00Z"/>
        <d v="2016-07-15T12:09:00Z"/>
        <d v="2016-07-15T12:35:00Z"/>
        <d v="2016-07-15T15:03:00Z"/>
        <d v="2016-07-15T15:40:00Z"/>
        <d v="2016-07-16T13:14:00Z"/>
        <d v="2016-07-16T14:14:00Z"/>
        <d v="2016-07-16T15:29:00Z"/>
        <d v="2016-07-16T19:42:00Z"/>
        <d v="2016-07-16T21:45:00Z"/>
        <d v="2016-07-16T22:50:00Z"/>
        <d v="2016-07-17T11:23:00Z"/>
        <d v="2016-07-17T12:20:00Z"/>
        <d v="2016-07-18T10:37:00Z"/>
        <d v="2016-07-18T10:54:00Z"/>
        <d v="2016-07-18T11:25:00Z"/>
        <d v="2016-07-18T11:40:00Z"/>
        <d v="2016-07-18T17:12:00Z"/>
        <d v="2016-07-18T18:32:00Z"/>
        <d v="2016-07-18T19:07:00Z"/>
        <d v="2016-07-18T20:28:00Z"/>
        <d v="2016-07-18T21:11:00Z"/>
        <d v="2016-07-19T10:35:00Z"/>
        <d v="2016-07-19T10:56:00Z"/>
        <d v="2016-07-19T11:30:00Z"/>
        <d v="2016-07-19T17:14:00Z"/>
        <d v="2016-07-19T17:50:00Z"/>
        <d v="2016-07-20T17:12:00Z"/>
        <d v="2016-07-20T17:50:00Z"/>
        <d v="2016-07-20T18:16:00Z"/>
        <d v="2016-07-21T17:17:00Z"/>
        <d v="2016-07-21T17:42:00Z"/>
        <d v="2016-07-21T18:27:00Z"/>
        <d v="2016-07-21T19:30:00Z"/>
        <d v="2016-07-22T10:42:00Z"/>
        <d v="2016-07-22T11:11:00Z"/>
        <d v="2016-07-22T11:37:00Z"/>
        <d v="2016-07-22T12:14:00Z"/>
        <d v="2016-07-22T13:21:00Z"/>
        <d v="2016-07-22T14:27:00Z"/>
        <d v="2016-07-22T15:49:00Z"/>
        <d v="2016-07-22T18:33:00Z"/>
        <d v="2016-07-23T14:27:00Z"/>
        <d v="2016-07-23T14:48:00Z"/>
        <d v="2016-07-23T15:15:00Z"/>
        <d v="2016-07-23T15:50:00Z"/>
        <d v="2016-07-23T20:17:00Z"/>
        <d v="2016-07-23T23:18:00Z"/>
        <d v="2016-07-25T10:35:00Z"/>
        <d v="2016-07-25T10:47:00Z"/>
        <d v="2016-07-25T11:04:00Z"/>
        <d v="2016-07-25T11:37:00Z"/>
        <d v="2016-07-26T15:43:00Z"/>
        <d v="2016-07-26T17:14:00Z"/>
        <d v="2016-07-26T20:52:00Z"/>
        <d v="2016-07-26T22:31:00Z"/>
        <d v="2016-07-27T19:08:00Z"/>
        <d v="2016-07-27T21:34:00Z"/>
        <d v="2016-07-27T22:00:00Z"/>
        <d v="2016-07-28T00:04:00Z"/>
        <d v="2016-07-29T15:45:00Z"/>
        <d v="2016-07-29T17:27:00Z"/>
        <d v="2016-07-30T17:02:00Z"/>
        <d v="2016-07-30T21:16:00Z"/>
        <d v="2016-07-31T17:30:00Z"/>
        <d v="2016-08-01T12:47:00Z"/>
        <d v="2016-08-01T13:08:00Z"/>
        <d v="2016-08-01T13:28:00Z"/>
        <d v="2016-08-01T13:52:00Z"/>
        <d v="2016-08-01T15:40:00Z"/>
        <d v="2016-08-01T16:18:00Z"/>
        <d v="2016-08-01T16:29:00Z"/>
        <d v="2016-08-01T17:23:00Z"/>
        <d v="2016-08-02T08:11:00Z"/>
        <d v="2016-08-02T11:51:00Z"/>
        <d v="2016-08-02T19:15:00Z"/>
        <d v="2016-08-02T21:23:00Z"/>
        <d v="2016-08-03T12:46:00Z"/>
        <d v="2016-08-03T14:59:00Z"/>
        <d v="2016-08-03T16:00:00Z"/>
        <d v="2016-08-05T17:23:00Z"/>
        <d v="2016-08-05T18:17:00Z"/>
        <d v="2016-08-05T19:17:00Z"/>
        <d v="2016-08-06T06:40:00Z"/>
        <d v="2016-08-06T09:31:00Z"/>
        <d v="2016-08-07T17:14:00Z"/>
        <d v="2016-08-07T17:28:00Z"/>
        <d v="2016-08-07T18:17:00Z"/>
        <d v="2016-08-07T20:15:00Z"/>
        <d v="2016-08-08T16:17:00Z"/>
        <d v="2016-08-08T16:37:00Z"/>
        <d v="2016-08-08T17:02:00Z"/>
        <d v="2016-08-08T21:50:00Z"/>
        <d v="2016-08-08T23:28:00Z"/>
        <d v="2016-08-09T14:20:00Z"/>
        <d v="2016-08-09T15:15:00Z"/>
        <d v="2016-08-09T16:04:00Z"/>
        <d v="2016-08-10T16:56:00Z"/>
        <d v="2016-08-10T17:53:00Z"/>
        <d v="2016-08-10T18:49:00Z"/>
        <d v="2016-08-10T19:47:00Z"/>
        <d v="2016-08-11T12:53:00Z"/>
        <d v="2016-08-11T13:14:00Z"/>
        <d v="2016-08-11T13:32:00Z"/>
        <d v="2016-08-11T18:37:00Z"/>
        <d v="2016-08-11T20:59:00Z"/>
        <d v="2016-08-12T18:49:00Z"/>
        <d v="2016-08-12T18:56:00Z"/>
        <d v="2016-08-13T15:35:00Z"/>
        <d v="2016-08-15T09:05:00Z"/>
        <d v="2016-08-15T15:20:00Z"/>
        <d v="2016-08-15T16:52:00Z"/>
        <d v="2016-08-15T19:08:00Z"/>
        <d v="2016-08-16T07:58:00Z"/>
        <d v="2016-08-16T08:16:00Z"/>
        <d v="2016-08-16T08:46:00Z"/>
        <d v="2016-08-16T10:06:00Z"/>
        <d v="2016-08-16T10:31:00Z"/>
        <d v="2016-08-16T11:47:00Z"/>
        <d v="2016-08-16T15:13:00Z"/>
        <d v="2016-08-17T10:17:00Z"/>
        <d v="2016-08-17T10:57:00Z"/>
        <d v="2016-08-17T14:45:00Z"/>
        <d v="2016-08-17T15:32:00Z"/>
        <d v="2016-08-17T16:29:00Z"/>
        <d v="2016-08-17T16:54:00Z"/>
        <d v="2016-08-17T17:05:00Z"/>
        <d v="2016-08-17T18:38:00Z"/>
        <d v="2016-08-18T18:40:00Z"/>
        <d v="2016-08-19T08:24:00Z"/>
        <d v="2016-08-19T08:54:00Z"/>
        <d v="2016-08-19T09:27:00Z"/>
        <d v="2016-08-19T10:57:00Z"/>
        <d v="2016-08-19T12:07:00Z"/>
        <d v="2016-08-19T15:51:00Z"/>
        <d v="2016-08-19T17:12:00Z"/>
        <d v="2016-08-21T10:00:00Z"/>
        <d v="2016-08-21T14:05:00Z"/>
        <d v="2016-08-21T16:30:00Z"/>
        <d v="2016-08-21T18:10:00Z"/>
        <d v="2016-08-21T18:48:00Z"/>
        <d v="2016-08-22T10:00:00Z"/>
        <d v="2016-08-22T11:07:00Z"/>
        <d v="2016-08-22T12:36:00Z"/>
        <d v="2016-08-22T13:02:00Z"/>
        <d v="2016-08-22T14:07:00Z"/>
        <d v="2016-08-22T15:14:00Z"/>
        <d v="2016-08-22T15:59:00Z"/>
        <d v="2016-08-22T19:58:00Z"/>
        <d v="2016-08-22T20:53:00Z"/>
        <d v="2016-08-22T22:31:00Z"/>
        <d v="2016-08-23T08:10:00Z"/>
        <d v="2016-08-23T09:35:00Z"/>
        <d v="2016-08-23T12:59:00Z"/>
        <d v="2016-08-23T13:19:00Z"/>
        <d v="2016-08-23T13:49:00Z"/>
        <d v="2016-08-23T15:07:00Z"/>
        <d v="2016-08-23T15:15:00Z"/>
        <d v="2016-08-23T17:42:00Z"/>
        <d v="2016-08-24T12:05:00Z"/>
        <d v="2016-08-24T13:01:00Z"/>
        <d v="2016-08-25T15:17:00Z"/>
        <d v="2016-08-25T16:36:00Z"/>
        <d v="2016-08-25T17:19:00Z"/>
        <d v="2016-08-25T19:25:00Z"/>
        <d v="2016-08-25T22:58:00Z"/>
        <d v="2016-08-26T09:06:00Z"/>
        <d v="2016-08-26T11:14:00Z"/>
        <d v="2016-08-26T12:10:00Z"/>
        <d v="2016-08-26T14:10:00Z"/>
        <d v="2016-08-26T15:23:00Z"/>
        <d v="2016-08-26T15:59:00Z"/>
        <d v="2016-08-26T16:55:00Z"/>
        <d v="2016-08-26T18:42:00Z"/>
        <d v="2016-08-26T19:31:00Z"/>
        <d v="2016-08-26T20:06:00Z"/>
        <d v="2016-08-27T09:34:00Z"/>
        <d v="2016-08-27T11:47:00Z"/>
        <d v="2016-08-27T12:12:00Z"/>
        <d v="2016-08-27T14:01:00Z"/>
        <d v="2016-08-27T16:15:00Z"/>
        <d v="2016-08-28T09:57:00Z"/>
        <d v="2016-08-28T16:39:00Z"/>
        <d v="2016-08-28T17:37:00Z"/>
        <d v="2016-08-28T21:15:00Z"/>
        <d v="2016-08-29T12:02:00Z"/>
        <d v="2016-08-29T13:38:00Z"/>
        <d v="2016-08-29T14:31:00Z"/>
        <d v="2016-08-29T14:49:00Z"/>
        <d v="2016-08-29T15:49:00Z"/>
        <d v="2016-08-29T16:06:00Z"/>
        <d v="2016-08-29T17:24:00Z"/>
        <d v="2016-08-29T18:27:00Z"/>
        <d v="2016-08-30T11:53:00Z"/>
        <d v="2016-08-30T12:46:00Z"/>
        <d v="2016-08-30T13:25:00Z"/>
        <d v="2016-08-30T14:00:00Z"/>
        <d v="2016-08-30T17:27:00Z"/>
        <d v="2016-09-01T11:51:00Z"/>
        <d v="2016-09-01T17:21:00Z"/>
        <d v="2016-09-01T18:49:00Z"/>
        <d v="2016-09-02T11:37:00Z"/>
        <d v="2016-09-02T18:56:00Z"/>
        <d v="2016-09-05T10:25:00Z"/>
        <d v="2016-09-10T10:28:00Z"/>
        <d v="2016-09-11T09:51:00Z"/>
        <d v="2016-09-11T21:40:00Z"/>
        <d v="2016-09-12T08:07:00Z"/>
        <d v="2016-09-12T11:15:00Z"/>
        <d v="2016-09-12T13:04:00Z"/>
        <d v="2016-09-13T16:56:00Z"/>
        <d v="2016-09-14T11:55:00Z"/>
        <d v="2016-09-15T20:33:00Z"/>
        <d v="2016-09-18T18:07:00Z"/>
        <d v="2016-09-19T06:18:00Z"/>
        <d v="2016-09-19T14:40:00Z"/>
        <d v="2016-09-19T16:23:00Z"/>
        <d v="2016-09-19T17:36:00Z"/>
        <d v="2016-09-19T19:10:00Z"/>
        <d v="2016-09-20T11:29:00Z"/>
        <d v="2016-09-20T20:47:00Z"/>
        <d v="2016-09-23T13:15:00Z"/>
        <d v="2016-09-24T14:34:00Z"/>
        <d v="2016-09-24T20:29:00Z"/>
        <d v="2016-09-27T08:33:00Z"/>
        <d v="2016-09-27T13:21:00Z"/>
        <d v="2016-09-27T19:14:00Z"/>
        <d v="2016-09-27T21:01:00Z"/>
        <d v="2016-09-28T17:21:00Z"/>
        <d v="2016-09-29T16:13:00Z"/>
        <d v="2016-09-30T17:39:00Z"/>
        <d v="2016-09-30T20:59:00Z"/>
        <d v="2016-10-03T17:09:00Z"/>
        <d v="2016-10-03T18:17:00Z"/>
        <d v="2016-10-03T18:51:00Z"/>
        <d v="2016-10-03T22:04:00Z"/>
        <d v="2016-10-04T09:50:00Z"/>
        <d v="2016-10-04T12:17:00Z"/>
        <d v="2016-10-06T08:49:00Z"/>
        <d v="2016-10-06T17:23:00Z"/>
        <d v="2016-10-06T18:37:00Z"/>
        <d v="2016-10-06T19:46:00Z"/>
        <d v="2016-10-07T10:56:00Z"/>
        <d v="2016-10-07T11:27:00Z"/>
        <d v="2016-10-07T13:52:00Z"/>
        <d v="2016-10-07T14:29:00Z"/>
        <d v="2016-10-07T15:47:00Z"/>
        <d v="2016-10-07T18:08:00Z"/>
        <d v="2016-10-07T18:33:00Z"/>
        <d v="2016-10-08T18:15:00Z"/>
        <d v="2016-10-09T14:04:00Z"/>
        <d v="2016-10-10T17:22:00Z"/>
        <d v="2016-10-10T17:33:00Z"/>
        <d v="2016-10-11T01:27:00Z"/>
        <d v="2016-10-12T19:18:00Z"/>
        <d v="2016-10-13T11:20:00Z"/>
        <d v="2016-10-13T12:08:00Z"/>
        <d v="2016-10-13T13:37:00Z"/>
        <d v="2016-10-13T16:08:00Z"/>
        <d v="2016-10-14T08:50:00Z"/>
        <d v="2016-10-14T10:16:00Z"/>
        <d v="2016-10-14T15:56:00Z"/>
        <d v="2016-10-14T23:54:00Z"/>
        <d v="2016-10-15T22:28:00Z"/>
        <d v="2016-10-16T00:01:00Z"/>
        <d v="2016-10-16T12:52:00Z"/>
        <d v="2016-10-16T14:40:00Z"/>
        <d v="2016-10-16T15:10:00Z"/>
        <d v="2016-10-16T19:27:00Z"/>
        <d v="2016-10-16T20:30:00Z"/>
        <d v="2016-10-16T21:34:00Z"/>
        <d v="2016-10-17T15:19:00Z"/>
        <d v="2016-10-17T16:29:00Z"/>
        <d v="2016-10-17T18:02:00Z"/>
        <d v="2016-10-17T18:31:00Z"/>
        <d v="2016-10-17T19:08:00Z"/>
        <d v="2016-10-18T08:12:00Z"/>
        <d v="2016-10-18T08:53:00Z"/>
        <d v="2016-10-18T10:41:00Z"/>
        <d v="2016-10-18T18:12:00Z"/>
        <d v="2016-10-18T19:03:00Z"/>
        <d v="2016-10-18T20:31:00Z"/>
        <d v="2016-10-19T09:33:00Z"/>
        <d v="2016-10-19T09:54:00Z"/>
        <d v="2016-10-19T13:45:00Z"/>
        <d v="2016-10-19T14:02:00Z"/>
        <d v="2016-10-19T15:44:00Z"/>
        <d v="2016-10-19T16:06:00Z"/>
        <d v="2016-10-19T16:33:00Z"/>
        <d v="2016-10-20T11:26:00Z"/>
        <d v="2016-10-20T12:19:00Z"/>
        <d v="2016-10-20T20:44:00Z"/>
        <d v="2016-10-21T10:06:00Z"/>
        <d v="2016-10-22T00:54:00Z"/>
        <d v="2016-10-22T13:26:00Z"/>
        <d v="2016-10-22T17:08:00Z"/>
        <d v="2016-10-23T09:24:00Z"/>
        <d v="2016-10-23T12:17:00Z"/>
        <d v="2016-10-23T19:04:00Z"/>
        <d v="2016-10-23T21:10:00Z"/>
        <d v="2016-10-24T14:57:00Z"/>
        <d v="2016-10-24T15:33:00Z"/>
        <d v="2016-10-24T16:34:00Z"/>
        <d v="2016-10-25T13:27:00Z"/>
        <d v="2016-10-25T15:04:00Z"/>
        <d v="2016-10-25T15:16:00Z"/>
        <d v="2016-10-25T20:00:00Z"/>
        <d v="2016-10-25T20:54:00Z"/>
        <d v="2016-10-25T22:24:00Z"/>
        <d v="2016-10-26T19:25:00Z"/>
        <d v="2016-10-26T20:53:00Z"/>
        <d v="2016-10-27T18:51:00Z"/>
        <d v="2016-10-27T19:20:00Z"/>
        <d v="2016-10-27T19:52:00Z"/>
        <d v="2016-10-27T20:47:00Z"/>
        <d v="2016-10-27T21:26:00Z"/>
        <d v="2016-10-28T11:34:00Z"/>
        <d v="2016-10-28T13:06:00Z"/>
        <d v="2016-10-28T15:53:00Z"/>
        <d v="2016-10-28T18:13:00Z"/>
        <d v="2016-10-28T20:13:00Z"/>
        <d v="2016-10-29T15:22:00Z"/>
        <d v="2016-10-29T17:13:00Z"/>
        <d v="2016-10-30T07:49:00Z"/>
        <d v="2016-10-30T09:07:00Z"/>
        <d v="2016-10-30T10:11:00Z"/>
        <d v="2016-10-30T10:51:00Z"/>
        <d v="2016-10-30T12:24:00Z"/>
        <d v="2016-10-30T12:58:00Z"/>
        <d v="2016-10-30T13:24:00Z"/>
        <d v="2016-10-30T15:22:00Z"/>
        <d v="2016-10-30T18:26:00Z"/>
        <d v="2016-10-31T18:11:00Z"/>
        <d v="2016-10-31T18:47:00Z"/>
        <d v="2016-10-31T20:18:00Z"/>
        <d v="2016-10-31T21:45:00Z"/>
        <d v="2016-11-01T11:50:00Z"/>
        <d v="2016-11-01T16:29:00Z"/>
        <d v="2016-11-01T17:35:00Z"/>
        <d v="2016-11-01T19:14:00Z"/>
        <d v="2016-11-01T19:59:00Z"/>
        <d v="2016-11-01T20:41:00Z"/>
        <d v="2016-11-02T15:10:00Z"/>
        <d v="2016-11-02T15:45:00Z"/>
        <d v="2016-11-02T16:46:00Z"/>
        <d v="2016-11-02T17:34:00Z"/>
        <d v="2016-11-02T17:53:00Z"/>
        <d v="2016-11-03T11:28:00Z"/>
        <d v="2016-11-03T12:43:00Z"/>
        <d v="2016-11-03T13:42:00Z"/>
        <d v="2016-11-03T14:13:00Z"/>
        <d v="2016-11-03T18:51:00Z"/>
        <d v="2016-11-03T22:46:00Z"/>
        <d v="2016-11-04T10:02:00Z"/>
        <d v="2016-11-04T18:14:00Z"/>
        <d v="2016-11-04T21:04:00Z"/>
        <d v="2016-11-04T22:12:00Z"/>
        <d v="2016-11-05T08:34:00Z"/>
        <d v="2016-11-05T17:29:00Z"/>
        <d v="2016-11-05T19:20:00Z"/>
        <d v="2016-11-06T10:50:00Z"/>
        <d v="2016-11-06T16:05:00Z"/>
        <d v="2016-11-06T16:27:00Z"/>
        <d v="2016-11-06T19:04:00Z"/>
        <d v="2016-11-06T20:06:00Z"/>
        <d v="2016-11-07T12:28:00Z"/>
        <d v="2016-11-07T19:17:00Z"/>
        <d v="2016-11-08T10:29:00Z"/>
        <d v="2016-11-08T12:16:00Z"/>
        <d v="2016-11-08T13:41:00Z"/>
        <d v="2016-11-08T16:21:00Z"/>
        <d v="2016-11-09T13:08:00Z"/>
        <d v="2016-11-09T15:58:00Z"/>
        <d v="2016-11-09T17:31:00Z"/>
        <d v="2016-11-09T18:09:00Z"/>
        <d v="2016-11-09T18:21:00Z"/>
        <d v="2016-11-09T18:40:00Z"/>
        <d v="2016-11-09T20:52:00Z"/>
        <d v="2016-11-09T21:56:00Z"/>
        <d v="2016-11-10T09:46:00Z"/>
        <d v="2016-11-10T10:20:00Z"/>
        <d v="2016-11-10T14:57:00Z"/>
        <d v="2016-11-10T15:17:00Z"/>
        <d v="2016-11-10T15:30:00Z"/>
        <d v="2016-11-10T19:18:00Z"/>
        <d v="2016-11-11T09:35:00Z"/>
        <d v="2016-11-11T12:58:00Z"/>
        <d v="2016-11-11T14:20:00Z"/>
        <d v="2016-11-11T14:39:00Z"/>
        <d v="2016-11-11T18:30:00Z"/>
        <d v="2016-11-11T21:08:00Z"/>
        <d v="2016-11-12T10:32:00Z"/>
        <d v="2016-11-12T10:55:00Z"/>
        <d v="2016-11-12T13:07:00Z"/>
        <d v="2016-11-12T13:46:00Z"/>
        <d v="2016-11-12T14:22:00Z"/>
        <d v="2016-11-12T15:14:00Z"/>
        <d v="2016-11-12T15:25:00Z"/>
        <d v="2016-11-12T15:40:00Z"/>
        <d v="2016-11-13T08:54:00Z"/>
        <d v="2016-11-13T09:27:00Z"/>
        <d v="2016-11-13T10:31:00Z"/>
        <d v="2016-11-13T11:04:00Z"/>
        <d v="2016-11-13T12:22:00Z"/>
        <d v="2016-11-13T13:05:00Z"/>
        <d v="2016-11-13T13:14:00Z"/>
        <d v="2016-11-13T14:35:00Z"/>
        <d v="2016-11-13T15:14:00Z"/>
        <d v="2016-11-13T15:47:00Z"/>
        <d v="2016-11-14T11:24:00Z"/>
        <d v="2016-11-14T13:40:00Z"/>
        <d v="2016-11-14T15:27:00Z"/>
        <d v="2016-11-14T20:19:00Z"/>
        <d v="2016-11-15T13:59:00Z"/>
        <d v="2016-11-15T14:09:00Z"/>
        <d v="2016-11-15T20:44:00Z"/>
        <d v="2016-11-16T20:21:00Z"/>
        <d v="2016-11-16T22:52:00Z"/>
        <d v="2016-11-17T10:13:00Z"/>
        <d v="2016-11-18T20:09:00Z"/>
        <d v="2016-11-18T21:23:00Z"/>
        <d v="2016-11-18T21:56:00Z"/>
        <d v="2016-11-19T13:51:00Z"/>
        <d v="2016-11-19T14:30:00Z"/>
        <d v="2016-11-19T16:01:00Z"/>
        <d v="2016-11-19T16:27:00Z"/>
        <d v="2016-11-19T17:41:00Z"/>
        <d v="2016-11-19T21:14:00Z"/>
        <d v="2016-11-20T10:27:00Z"/>
        <d v="2016-11-20T11:58:00Z"/>
        <d v="2016-11-20T14:58:00Z"/>
        <d v="2016-11-20T17:45:00Z"/>
        <d v="2016-11-21T13:37:00Z"/>
        <d v="2016-11-21T14:34:00Z"/>
        <d v="2016-11-21T17:50:00Z"/>
        <d v="2016-11-21T18:18:00Z"/>
        <d v="2016-11-21T18:43:00Z"/>
        <d v="2016-11-22T15:12:00Z"/>
        <d v="2016-11-22T15:31:00Z"/>
        <d v="2016-11-22T15:51:00Z"/>
        <d v="2016-11-22T18:18:00Z"/>
        <d v="2016-11-22T21:02:00Z"/>
        <d v="2016-11-23T15:34:00Z"/>
        <d v="2016-11-23T16:18:00Z"/>
        <d v="2016-11-23T16:49:00Z"/>
        <d v="2016-11-23T18:37:00Z"/>
        <d v="2016-11-25T11:47:00Z"/>
        <d v="2016-11-25T13:13:00Z"/>
        <d v="2016-11-26T15:54:00Z"/>
        <d v="2016-11-26T17:00:00Z"/>
        <d v="2016-11-26T17:36:00Z"/>
        <d v="2016-11-26T18:29:00Z"/>
        <d v="2016-11-26T19:47:00Z"/>
        <d v="2016-11-27T15:59:00Z"/>
        <d v="2016-11-27T18:55:00Z"/>
        <d v="2016-11-30T11:03:00Z"/>
        <d v="2016-11-30T11:53:00Z"/>
        <d v="2016-11-30T12:43:00Z"/>
        <d v="2016-12-01T07:44:00Z"/>
        <d v="2016-12-01T08:37:00Z"/>
        <d v="2016-12-01T18:00:00Z"/>
        <d v="2016-12-01T20:36:00Z"/>
        <d v="2016-12-02T12:12:00Z"/>
        <d v="2016-12-02T13:07:00Z"/>
        <d v="2016-12-02T20:41:00Z"/>
        <d v="2016-12-02T22:59:00Z"/>
        <d v="2016-12-03T18:35:00Z"/>
        <d v="2016-12-03T19:08:00Z"/>
        <d v="2016-12-03T20:31:00Z"/>
        <d v="2016-12-04T18:56:00Z"/>
        <d v="2016-12-04T20:23:00Z"/>
        <d v="2016-12-05T18:04:00Z"/>
        <d v="2016-12-05T19:22:00Z"/>
        <d v="2016-12-07T12:03:00Z"/>
        <d v="2016-12-07T12:35:00Z"/>
        <d v="2016-12-07T19:53:00Z"/>
        <d v="2016-12-07T21:13:00Z"/>
        <d v="2016-12-08T14:19:00Z"/>
        <d v="2016-12-08T14:53:00Z"/>
        <d v="2016-12-08T19:22:00Z"/>
        <d v="2016-12-08T21:26:00Z"/>
        <d v="2016-12-09T12:09:00Z"/>
        <d v="2016-12-09T13:15:00Z"/>
        <d v="2016-12-09T20:11:00Z"/>
        <d v="2016-12-09T22:03:00Z"/>
        <d v="2016-12-10T12:43:00Z"/>
        <d v="2016-12-10T14:42:00Z"/>
        <d v="2016-12-10T18:17:00Z"/>
        <d v="2016-12-10T22:09:00Z"/>
        <d v="2016-12-11T16:06:00Z"/>
        <d v="2016-12-11T19:05:00Z"/>
        <d v="2016-12-11T21:48:00Z"/>
        <d v="2016-12-12T13:22:00Z"/>
        <d v="2016-12-12T13:36:00Z"/>
        <d v="2016-12-12T14:26:00Z"/>
        <d v="2016-12-12T17:51:00Z"/>
        <d v="2016-12-12T20:48:00Z"/>
        <d v="2016-12-13T18:19:00Z"/>
        <d v="2016-12-13T20:20:00Z"/>
        <d v="2016-12-14T16:52:00Z"/>
        <d v="2016-12-14T17:22:00Z"/>
        <d v="2016-12-14T17:50:00Z"/>
        <d v="2016-12-14T20:24:00Z"/>
        <d v="2016-12-15T14:20:00Z"/>
        <d v="2016-12-17T15:38:00Z"/>
        <d v="2016-12-17T17:19:00Z"/>
        <d v="2016-12-18T13:03:00Z"/>
        <d v="2016-12-18T16:38:00Z"/>
        <d v="2016-12-18T20:35:00Z"/>
        <d v="2016-12-19T09:08:00Z"/>
        <d v="2016-12-19T10:15:00Z"/>
        <d v="2016-12-19T13:04:00Z"/>
        <d v="2016-12-19T13:24:00Z"/>
        <d v="2016-12-19T14:07:00Z"/>
        <d v="2016-12-19T14:18:00Z"/>
        <d v="2016-12-19T14:37:00Z"/>
        <d v="2016-12-19T15:09:00Z"/>
        <d v="2016-12-19T16:50:00Z"/>
        <d v="2016-12-19T19:05:00Z"/>
        <d v="2016-12-19T19:55:00Z"/>
        <d v="2016-12-20T08:49:00Z"/>
        <d v="2016-12-20T10:30:00Z"/>
        <d v="2016-12-20T11:30:00Z"/>
        <d v="2016-12-20T13:14:00Z"/>
        <d v="2016-12-20T13:54:00Z"/>
        <d v="2016-12-20T16:14:00Z"/>
        <d v="2016-12-20T16:56:00Z"/>
        <d v="2016-12-20T18:47:00Z"/>
        <d v="2016-12-21T07:42:00Z"/>
        <d v="2016-12-21T10:14:00Z"/>
        <d v="2016-12-21T11:35:00Z"/>
        <d v="2016-12-21T12:51:00Z"/>
        <d v="2016-12-21T15:38:00Z"/>
        <d v="2016-12-21T15:55:00Z"/>
        <d v="2016-12-21T17:45:00Z"/>
        <d v="2016-12-21T17:59:00Z"/>
        <d v="2016-12-21T19:49:00Z"/>
        <d v="2016-12-21T20:56:00Z"/>
        <d v="2016-12-22T15:40:00Z"/>
        <d v="2016-12-22T17:04:00Z"/>
        <d v="2016-12-22T17:27:00Z"/>
        <d v="2016-12-22T17:56:00Z"/>
        <d v="2016-12-22T18:31:00Z"/>
        <d v="2016-12-22T18:38:00Z"/>
        <d v="2016-12-22T19:04:00Z"/>
        <d v="2016-12-22T21:41:00Z"/>
        <d v="2016-12-22T23:27:00Z"/>
        <d v="2016-12-23T09:21:00Z"/>
        <d v="2016-12-23T11:33:00Z"/>
        <d v="2016-12-23T14:15:00Z"/>
        <d v="2016-12-23T16:23:00Z"/>
        <d v="2016-12-23T17:34:00Z"/>
        <d v="2016-12-24T07:43:00Z"/>
        <d v="2016-12-24T09:19:00Z"/>
        <d v="2016-12-24T10:34:00Z"/>
        <d v="2016-12-24T12:51:00Z"/>
        <d v="2016-12-24T13:08:00Z"/>
        <d v="2016-12-24T17:12:00Z"/>
        <d v="2016-12-24T19:12:00Z"/>
        <d v="2016-12-24T22:04:00Z"/>
        <d v="2016-12-25T00:10:00Z"/>
        <d v="2016-12-25T19:15:00Z"/>
        <d v="2016-12-25T21:58:00Z"/>
        <d v="2016-12-26T08:30:00Z"/>
        <d v="2016-12-26T09:05:00Z"/>
        <d v="2016-12-26T10:15:00Z"/>
        <d v="2016-12-26T11:29:00Z"/>
        <d v="2016-12-26T13:09:00Z"/>
        <d v="2016-12-27T07:02:00Z"/>
        <d v="2016-12-27T08:37:00Z"/>
        <d v="2016-12-27T12:53:00Z"/>
        <d v="2016-12-27T14:49:00Z"/>
        <d v="2016-12-27T16:34:00Z"/>
        <d v="2016-12-27T19:19:00Z"/>
        <d v="2016-12-28T08:34:00Z"/>
        <d v="2016-12-28T11:42:00Z"/>
        <d v="2016-12-28T13:53:00Z"/>
        <d v="2016-12-28T15:04:00Z"/>
        <d v="2016-12-28T17:02:00Z"/>
        <d v="2016-12-28T18:33:00Z"/>
        <d v="2016-12-28T22:44:00Z"/>
        <d v="2016-12-29T00:49:00Z"/>
        <d v="2016-12-29T09:44:00Z"/>
        <d v="2016-12-29T11:28:00Z"/>
        <d v="2016-12-29T12:25:00Z"/>
        <d v="2016-12-29T13:17:00Z"/>
        <d v="2016-12-29T13:56:00Z"/>
        <d v="2016-12-29T14:42:00Z"/>
        <d v="2016-12-29T15:05:00Z"/>
        <d v="2016-12-29T18:59:00Z"/>
        <d v="2016-12-29T19:50:00Z"/>
        <d v="2016-12-29T20:15:00Z"/>
        <d v="2016-12-29T20:53:00Z"/>
        <d v="2016-12-29T23:14:00Z"/>
        <d v="2016-12-30T10:15:00Z"/>
        <d v="2016-12-30T11:31:00Z"/>
        <d v="2016-12-30T15:41:00Z"/>
        <d v="2016-12-30T16:45:00Z"/>
        <d v="2016-12-30T23:06:00Z"/>
        <d v="2016-12-31T01:07:00Z"/>
        <d v="2016-12-31T13:24:00Z"/>
        <d v="2016-12-31T15:03:00Z"/>
        <d v="2016-12-31T21:32:00Z"/>
        <d v="2016-12-31T22:08:00Z"/>
      </sharedItems>
    </cacheField>
    <cacheField name="END_DATE" numFmtId="164">
      <sharedItems containsSemiMixedTypes="0" containsDate="1" containsString="0">
        <d v="2016-01-01T21:17:00Z"/>
        <d v="2016-01-02T01:37:00Z"/>
        <d v="2016-01-02T20:38:00Z"/>
        <d v="2016-01-05T17:45:00Z"/>
        <d v="2016-01-06T15:49:00Z"/>
        <d v="2016-01-06T17:19:00Z"/>
        <d v="2016-01-06T17:35:00Z"/>
        <d v="2016-01-07T13:33:00Z"/>
        <d v="2016-01-10T08:25:00Z"/>
        <d v="2016-01-10T12:44:00Z"/>
        <d v="2016-01-10T15:51:00Z"/>
        <d v="2016-01-10T18:53:00Z"/>
        <d v="2016-01-10T19:32:00Z"/>
        <d v="2016-01-11T09:21:00Z"/>
        <d v="2016-01-11T12:03:00Z"/>
        <d v="2016-01-11T13:46:00Z"/>
        <d v="2016-01-11T14:43:00Z"/>
        <d v="2016-01-12T12:49:00Z"/>
        <d v="2016-01-12T13:09:00Z"/>
        <d v="2016-01-12T14:56:00Z"/>
        <d v="2016-01-12T15:28:00Z"/>
        <d v="2016-01-12T15:54:00Z"/>
        <d v="2016-01-12T17:00:00Z"/>
        <d v="2016-01-13T14:07:00Z"/>
        <d v="2016-01-13T15:28:00Z"/>
        <d v="2016-01-14T17:05:00Z"/>
        <d v="2016-01-14T21:45:00Z"/>
        <d v="2016-01-15T01:01:00Z"/>
        <d v="2016-01-15T12:03:00Z"/>
        <d v="2016-01-15T13:44:00Z"/>
        <d v="2016-01-18T15:06:00Z"/>
        <d v="2016-01-18T16:24:00Z"/>
        <d v="2016-01-19T09:23:00Z"/>
        <d v="2016-01-19T11:09:00Z"/>
        <d v="2016-01-20T11:11:00Z"/>
        <d v="2016-01-20T12:19:00Z"/>
        <d v="2016-01-20T14:19:00Z"/>
        <d v="2016-01-21T14:29:00Z"/>
        <d v="2016-01-21T14:51:00Z"/>
        <d v="2016-01-21T16:06:00Z"/>
        <d v="2016-01-26T10:50:00Z"/>
        <d v="2016-01-26T12:41:00Z"/>
        <d v="2016-01-26T16:32:00Z"/>
        <d v="2016-01-26T17:22:00Z"/>
        <d v="2016-01-26T17:29:00Z"/>
        <d v="2016-01-27T09:31:00Z"/>
        <d v="2016-01-27T10:48:00Z"/>
        <d v="2016-01-27T12:44:00Z"/>
        <d v="2016-01-27T14:13:00Z"/>
        <d v="2016-01-27T15:08:00Z"/>
        <d v="2016-01-28T13:00:00Z"/>
        <d v="2016-01-28T15:31:00Z"/>
        <d v="2016-01-28T16:51:00Z"/>
        <d v="2016-01-29T09:45:00Z"/>
        <d v="2016-01-29T11:07:00Z"/>
        <d v="2016-01-29T12:03:00Z"/>
        <d v="2016-01-29T13:47:00Z"/>
        <d v="2016-01-29T18:52:00Z"/>
        <d v="2016-01-29T21:40:00Z"/>
        <d v="2016-01-30T16:33:00Z"/>
        <d v="2016-01-30T18:24:00Z"/>
        <d v="2016-02-01T11:15:00Z"/>
        <d v="2016-02-01T12:43:00Z"/>
        <d v="2016-02-01T13:07:00Z"/>
        <d v="2016-02-02T13:23:00Z"/>
        <d v="2016-02-02T14:06:00Z"/>
        <d v="2016-02-02T14:42:00Z"/>
        <d v="2016-02-04T09:01:00Z"/>
        <d v="2016-02-04T10:09:00Z"/>
        <d v="2016-02-04T10:32:00Z"/>
        <d v="2016-02-04T16:03:00Z"/>
        <d v="2016-02-04T16:39:00Z"/>
        <d v="2016-02-04T18:31:00Z"/>
        <d v="2016-02-04T20:55:00Z"/>
        <d v="2016-02-05T12:07:00Z"/>
        <d v="2016-02-05T13:41:00Z"/>
        <d v="2016-02-06T16:53:00Z"/>
        <d v="2016-02-06T19:21:00Z"/>
        <d v="2016-02-06T19:37:00Z"/>
        <d v="2016-02-07T17:01:00Z"/>
        <d v="2016-02-07T18:17:00Z"/>
        <d v="2016-02-07T18:53:00Z"/>
        <d v="2016-02-07T20:40:00Z"/>
        <d v="2016-02-08T13:08:00Z"/>
        <d v="2016-02-08T14:10:00Z"/>
        <d v="2016-02-09T11:07:00Z"/>
        <d v="2016-02-09T11:50:00Z"/>
        <d v="2016-02-09T13:52:00Z"/>
        <d v="2016-02-09T14:02:00Z"/>
        <d v="2016-02-09T19:11:00Z"/>
        <d v="2016-02-09T20:40:00Z"/>
        <d v="2016-02-11T17:10:00Z"/>
        <d v="2016-02-11T18:10:00Z"/>
        <d v="2016-02-11T18:46:00Z"/>
        <d v="2016-02-11T20:51:00Z"/>
        <d v="2016-02-12T08:42:00Z"/>
        <d v="2016-02-12T10:52:00Z"/>
        <d v="2016-02-12T11:35:00Z"/>
        <d v="2016-02-12T13:36:00Z"/>
        <d v="2016-02-12T15:06:00Z"/>
        <d v="2016-02-12T16:06:00Z"/>
        <d v="2016-02-13T14:41:00Z"/>
        <d v="2016-02-14T00:01:00Z"/>
        <d v="2016-02-14T01:00:00Z"/>
        <d v="2016-02-14T14:40:00Z"/>
        <d v="2016-02-14T15:03:00Z"/>
        <d v="2016-02-14T17:02:00Z"/>
        <d v="2016-02-14T17:29:00Z"/>
        <d v="2016-02-16T04:13:00Z"/>
        <d v="2016-02-16T09:34:00Z"/>
        <d v="2016-02-16T10:41:00Z"/>
        <d v="2016-02-16T12:02:00Z"/>
        <d v="2016-02-16T12:42:00Z"/>
        <d v="2016-02-16T13:55:00Z"/>
        <d v="2016-02-16T17:10:00Z"/>
        <d v="2016-02-16T17:26:00Z"/>
        <d v="2016-02-16T17:44:00Z"/>
        <d v="2016-02-17T14:04:00Z"/>
        <d v="2016-02-17T15:22:00Z"/>
        <d v="2016-02-17T16:17:00Z"/>
        <d v="2016-02-17T16:43:00Z"/>
        <d v="2016-02-18T08:27:00Z"/>
        <d v="2016-02-18T14:45:00Z"/>
        <d v="2016-02-18T15:31:00Z"/>
        <d v="2016-02-18T18:58:00Z"/>
        <d v="2016-02-18T20:08:00Z"/>
        <d v="2016-02-19T09:14:00Z"/>
        <d v="2016-02-19T09:51:00Z"/>
        <d v="2016-02-19T10:48:00Z"/>
        <d v="2016-02-19T11:26:00Z"/>
        <d v="2016-02-19T11:50:00Z"/>
        <d v="2016-02-19T12:27:00Z"/>
        <d v="2016-02-19T16:45:00Z"/>
        <d v="2016-02-19T17:20:00Z"/>
        <d v="2016-02-19T20:30:00Z"/>
        <d v="2016-02-19T20:51:00Z"/>
        <d v="2016-02-20T08:32:00Z"/>
        <d v="2016-02-20T10:56:00Z"/>
        <d v="2016-02-20T11:53:00Z"/>
        <d v="2016-02-20T13:17:00Z"/>
        <d v="2016-02-20T15:54:00Z"/>
        <d v="2016-02-20T17:54:00Z"/>
        <d v="2016-02-20T18:03:00Z"/>
        <d v="2016-02-20T19:49:00Z"/>
        <d v="2016-02-21T09:46:00Z"/>
        <d v="2016-02-21T11:43:00Z"/>
        <d v="2016-02-21T12:01:00Z"/>
        <d v="2016-02-21T12:35:00Z"/>
        <d v="2016-02-21T13:12:00Z"/>
        <d v="2016-02-21T14:30:00Z"/>
        <d v="2016-02-21T15:03:00Z"/>
        <d v="2016-02-21T15:31:00Z"/>
        <d v="2016-02-21T15:41:00Z"/>
        <d v="2016-02-21T16:32:00Z"/>
        <d v="2016-02-21T23:52:00Z"/>
        <d v="2016-02-22T22:09:00Z"/>
        <d v="2016-02-24T14:35:00Z"/>
        <d v="2016-02-24T15:25:00Z"/>
        <d v="2016-02-25T16:35:00Z"/>
        <d v="2016-02-25T17:02:00Z"/>
        <d v="2016-02-25T17:36:00Z"/>
        <d v="2016-02-25T18:39:00Z"/>
        <d v="2016-02-26T09:29:00Z"/>
        <d v="2016-02-26T11:11:00Z"/>
        <d v="2016-02-26T11:59:00Z"/>
        <d v="2016-02-26T13:24:00Z"/>
        <d v="2016-02-26T14:46:00Z"/>
        <d v="2016-02-26T15:18:00Z"/>
        <d v="2016-02-26T17:12:00Z"/>
        <d v="2016-02-28T05:38:00Z"/>
        <d v="2016-02-28T09:42:00Z"/>
        <d v="2016-02-29T11:14:00Z"/>
        <d v="2016-02-29T11:40:00Z"/>
        <d v="2016-02-29T12:48:00Z"/>
        <d v="2016-02-29T15:03:00Z"/>
        <d v="2016-02-29T17:00:00Z"/>
        <d v="2016-03-01T19:10:00Z"/>
        <d v="2016-03-01T21:45:00Z"/>
        <d v="2016-03-03T09:52:00Z"/>
        <d v="2016-03-03T11:10:00Z"/>
        <d v="2016-03-03T14:58:00Z"/>
        <d v="2016-03-03T15:48:00Z"/>
        <d v="2016-03-03T16:42:00Z"/>
        <d v="2016-03-04T08:06:00Z"/>
        <d v="2016-03-04T10:03:00Z"/>
        <d v="2016-03-04T12:06:00Z"/>
        <d v="2016-03-04T13:25:00Z"/>
        <d v="2016-03-04T14:09:00Z"/>
        <d v="2016-03-04T16:08:00Z"/>
        <d v="2016-03-04T16:22:00Z"/>
        <d v="2016-03-04T17:12:00Z"/>
        <d v="2016-03-04T19:08:00Z"/>
        <d v="2016-03-04T19:25:00Z"/>
        <d v="2016-03-05T11:59:00Z"/>
        <d v="2016-03-05T13:12:00Z"/>
        <d v="2016-03-05T14:18:00Z"/>
        <d v="2016-03-05T15:01:00Z"/>
        <d v="2016-03-05T17:13:00Z"/>
        <d v="2016-03-05T17:34:00Z"/>
        <d v="2016-03-07T09:20:00Z"/>
        <d v="2016-03-07T09:47:00Z"/>
        <d v="2016-03-07T12:26:00Z"/>
        <d v="2016-03-07T14:18:00Z"/>
        <d v="2016-03-07T15:45:00Z"/>
        <d v="2016-03-08T14:55:00Z"/>
        <d v="2016-03-08T16:00:00Z"/>
        <d v="2016-03-08T16:25:00Z"/>
        <d v="2016-03-10T03:53:00Z"/>
        <d v="2016-03-10T10:37:00Z"/>
        <d v="2016-03-10T14:55:00Z"/>
        <d v="2016-03-10T16:28:00Z"/>
        <d v="2016-03-11T09:59:00Z"/>
        <d v="2016-03-11T10:36:00Z"/>
        <d v="2016-03-11T12:04:00Z"/>
        <d v="2016-03-11T13:51:00Z"/>
        <d v="2016-03-11T19:35:00Z"/>
        <d v="2016-03-12T09:22:00Z"/>
        <d v="2016-03-12T18:37:00Z"/>
        <d v="2016-03-13T09:37:00Z"/>
        <d v="2016-03-13T18:43:00Z"/>
        <d v="2016-03-13T20:28:00Z"/>
        <d v="2016-03-13T20:58:00Z"/>
        <d v="2016-03-13T21:23:00Z"/>
        <d v="2016-03-13T22:39:00Z"/>
        <d v="2016-03-14T08:49:00Z"/>
        <d v="2016-03-14T18:55:00Z"/>
        <d v="2016-03-15T08:57:00Z"/>
        <d v="2016-03-15T21:01:00Z"/>
        <d v="2016-03-16T11:45:00Z"/>
        <d v="2016-03-16T14:55:00Z"/>
        <d v="2016-03-16T18:56:00Z"/>
        <d v="2016-03-17T00:44:00Z"/>
        <d v="2016-03-17T15:11:00Z"/>
        <d v="2016-03-17T15:58:00Z"/>
        <d v="2016-03-17T18:02:00Z"/>
        <d v="2016-03-17T19:09:00Z"/>
        <d v="2016-03-17T21:28:00Z"/>
        <d v="2016-03-17T22:04:00Z"/>
        <d v="2016-03-18T07:21:00Z"/>
        <d v="2016-03-18T08:43:00Z"/>
        <d v="2016-03-18T19:08:00Z"/>
        <d v="2016-03-18T19:29:00Z"/>
        <d v="2016-03-18T21:15:00Z"/>
        <d v="2016-03-19T09:25:00Z"/>
        <d v="2016-03-19T13:13:00Z"/>
        <d v="2016-03-19T14:57:00Z"/>
        <d v="2016-03-19T16:38:00Z"/>
        <d v="2016-03-19T17:32:00Z"/>
        <d v="2016-03-19T17:47:00Z"/>
        <d v="2016-03-19T18:00:00Z"/>
        <d v="2016-03-19T19:29:00Z"/>
        <d v="2016-03-19T20:39:00Z"/>
        <d v="2016-03-20T07:48:00Z"/>
        <d v="2016-03-20T11:56:00Z"/>
        <d v="2016-03-20T17:34:00Z"/>
        <d v="2016-03-20T18:40:00Z"/>
        <d v="2016-03-20T19:06:00Z"/>
        <d v="2016-03-21T10:26:00Z"/>
        <d v="2016-03-21T16:13:00Z"/>
        <d v="2016-03-21T19:15:00Z"/>
        <d v="2016-03-21T20:55:00Z"/>
        <d v="2016-03-22T06:43:00Z"/>
        <d v="2016-03-22T12:24:00Z"/>
        <d v="2016-03-22T19:25:00Z"/>
        <d v="2016-03-23T14:42:00Z"/>
        <d v="2016-03-23T14:59:00Z"/>
        <d v="2016-03-24T19:54:00Z"/>
        <d v="2016-03-24T20:40:00Z"/>
        <d v="2016-03-25T16:22:00Z"/>
        <d v="2016-03-25T22:22:00Z"/>
        <d v="2016-03-26T01:39:00Z"/>
        <d v="2016-03-26T14:29:00Z"/>
        <d v="2016-03-26T15:49:00Z"/>
        <d v="2016-03-26T16:30:00Z"/>
        <d v="2016-03-27T00:40:00Z"/>
        <d v="2016-03-27T01:23:00Z"/>
        <d v="2016-03-27T15:56:00Z"/>
        <d v="2016-03-27T21:41:00Z"/>
        <d v="2016-03-27T23:18:00Z"/>
        <d v="2016-03-28T12:42:00Z"/>
        <d v="2016-03-28T20:23:00Z"/>
        <d v="2016-03-28T23:26:00Z"/>
        <d v="2016-03-29T16:11:00Z"/>
        <d v="2016-03-29T18:39:00Z"/>
        <d v="2016-03-29T20:44:00Z"/>
        <d v="2016-03-29T23:21:00Z"/>
        <d v="2016-03-30T22:55:00Z"/>
        <d v="2016-03-31T13:22:00Z"/>
        <d v="2016-03-31T15:09:00Z"/>
        <d v="2016-04-01T14:01:00Z"/>
        <d v="2016-04-01T15:24:00Z"/>
        <d v="2016-04-01T16:49:00Z"/>
        <d v="2016-04-01T16:57:00Z"/>
        <d v="2016-04-02T09:04:00Z"/>
        <d v="2016-04-02T11:16:00Z"/>
        <d v="2016-04-02T14:47:00Z"/>
        <d v="2016-04-02T18:09:00Z"/>
        <d v="2016-04-02T22:36:00Z"/>
        <d v="2016-04-03T01:34:00Z"/>
        <d v="2016-04-03T04:16:00Z"/>
        <d v="2016-04-05T21:55:00Z"/>
        <d v="2016-04-06T00:39:00Z"/>
        <d v="2016-04-07T18:39:00Z"/>
        <d v="2016-04-07T20:00:00Z"/>
        <d v="2016-04-08T12:48:00Z"/>
        <d v="2016-04-08T13:51:00Z"/>
        <d v="2016-04-08T14:03:00Z"/>
        <d v="2016-04-08T15:20:00Z"/>
        <d v="2016-04-08T16:47:00Z"/>
        <d v="2016-04-12T09:26:00Z"/>
        <d v="2016-04-12T09:53:00Z"/>
        <d v="2016-04-12T11:18:00Z"/>
        <d v="2016-04-12T12:44:00Z"/>
        <d v="2016-04-12T14:01:00Z"/>
        <d v="2016-04-14T08:09:00Z"/>
        <d v="2016-04-14T16:43:00Z"/>
        <d v="2016-04-15T12:07:00Z"/>
        <d v="2016-04-15T12:32:00Z"/>
        <d v="2016-04-15T15:01:00Z"/>
        <d v="2016-04-16T13:17:00Z"/>
        <d v="2016-04-16T15:26:00Z"/>
        <d v="2016-04-19T18:08:00Z"/>
        <d v="2016-04-19T20:19:00Z"/>
        <d v="2016-04-22T09:04:00Z"/>
        <d v="2016-04-22T10:40:00Z"/>
        <d v="2016-04-22T12:28:00Z"/>
        <d v="2016-04-22T13:26:00Z"/>
        <d v="2016-04-23T17:16:00Z"/>
        <d v="2016-04-23T19:05:00Z"/>
        <d v="2016-04-24T19:16:00Z"/>
        <d v="2016-04-24T19:52:00Z"/>
        <d v="2016-04-24T21:50:00Z"/>
        <d v="2016-04-27T13:40:00Z"/>
        <d v="2016-04-27T14:25:00Z"/>
        <d v="2016-04-28T12:34:00Z"/>
        <d v="2016-04-28T13:49:00Z"/>
        <d v="2016-04-28T22:28:00Z"/>
        <d v="2016-04-29T12:01:00Z"/>
        <d v="2016-04-29T13:34:00Z"/>
        <d v="2016-04-29T19:18:00Z"/>
        <d v="2016-04-29T23:19:00Z"/>
        <d v="2016-04-30T18:57:00Z"/>
        <d v="2016-04-30T22:34:00Z"/>
        <d v="2016-05-01T13:53:00Z"/>
        <d v="2016-05-01T14:31:00Z"/>
        <d v="2016-05-01T17:45:00Z"/>
        <d v="2016-05-01T18:10:00Z"/>
        <d v="2016-05-01T22:49:00Z"/>
        <d v="2016-05-02T14:21:00Z"/>
        <d v="2016-05-02T15:48:00Z"/>
        <d v="2016-05-03T22:28:00Z"/>
        <d v="2016-05-04T15:37:00Z"/>
        <d v="2016-05-04T21:14:00Z"/>
        <d v="2016-05-04T21:36:00Z"/>
        <d v="2016-05-04T22:27:00Z"/>
        <d v="2016-05-05T21:36:00Z"/>
        <d v="2016-05-05T22:40:00Z"/>
        <d v="2016-05-06T00:08:00Z"/>
        <d v="2016-05-06T06:02:00Z"/>
        <d v="2016-05-06T16:59:00Z"/>
        <d v="2016-05-06T17:44:00Z"/>
        <d v="2016-05-09T06:25:00Z"/>
        <d v="2016-05-09T15:06:00Z"/>
        <d v="2016-05-09T18:26:00Z"/>
        <d v="2016-05-09T19:59:00Z"/>
        <d v="2016-05-10T09:20:00Z"/>
        <d v="2016-05-10T17:31:00Z"/>
        <d v="2016-05-11T09:12:00Z"/>
        <d v="2016-05-11T22:04:00Z"/>
        <d v="2016-05-14T18:39:00Z"/>
        <d v="2016-05-14T23:05:00Z"/>
        <d v="2016-05-17T13:23:00Z"/>
        <d v="2016-05-17T14:08:00Z"/>
        <d v="2016-05-17T14:40:00Z"/>
        <d v="2016-05-18T09:41:00Z"/>
        <d v="2016-05-18T13:02:00Z"/>
        <d v="2016-05-19T15:01:00Z"/>
        <d v="2016-05-20T11:07:00Z"/>
        <d v="2016-05-20T16:12:00Z"/>
        <d v="2016-05-22T15:46:00Z"/>
        <d v="2016-05-22T18:53:00Z"/>
        <d v="2016-05-23T20:27:00Z"/>
        <d v="2016-05-23T21:21:00Z"/>
        <d v="2016-05-27T20:30:00Z"/>
        <d v="2016-05-27T20:53:00Z"/>
        <d v="2016-05-27T22:14:00Z"/>
        <d v="2016-05-28T00:21:00Z"/>
        <d v="2016-05-28T13:06:00Z"/>
        <d v="2016-05-28T15:04:00Z"/>
        <d v="2016-05-31T14:41:00Z"/>
        <d v="2016-05-31T16:39:00Z"/>
        <d v="2016-05-31T17:59:00Z"/>
        <d v="2016-06-01T10:47:00Z"/>
        <d v="2016-06-01T13:39:00Z"/>
        <d v="2016-06-03T11:49:00Z"/>
        <d v="2016-06-03T13:38:00Z"/>
        <d v="2016-06-03T15:54:00Z"/>
        <d v="2016-06-03T18:29:00Z"/>
        <d v="2016-06-03T18:53:00Z"/>
        <d v="2016-06-03T19:42:00Z"/>
        <d v="2016-06-03T23:06:00Z"/>
        <d v="2016-06-05T14:33:00Z"/>
        <d v="2016-06-05T15:22:00Z"/>
        <d v="2016-06-05T16:08:00Z"/>
        <d v="2016-06-05T18:14:00Z"/>
        <d v="2016-06-05T22:05:00Z"/>
        <d v="2016-06-06T00:08:00Z"/>
        <d v="2016-06-06T15:45:00Z"/>
        <d v="2016-06-06T16:24:00Z"/>
        <d v="2016-06-06T20:20:00Z"/>
        <d v="2016-06-06T21:37:00Z"/>
        <d v="2016-06-06T22:00:00Z"/>
        <d v="2016-06-06T23:48:00Z"/>
        <d v="2016-06-07T22:00:00Z"/>
        <d v="2016-06-08T00:04:00Z"/>
        <d v="2016-06-08T08:53:00Z"/>
        <d v="2016-06-08T13:01:00Z"/>
        <d v="2016-06-08T13:29:00Z"/>
        <d v="2016-06-08T14:37:00Z"/>
        <d v="2016-06-08T17:11:00Z"/>
        <d v="2016-06-08T17:18:00Z"/>
        <d v="2016-06-08T18:05:00Z"/>
        <d v="2016-06-08T20:25:00Z"/>
        <d v="2016-06-10T16:28:00Z"/>
        <d v="2016-06-10T22:04:00Z"/>
        <d v="2016-06-11T00:01:00Z"/>
        <d v="2016-06-11T17:16:00Z"/>
        <d v="2016-06-11T17:39:00Z"/>
        <d v="2016-06-11T17:56:00Z"/>
        <d v="2016-06-11T22:04:00Z"/>
        <d v="2016-06-12T00:05:00Z"/>
        <d v="2016-06-12T19:56:00Z"/>
        <d v="2016-06-12T20:16:00Z"/>
        <d v="2016-06-12T22:19:00Z"/>
        <d v="2016-06-13T05:42:00Z"/>
        <d v="2016-06-13T14:46:00Z"/>
        <d v="2016-06-13T18:47:00Z"/>
        <d v="2016-06-13T19:23:00Z"/>
        <d v="2016-06-13T20:05:00Z"/>
        <d v="2016-06-14T12:21:00Z"/>
        <d v="2016-06-14T16:39:00Z"/>
        <d v="2016-06-14T17:24:00Z"/>
        <d v="2016-06-14T17:57:00Z"/>
        <d v="2016-06-15T02:06:00Z"/>
        <d v="2016-06-15T15:34:00Z"/>
        <d v="2016-06-15T17:02:00Z"/>
        <d v="2016-06-15T17:49:00Z"/>
        <d v="2016-06-15T19:58:00Z"/>
        <d v="2016-06-16T14:30:00Z"/>
        <d v="2016-06-16T14:46:00Z"/>
        <d v="2016-06-16T15:41:00Z"/>
        <d v="2016-06-16T19:56:00Z"/>
        <d v="2016-06-16T21:56:00Z"/>
        <d v="2016-06-17T16:44:00Z"/>
        <d v="2016-06-18T00:51:00Z"/>
        <d v="2016-06-19T02:50:00Z"/>
        <d v="2016-06-19T06:00:00Z"/>
        <d v="2016-06-21T16:08:00Z"/>
        <d v="2016-06-21T18:02:00Z"/>
        <d v="2016-06-24T10:57:00Z"/>
        <d v="2016-06-24T12:01:00Z"/>
        <d v="2016-06-24T12:37:00Z"/>
        <d v="2016-06-24T13:12:00Z"/>
        <d v="2016-06-24T13:27:00Z"/>
        <d v="2016-06-24T14:20:00Z"/>
        <d v="2016-06-24T21:02:00Z"/>
        <d v="2016-06-25T09:12:00Z"/>
        <d v="2016-06-25T10:08:00Z"/>
        <d v="2016-06-25T10:25:00Z"/>
        <d v="2016-06-25T11:18:00Z"/>
        <d v="2016-06-25T11:34:00Z"/>
        <d v="2016-06-25T13:21:00Z"/>
        <d v="2016-06-25T19:58:00Z"/>
        <d v="2016-06-25T23:26:00Z"/>
        <d v="2016-06-26T18:18:00Z"/>
        <d v="2016-06-26T19:12:00Z"/>
        <d v="2016-06-26T19:50:00Z"/>
        <d v="2016-06-26T21:42:00Z"/>
        <d v="2016-06-27T08:48:00Z"/>
        <d v="2016-06-27T09:00:00Z"/>
        <d v="2016-06-27T09:33:00Z"/>
        <d v="2016-06-27T10:08:00Z"/>
        <d v="2016-06-27T10:39:00Z"/>
        <d v="2016-06-27T10:58:00Z"/>
        <d v="2016-06-27T11:24:00Z"/>
        <d v="2016-06-27T11:42:00Z"/>
        <d v="2016-06-27T13:02:00Z"/>
        <d v="2016-06-27T14:05:00Z"/>
        <d v="2016-06-27T21:19:00Z"/>
        <d v="2016-06-28T01:05:00Z"/>
        <d v="2016-06-28T20:33:00Z"/>
        <d v="2016-06-28T23:59:00Z"/>
        <d v="2016-06-29T09:24:00Z"/>
        <d v="2016-06-29T10:38:00Z"/>
        <d v="2016-06-29T11:51:00Z"/>
        <d v="2016-06-29T12:16:00Z"/>
        <d v="2016-06-29T20:29:00Z"/>
        <d v="2016-06-30T00:00:00Z"/>
        <d v="2016-06-30T20:26:00Z"/>
        <d v="2016-07-01T00:25:00Z"/>
        <d v="2016-07-01T09:57:00Z"/>
        <d v="2016-07-01T13:00:00Z"/>
        <d v="2016-07-01T20:24:00Z"/>
        <d v="2016-07-02T00:09:00Z"/>
        <d v="2016-07-02T20:36:00Z"/>
        <d v="2016-07-03T00:12:00Z"/>
        <d v="2016-07-03T00:38:00Z"/>
        <d v="2016-07-03T03:08:00Z"/>
        <d v="2016-07-03T20:18:00Z"/>
        <d v="2016-07-04T00:47:00Z"/>
        <d v="2016-07-04T17:49:00Z"/>
        <d v="2016-07-04T18:49:00Z"/>
        <d v="2016-07-04T20:17:00Z"/>
        <d v="2016-07-05T00:05:00Z"/>
        <d v="2016-07-05T00:28:00Z"/>
        <d v="2016-07-05T16:52:00Z"/>
        <d v="2016-07-05T20:26:00Z"/>
        <d v="2016-07-05T23:02:00Z"/>
        <d v="2016-07-06T00:53:00Z"/>
        <d v="2016-07-06T09:25:00Z"/>
        <d v="2016-07-06T13:08:00Z"/>
        <d v="2016-07-06T20:14:00Z"/>
        <d v="2016-07-06T23:59:00Z"/>
        <d v="2016-07-07T08:50:00Z"/>
        <d v="2016-07-07T10:33:00Z"/>
        <d v="2016-07-07T13:35:00Z"/>
        <d v="2016-07-08T10:13:00Z"/>
        <d v="2016-07-08T11:12:00Z"/>
        <d v="2016-07-08T14:11:00Z"/>
        <d v="2016-07-08T17:30:00Z"/>
        <d v="2016-07-09T09:46:00Z"/>
        <d v="2016-07-09T10:06:00Z"/>
        <d v="2016-07-09T10:33:00Z"/>
        <d v="2016-07-10T14:17:00Z"/>
        <d v="2016-07-10T16:15:00Z"/>
        <d v="2016-07-10T18:21:00Z"/>
        <d v="2016-07-10T20:08:00Z"/>
        <d v="2016-07-12T16:45:00Z"/>
        <d v="2016-07-12T19:26:00Z"/>
        <d v="2016-07-13T00:11:00Z"/>
        <d v="2016-07-13T13:20:00Z"/>
        <d v="2016-07-13T13:39:00Z"/>
        <d v="2016-07-13T13:54:00Z"/>
        <d v="2016-07-14T15:59:00Z"/>
        <d v="2016-07-14T16:34:00Z"/>
        <d v="2016-07-14T20:05:00Z"/>
        <d v="2016-07-15T11:53:00Z"/>
        <d v="2016-07-15T12:19:00Z"/>
        <d v="2016-07-15T13:15:00Z"/>
        <d v="2016-07-15T15:33:00Z"/>
        <d v="2016-07-15T15:52:00Z"/>
        <d v="2016-07-16T14:10:00Z"/>
        <d v="2016-07-16T14:30:00Z"/>
        <d v="2016-07-16T16:57:00Z"/>
        <d v="2016-07-16T20:35:00Z"/>
        <d v="2016-07-16T22:18:00Z"/>
        <d v="2016-07-16T23:03:00Z"/>
        <d v="2016-07-17T11:50:00Z"/>
        <d v="2016-07-17T15:25:00Z"/>
        <d v="2016-07-18T10:49:00Z"/>
        <d v="2016-07-18T11:15:00Z"/>
        <d v="2016-07-18T11:36:00Z"/>
        <d v="2016-07-18T11:56:00Z"/>
        <d v="2016-07-18T17:33:00Z"/>
        <d v="2016-07-18T18:47:00Z"/>
        <d v="2016-07-18T19:14:00Z"/>
        <d v="2016-07-18T20:32:00Z"/>
        <d v="2016-07-18T21:19:00Z"/>
        <d v="2016-07-19T10:51:00Z"/>
        <d v="2016-07-19T11:11:00Z"/>
        <d v="2016-07-19T12:00:00Z"/>
        <d v="2016-07-19T17:24:00Z"/>
        <d v="2016-07-19T18:08:00Z"/>
        <d v="2016-07-20T17:24:00Z"/>
        <d v="2016-07-20T17:57:00Z"/>
        <d v="2016-07-20T18:20:00Z"/>
        <d v="2016-07-21T17:23:00Z"/>
        <d v="2016-07-21T17:51:00Z"/>
        <d v="2016-07-21T18:42:00Z"/>
        <d v="2016-07-21T19:39:00Z"/>
        <d v="2016-07-22T10:53:00Z"/>
        <d v="2016-07-22T11:25:00Z"/>
        <d v="2016-07-22T12:00:00Z"/>
        <d v="2016-07-22T12:31:00Z"/>
        <d v="2016-07-22T13:42:00Z"/>
        <d v="2016-07-22T14:43:00Z"/>
        <d v="2016-07-22T16:22:00Z"/>
        <d v="2016-07-22T18:51:00Z"/>
        <d v="2016-07-23T14:44:00Z"/>
        <d v="2016-07-23T15:12:00Z"/>
        <d v="2016-07-23T15:27:00Z"/>
        <d v="2016-07-23T16:10:00Z"/>
        <d v="2016-07-23T20:33:00Z"/>
        <d v="2016-07-23T23:43:00Z"/>
        <d v="2016-07-25T10:41:00Z"/>
        <d v="2016-07-25T10:58:00Z"/>
        <d v="2016-07-25T11:33:00Z"/>
        <d v="2016-07-25T11:44:00Z"/>
        <d v="2016-07-26T15:49:00Z"/>
        <d v="2016-07-26T17:24:00Z"/>
        <d v="2016-07-26T21:00:00Z"/>
        <d v="2016-07-26T22:39:00Z"/>
        <d v="2016-07-27T19:20:00Z"/>
        <d v="2016-07-27T21:57:00Z"/>
        <d v="2016-07-27T22:26:00Z"/>
        <d v="2016-07-28T00:09:00Z"/>
        <d v="2016-07-29T15:47:00Z"/>
        <d v="2016-07-29T17:45:00Z"/>
        <d v="2016-07-30T17:27:00Z"/>
        <d v="2016-07-30T21:41:00Z"/>
        <d v="2016-07-31T17:37:00Z"/>
        <d v="2016-08-01T13:04:00Z"/>
        <d v="2016-08-01T13:19:00Z"/>
        <d v="2016-08-01T13:46:00Z"/>
        <d v="2016-08-01T14:14:00Z"/>
        <d v="2016-08-01T15:47:00Z"/>
        <d v="2016-08-01T16:25:00Z"/>
        <d v="2016-08-01T16:59:00Z"/>
        <d v="2016-08-01T17:55:00Z"/>
        <d v="2016-08-02T08:32:00Z"/>
        <d v="2016-08-02T12:15:00Z"/>
        <d v="2016-08-02T19:23:00Z"/>
        <d v="2016-08-02T21:29:00Z"/>
        <d v="2016-08-03T13:00:00Z"/>
        <d v="2016-08-03T15:03:00Z"/>
        <d v="2016-08-03T16:04:00Z"/>
        <d v="2016-08-05T17:30:00Z"/>
        <d v="2016-08-05T18:21:00Z"/>
        <d v="2016-08-05T19:27:00Z"/>
        <d v="2016-08-06T06:58:00Z"/>
        <d v="2016-08-06T09:53:00Z"/>
        <d v="2016-08-07T17:23:00Z"/>
        <d v="2016-08-07T17:43:00Z"/>
        <d v="2016-08-07T18:23:00Z"/>
        <d v="2016-08-07T20:23:00Z"/>
        <d v="2016-08-08T16:31:00Z"/>
        <d v="2016-08-08T16:50:00Z"/>
        <d v="2016-08-08T17:13:00Z"/>
        <d v="2016-08-08T22:15:00Z"/>
        <d v="2016-08-08T23:37:00Z"/>
        <d v="2016-08-09T14:38:00Z"/>
        <d v="2016-08-09T15:36:00Z"/>
        <d v="2016-08-09T16:37:00Z"/>
        <d v="2016-08-10T17:24:00Z"/>
        <d v="2016-08-10T18:28:00Z"/>
        <d v="2016-08-10T18:50:00Z"/>
        <d v="2016-08-10T20:02:00Z"/>
        <d v="2016-08-11T13:00:00Z"/>
        <d v="2016-08-11T13:28:00Z"/>
        <d v="2016-08-11T13:42:00Z"/>
        <d v="2016-08-11T19:29:00Z"/>
        <d v="2016-08-11T21:44:00Z"/>
        <d v="2016-08-12T18:52:00Z"/>
        <d v="2016-08-12T19:05:00Z"/>
        <d v="2016-08-13T15:58:00Z"/>
        <d v="2016-08-15T09:52:00Z"/>
        <d v="2016-08-15T15:47:00Z"/>
        <d v="2016-08-15T17:30:00Z"/>
        <d v="2016-08-15T20:30:00Z"/>
        <d v="2016-08-16T08:11:00Z"/>
        <d v="2016-08-16T08:23:00Z"/>
        <d v="2016-08-16T08:53:00Z"/>
        <d v="2016-08-16T10:27:00Z"/>
        <d v="2016-08-16T10:38:00Z"/>
        <d v="2016-08-16T12:03:00Z"/>
        <d v="2016-08-16T15:36:00Z"/>
        <d v="2016-08-17T10:41:00Z"/>
        <d v="2016-08-17T11:20:00Z"/>
        <d v="2016-08-17T14:50:00Z"/>
        <d v="2016-08-17T15:47:00Z"/>
        <d v="2016-08-17T16:50:00Z"/>
        <d v="2016-08-17T17:00:00Z"/>
        <d v="2016-08-17T17:34:00Z"/>
        <d v="2016-08-17T18:57:00Z"/>
        <d v="2016-08-18T19:07:00Z"/>
        <d v="2016-08-19T08:45:00Z"/>
        <d v="2016-08-19T09:07:00Z"/>
        <d v="2016-08-19T09:47:00Z"/>
        <d v="2016-08-19T11:06:00Z"/>
        <d v="2016-08-19T12:24:00Z"/>
        <d v="2016-08-19T16:06:00Z"/>
        <d v="2016-08-19T17:52:00Z"/>
        <d v="2016-08-21T10:29:00Z"/>
        <d v="2016-08-21T14:34:00Z"/>
        <d v="2016-08-21T17:02:00Z"/>
        <d v="2016-08-21T18:17:00Z"/>
        <d v="2016-08-21T19:24:00Z"/>
        <d v="2016-08-22T10:44:00Z"/>
        <d v="2016-08-22T11:23:00Z"/>
        <d v="2016-08-22T12:49:00Z"/>
        <d v="2016-08-22T13:11:00Z"/>
        <d v="2016-08-22T14:31:00Z"/>
        <d v="2016-08-22T15:49:00Z"/>
        <d v="2016-08-22T17:16:00Z"/>
        <d v="2016-08-22T20:50:00Z"/>
        <d v="2016-08-22T21:31:00Z"/>
        <d v="2016-08-22T23:00:00Z"/>
        <d v="2016-08-23T08:25:00Z"/>
        <d v="2016-08-23T10:09:00Z"/>
        <d v="2016-08-23T13:15:00Z"/>
        <d v="2016-08-23T13:30:00Z"/>
        <d v="2016-08-23T14:04:00Z"/>
        <d v="2016-08-23T15:12:00Z"/>
        <d v="2016-08-23T17:16:00Z"/>
        <d v="2016-08-23T18:31:00Z"/>
        <d v="2016-08-24T12:56:00Z"/>
        <d v="2016-08-24T15:25:00Z"/>
        <d v="2016-08-25T16:22:00Z"/>
        <d v="2016-08-25T16:56:00Z"/>
        <d v="2016-08-25T19:20:00Z"/>
        <d v="2016-08-25T19:57:00Z"/>
        <d v="2016-08-25T23:16:00Z"/>
        <d v="2016-08-26T09:20:00Z"/>
        <d v="2016-08-26T11:26:00Z"/>
        <d v="2016-08-26T12:20:00Z"/>
        <d v="2016-08-26T14:33:00Z"/>
        <d v="2016-08-26T15:35:00Z"/>
        <d v="2016-08-26T16:24:00Z"/>
        <d v="2016-08-26T17:12:00Z"/>
        <d v="2016-08-26T18:56:00Z"/>
        <d v="2016-08-26T19:54:00Z"/>
        <d v="2016-08-26T20:16:00Z"/>
        <d v="2016-08-27T10:11:00Z"/>
        <d v="2016-08-27T12:06:00Z"/>
        <d v="2016-08-27T12:17:00Z"/>
        <d v="2016-08-27T15:44:00Z"/>
        <d v="2016-08-27T19:13:00Z"/>
        <d v="2016-08-28T10:18:00Z"/>
        <d v="2016-08-28T16:55:00Z"/>
        <d v="2016-08-28T17:55:00Z"/>
        <d v="2016-08-28T21:59:00Z"/>
        <d v="2016-08-29T12:31:00Z"/>
        <d v="2016-08-29T13:48:00Z"/>
        <d v="2016-08-29T14:41:00Z"/>
        <d v="2016-08-29T15:04:00Z"/>
        <d v="2016-08-29T15:59:00Z"/>
        <d v="2016-08-29T16:21:00Z"/>
        <d v="2016-08-29T17:41:00Z"/>
        <d v="2016-08-29T18:36:00Z"/>
        <d v="2016-08-30T12:05:00Z"/>
        <d v="2016-08-30T13:09:00Z"/>
        <d v="2016-08-30T13:46:00Z"/>
        <d v="2016-08-30T14:20:00Z"/>
        <d v="2016-08-30T18:09:00Z"/>
        <d v="2016-09-01T12:24:00Z"/>
        <d v="2016-09-01T17:36:00Z"/>
        <d v="2016-09-01T19:08:00Z"/>
        <d v="2016-09-02T12:24:00Z"/>
        <d v="2016-09-02T19:37:00Z"/>
        <d v="2016-09-05T10:44:00Z"/>
        <d v="2016-09-10T10:45:00Z"/>
        <d v="2016-09-11T09:55:00Z"/>
        <d v="2016-09-11T21:42:00Z"/>
        <d v="2016-09-12T08:12:00Z"/>
        <d v="2016-09-12T11:24:00Z"/>
        <d v="2016-09-12T13:44:00Z"/>
        <d v="2016-09-13T17:02:00Z"/>
        <d v="2016-09-14T11:59:00Z"/>
        <d v="2016-09-15T20:38:00Z"/>
        <d v="2016-09-18T18:11:00Z"/>
        <d v="2016-09-19T06:49:00Z"/>
        <d v="2016-09-19T14:56:00Z"/>
        <d v="2016-09-19T16:31:00Z"/>
        <d v="2016-09-19T18:20:00Z"/>
        <d v="2016-09-19T19:49:00Z"/>
        <d v="2016-09-20T11:48:00Z"/>
        <d v="2016-09-20T22:47:00Z"/>
        <d v="2016-09-23T13:40:00Z"/>
        <d v="2016-09-24T15:15:00Z"/>
        <d v="2016-09-24T20:33:00Z"/>
        <d v="2016-09-27T08:35:00Z"/>
        <d v="2016-09-27T14:43:00Z"/>
        <d v="2016-09-27T20:34:00Z"/>
        <d v="2016-09-28T02:37:00Z"/>
        <d v="2016-09-28T19:36:00Z"/>
        <d v="2016-09-29T18:47:00Z"/>
        <d v="2016-09-30T20:20:00Z"/>
        <d v="2016-09-30T22:34:00Z"/>
        <d v="2016-10-03T17:12:00Z"/>
        <d v="2016-10-03T18:34:00Z"/>
        <d v="2016-10-03T19:01:00Z"/>
        <d v="2016-10-03T22:33:00Z"/>
        <d v="2016-10-04T10:52:00Z"/>
        <d v="2016-10-04T12:18:00Z"/>
        <d v="2016-10-06T11:36:00Z"/>
        <d v="2016-10-06T17:40:00Z"/>
        <d v="2016-10-06T18:39:00Z"/>
        <d v="2016-10-06T20:26:00Z"/>
        <d v="2016-10-07T10:59:00Z"/>
        <d v="2016-10-07T11:50:00Z"/>
        <d v="2016-10-07T14:08:00Z"/>
        <d v="2016-10-07T15:11:00Z"/>
        <d v="2016-10-07T16:02:00Z"/>
        <d v="2016-10-07T18:27:00Z"/>
        <d v="2016-10-07T19:01:00Z"/>
        <d v="2016-10-08T18:18:00Z"/>
        <d v="2016-10-09T14:23:00Z"/>
        <d v="2016-10-10T17:28:00Z"/>
        <d v="2016-10-10T18:13:00Z"/>
        <d v="2016-10-11T02:08:00Z"/>
        <d v="2016-10-12T19:21:00Z"/>
        <d v="2016-10-13T11:58:00Z"/>
        <d v="2016-10-13T12:14:00Z"/>
        <d v="2016-10-13T13:46:00Z"/>
        <d v="2016-10-13T16:53:00Z"/>
        <d v="2016-10-14T09:44:00Z"/>
        <d v="2016-10-14T10:52:00Z"/>
        <d v="2016-10-14T16:20:00Z"/>
        <d v="2016-10-15T02:06:00Z"/>
        <d v="2016-10-15T22:48:00Z"/>
        <d v="2016-10-16T00:14:00Z"/>
        <d v="2016-10-16T13:11:00Z"/>
        <d v="2016-10-16T15:01:00Z"/>
        <d v="2016-10-16T15:19:00Z"/>
        <d v="2016-10-16T19:33:00Z"/>
        <d v="2016-10-16T20:39:00Z"/>
        <d v="2016-10-16T21:41:00Z"/>
        <d v="2016-10-17T15:57:00Z"/>
        <d v="2016-10-17T17:11:00Z"/>
        <d v="2016-10-17T18:16:00Z"/>
        <d v="2016-10-17T18:45:00Z"/>
        <d v="2016-10-17T19:25:00Z"/>
        <d v="2016-10-18T08:22:00Z"/>
        <d v="2016-10-18T09:02:00Z"/>
        <d v="2016-10-18T11:09:00Z"/>
        <d v="2016-10-18T18:33:00Z"/>
        <d v="2016-10-18T19:13:00Z"/>
        <d v="2016-10-18T20:37:00Z"/>
        <d v="2016-10-19T09:47:00Z"/>
        <d v="2016-10-19T10:21:00Z"/>
        <d v="2016-10-19T13:56:00Z"/>
        <d v="2016-10-19T14:31:00Z"/>
        <d v="2016-10-19T16:02:00Z"/>
        <d v="2016-10-19T16:19:00Z"/>
        <d v="2016-10-19T17:01:00Z"/>
        <d v="2016-10-20T11:34:00Z"/>
        <d v="2016-10-20T13:17:00Z"/>
        <d v="2016-10-20T21:37:00Z"/>
        <d v="2016-10-21T10:21:00Z"/>
        <d v="2016-10-22T01:09:00Z"/>
        <d v="2016-10-22T14:03:00Z"/>
        <d v="2016-10-22T17:55:00Z"/>
        <d v="2016-10-23T10:05:00Z"/>
        <d v="2016-10-23T12:59:00Z"/>
        <d v="2016-10-23T19:14:00Z"/>
        <d v="2016-10-23T21:25:00Z"/>
        <d v="2016-10-24T15:26:00Z"/>
        <d v="2016-10-24T16:13:00Z"/>
        <d v="2016-10-24T16:41:00Z"/>
        <d v="2016-10-25T14:08:00Z"/>
        <d v="2016-10-25T15:11:00Z"/>
        <d v="2016-10-25T15:33:00Z"/>
        <d v="2016-10-25T20:11:00Z"/>
        <d v="2016-10-25T21:03:00Z"/>
        <d v="2016-10-25T22:45:00Z"/>
        <d v="2016-10-26T19:31:00Z"/>
        <d v="2016-10-26T21:03:00Z"/>
        <d v="2016-10-27T19:16:00Z"/>
        <d v="2016-10-27T19:35:00Z"/>
        <d v="2016-10-27T20:21:00Z"/>
        <d v="2016-10-27T20:54:00Z"/>
        <d v="2016-10-27T21:48:00Z"/>
        <d v="2016-10-28T11:52:00Z"/>
        <d v="2016-10-28T13:36:00Z"/>
        <d v="2016-10-28T17:59:00Z"/>
        <d v="2016-10-28T20:07:00Z"/>
        <d v="2016-10-28T22:00:00Z"/>
        <d v="2016-10-29T17:05:00Z"/>
        <d v="2016-10-29T19:19:00Z"/>
        <d v="2016-10-30T08:30:00Z"/>
        <d v="2016-10-30T10:09:00Z"/>
        <d v="2016-10-30T10:38:00Z"/>
        <d v="2016-10-30T11:21:00Z"/>
        <d v="2016-10-30T12:35:00Z"/>
        <d v="2016-10-30T13:18:00Z"/>
        <d v="2016-10-30T14:37:00Z"/>
        <d v="2016-10-30T18:23:00Z"/>
        <d v="2016-10-30T19:39:00Z"/>
        <d v="2016-10-31T18:20:00Z"/>
        <d v="2016-10-31T19:16:00Z"/>
        <d v="2016-10-31T20:44:00Z"/>
        <d v="2016-10-31T22:10:00Z"/>
        <d v="2016-11-01T12:27:00Z"/>
        <d v="2016-11-01T17:02:00Z"/>
        <d v="2016-11-01T17:42:00Z"/>
        <d v="2016-11-01T19:20:00Z"/>
        <d v="2016-11-01T20:12:00Z"/>
        <d v="2016-11-01T20:55:00Z"/>
        <d v="2016-11-02T15:18:00Z"/>
        <d v="2016-11-02T15:52:00Z"/>
        <d v="2016-11-02T17:11:00Z"/>
        <d v="2016-11-02T17:49:00Z"/>
        <d v="2016-11-02T18:00:00Z"/>
        <d v="2016-11-03T11:34:00Z"/>
        <d v="2016-11-03T12:49:00Z"/>
        <d v="2016-11-03T13:47:00Z"/>
        <d v="2016-11-03T14:26:00Z"/>
        <d v="2016-11-03T19:08:00Z"/>
        <d v="2016-11-03T22:58:00Z"/>
        <d v="2016-11-04T10:18:00Z"/>
        <d v="2016-11-04T18:21:00Z"/>
        <d v="2016-11-04T21:20:00Z"/>
        <d v="2016-11-04T22:25:00Z"/>
        <d v="2016-11-05T08:43:00Z"/>
        <d v="2016-11-05T17:40:00Z"/>
        <d v="2016-11-05T19:28:00Z"/>
        <d v="2016-11-06T11:04:00Z"/>
        <d v="2016-11-06T16:22:00Z"/>
        <d v="2016-11-06T17:28:00Z"/>
        <d v="2016-11-06T19:12:00Z"/>
        <d v="2016-11-06T20:21:00Z"/>
        <d v="2016-11-07T12:57:00Z"/>
        <d v="2016-11-07T19:57:00Z"/>
        <d v="2016-11-08T10:57:00Z"/>
        <d v="2016-11-08T12:49:00Z"/>
        <d v="2016-11-08T14:01:00Z"/>
        <d v="2016-11-08T16:34:00Z"/>
        <d v="2016-11-09T13:41:00Z"/>
        <d v="2016-11-09T16:04:00Z"/>
        <d v="2016-11-09T18:03:00Z"/>
        <d v="2016-11-09T18:14:00Z"/>
        <d v="2016-11-09T18:35:00Z"/>
        <d v="2016-11-09T19:17:00Z"/>
        <d v="2016-11-09T21:02:00Z"/>
        <d v="2016-11-09T22:02:00Z"/>
        <d v="2016-11-10T10:15:00Z"/>
        <d v="2016-11-10T10:31:00Z"/>
        <d v="2016-11-10T15:07:00Z"/>
        <d v="2016-11-10T15:22:00Z"/>
        <d v="2016-11-10T15:53:00Z"/>
        <d v="2016-11-10T19:21:00Z"/>
        <d v="2016-11-11T10:23:00Z"/>
        <d v="2016-11-11T13:13:00Z"/>
        <d v="2016-11-11T14:32:00Z"/>
        <d v="2016-11-11T15:46:00Z"/>
        <d v="2016-11-11T18:43:00Z"/>
        <d v="2016-11-11T21:18:00Z"/>
        <d v="2016-11-12T10:52:00Z"/>
        <d v="2016-11-12T11:25:00Z"/>
        <d v="2016-11-12T13:15:00Z"/>
        <d v="2016-11-12T13:50:00Z"/>
        <d v="2016-11-12T14:53:00Z"/>
        <d v="2016-11-12T15:21:00Z"/>
        <d v="2016-11-12T15:36:00Z"/>
        <d v="2016-11-12T15:59:00Z"/>
        <d v="2016-11-13T09:02:00Z"/>
        <d v="2016-11-13T09:53:00Z"/>
        <d v="2016-11-13T10:37:00Z"/>
        <d v="2016-11-13T11:16:00Z"/>
        <d v="2016-11-13T12:51:00Z"/>
        <d v="2016-11-13T13:11:00Z"/>
        <d v="2016-11-13T13:18:00Z"/>
        <d v="2016-11-13T14:46:00Z"/>
        <d v="2016-11-13T15:24:00Z"/>
        <d v="2016-11-13T15:59:00Z"/>
        <d v="2016-11-14T12:13:00Z"/>
        <d v="2016-11-14T14:33:00Z"/>
        <d v="2016-11-14T15:36:00Z"/>
        <d v="2016-11-14T20:30:00Z"/>
        <d v="2016-11-15T14:06:00Z"/>
        <d v="2016-11-15T14:26:00Z"/>
        <d v="2016-11-15T21:00:00Z"/>
        <d v="2016-11-16T20:27:00Z"/>
        <d v="2016-11-16T23:02:00Z"/>
        <d v="2016-11-17T10:44:00Z"/>
        <d v="2016-11-18T20:19:00Z"/>
        <d v="2016-11-18T21:34:00Z"/>
        <d v="2016-11-18T22:21:00Z"/>
        <d v="2016-11-19T14:10:00Z"/>
        <d v="2016-11-19T14:51:00Z"/>
        <d v="2016-11-19T16:06:00Z"/>
        <d v="2016-11-19T16:41:00Z"/>
        <d v="2016-11-19T17:54:00Z"/>
        <d v="2016-11-19T21:35:00Z"/>
        <d v="2016-11-20T11:32:00Z"/>
        <d v="2016-11-20T12:28:00Z"/>
        <d v="2016-11-20T15:07:00Z"/>
        <d v="2016-11-20T18:37:00Z"/>
        <d v="2016-11-21T13:49:00Z"/>
        <d v="2016-11-21T14:44:00Z"/>
        <d v="2016-11-21T18:04:00Z"/>
        <d v="2016-11-21T18:27:00Z"/>
        <d v="2016-11-21T18:51:00Z"/>
        <d v="2016-11-22T15:27:00Z"/>
        <d v="2016-11-22T15:44:00Z"/>
        <d v="2016-11-22T16:43:00Z"/>
        <d v="2016-11-22T18:28:00Z"/>
        <d v="2016-11-22T21:14:00Z"/>
        <d v="2016-11-23T15:50:00Z"/>
        <d v="2016-11-23T16:29:00Z"/>
        <d v="2016-11-23T17:00:00Z"/>
        <d v="2016-11-23T18:47:00Z"/>
        <d v="2016-11-25T12:04:00Z"/>
        <d v="2016-11-25T13:31:00Z"/>
        <d v="2016-11-26T15:59:00Z"/>
        <d v="2016-11-26T17:12:00Z"/>
        <d v="2016-11-26T17:56:00Z"/>
        <d v="2016-11-26T19:04:00Z"/>
        <d v="2016-11-26T19:54:00Z"/>
        <d v="2016-11-27T16:06:00Z"/>
        <d v="2016-11-27T19:09:00Z"/>
        <d v="2016-11-30T11:34:00Z"/>
        <d v="2016-11-30T12:35:00Z"/>
        <d v="2016-11-30T12:53:00Z"/>
        <d v="2016-12-01T07:59:00Z"/>
        <d v="2016-12-01T08:53:00Z"/>
        <d v="2016-12-01T18:12:00Z"/>
        <d v="2016-12-01T20:46:00Z"/>
        <d v="2016-12-02T12:23:00Z"/>
        <d v="2016-12-02T13:22:00Z"/>
        <d v="2016-12-02T20:48:00Z"/>
        <d v="2016-12-02T23:07:00Z"/>
        <d v="2016-12-03T18:56:00Z"/>
        <d v="2016-12-03T19:15:00Z"/>
        <d v="2016-12-03T20:41:00Z"/>
        <d v="2016-12-04T19:03:00Z"/>
        <d v="2016-12-04T20:34:00Z"/>
        <d v="2016-12-05T18:17:00Z"/>
        <d v="2016-12-05T19:37:00Z"/>
        <d v="2016-12-07T12:32:00Z"/>
        <d v="2016-12-07T12:46:00Z"/>
        <d v="2016-12-07T20:13:00Z"/>
        <d v="2016-12-07T21:50:00Z"/>
        <d v="2016-12-08T14:32:00Z"/>
        <d v="2016-12-08T15:02:00Z"/>
        <d v="2016-12-08T19:27:00Z"/>
        <d v="2016-12-08T21:31:00Z"/>
        <d v="2016-12-09T12:24:00Z"/>
        <d v="2016-12-09T13:43:00Z"/>
        <d v="2016-12-09T20:34:00Z"/>
        <d v="2016-12-09T22:57:00Z"/>
        <d v="2016-12-10T13:16:00Z"/>
        <d v="2016-12-10T15:18:00Z"/>
        <d v="2016-12-10T18:27:00Z"/>
        <d v="2016-12-10T22:21:00Z"/>
        <d v="2016-12-11T16:16:00Z"/>
        <d v="2016-12-11T19:15:00Z"/>
        <d v="2016-12-11T21:56:00Z"/>
        <d v="2016-12-12T13:32:00Z"/>
        <d v="2016-12-12T13:51:00Z"/>
        <d v="2016-12-12T14:39:00Z"/>
        <d v="2016-12-12T18:01:00Z"/>
        <d v="2016-12-12T20:57:00Z"/>
        <d v="2016-12-13T18:29:00Z"/>
        <d v="2016-12-13T20:29:00Z"/>
        <d v="2016-12-14T17:10:00Z"/>
        <d v="2016-12-14T17:34:00Z"/>
        <d v="2016-12-14T18:00:00Z"/>
        <d v="2016-12-14T20:40:00Z"/>
        <d v="2016-12-15T14:54:00Z"/>
        <d v="2016-12-17T16:12:00Z"/>
        <d v="2016-12-17T17:59:00Z"/>
        <d v="2016-12-18T13:41:00Z"/>
        <d v="2016-12-18T17:25:00Z"/>
        <d v="2016-12-18T21:04:00Z"/>
        <d v="2016-12-19T09:36:00Z"/>
        <d v="2016-12-19T10:34:00Z"/>
        <d v="2016-12-19T13:08:00Z"/>
        <d v="2016-12-19T13:35:00Z"/>
        <d v="2016-12-19T14:15:00Z"/>
        <d v="2016-12-19T14:32:00Z"/>
        <d v="2016-12-19T14:50:00Z"/>
        <d v="2016-12-19T15:38:00Z"/>
        <d v="2016-12-19T17:09:00Z"/>
        <d v="2016-12-19T19:17:00Z"/>
        <d v="2016-12-19T20:30:00Z"/>
        <d v="2016-12-20T09:24:00Z"/>
        <d v="2016-12-20T10:48:00Z"/>
        <d v="2016-12-20T12:17:00Z"/>
        <d v="2016-12-20T13:20:00Z"/>
        <d v="2016-12-20T14:17:00Z"/>
        <d v="2016-12-20T16:24:00Z"/>
        <d v="2016-12-20T17:07:00Z"/>
        <d v="2016-12-20T19:21:00Z"/>
        <d v="2016-12-21T08:10:00Z"/>
        <d v="2016-12-21T10:30:00Z"/>
        <d v="2016-12-21T11:49:00Z"/>
        <d v="2016-12-21T13:33:00Z"/>
        <d v="2016-12-21T15:49:00Z"/>
        <d v="2016-12-21T16:05:00Z"/>
        <d v="2016-12-21T17:54:00Z"/>
        <d v="2016-12-21T18:31:00Z"/>
        <d v="2016-12-21T20:35:00Z"/>
        <d v="2016-12-21T23:42:00Z"/>
        <d v="2016-12-22T16:38:00Z"/>
        <d v="2016-12-22T17:20:00Z"/>
        <d v="2016-12-22T17:53:00Z"/>
        <d v="2016-12-22T18:29:00Z"/>
        <d v="2016-12-22T18:37:00Z"/>
        <d v="2016-12-22T18:47:00Z"/>
        <d v="2016-12-22T19:50:00Z"/>
        <d v="2016-12-22T21:53:00Z"/>
        <d v="2016-12-22T23:32:00Z"/>
        <d v="2016-12-23T09:41:00Z"/>
        <d v="2016-12-23T11:58:00Z"/>
        <d v="2016-12-23T15:25:00Z"/>
        <d v="2016-12-23T16:34:00Z"/>
        <d v="2016-12-23T18:27:00Z"/>
        <d v="2016-12-24T08:04:00Z"/>
        <d v="2016-12-24T09:55:00Z"/>
        <d v="2016-12-24T10:53:00Z"/>
        <d v="2016-12-24T12:53:00Z"/>
        <d v="2016-12-24T13:29:00Z"/>
        <d v="2016-12-24T17:27:00Z"/>
        <d v="2016-12-24T19:27:00Z"/>
        <d v="2016-12-24T22:09:00Z"/>
        <d v="2016-12-25T00:14:00Z"/>
        <d v="2016-12-25T19:26:00Z"/>
        <d v="2016-12-25T22:04:00Z"/>
        <d v="2016-12-26T08:41:00Z"/>
        <d v="2016-12-26T09:19:00Z"/>
        <d v="2016-12-26T10:36:00Z"/>
        <d v="2016-12-26T11:42:00Z"/>
        <d v="2016-12-26T13:43:00Z"/>
        <d v="2016-12-27T07:14:00Z"/>
        <d v="2016-12-27T08:59:00Z"/>
        <d v="2016-12-27T12:57:00Z"/>
        <d v="2016-12-27T15:03:00Z"/>
        <d v="2016-12-27T16:58:00Z"/>
        <d v="2016-12-27T19:50:00Z"/>
        <d v="2016-12-28T09:06:00Z"/>
        <d v="2016-12-28T12:12:00Z"/>
        <d v="2016-12-28T14:01:00Z"/>
        <d v="2016-12-28T15:39:00Z"/>
        <d v="2016-12-28T17:16:00Z"/>
        <d v="2016-12-28T18:56:00Z"/>
        <d v="2016-12-28T23:18:00Z"/>
        <d v="2016-12-29T01:06:00Z"/>
        <d v="2016-12-29T10:07:00Z"/>
        <d v="2016-12-29T12:00:00Z"/>
        <d v="2016-12-29T12:33:00Z"/>
        <d v="2016-12-29T13:24:00Z"/>
        <d v="2016-12-29T14:11:00Z"/>
        <d v="2016-12-29T14:58:00Z"/>
        <d v="2016-12-29T15:16:00Z"/>
        <d v="2016-12-29T19:14:00Z"/>
        <d v="2016-12-29T20:10:00Z"/>
        <d v="2016-12-29T20:45:00Z"/>
        <d v="2016-12-29T21:42:00Z"/>
        <d v="2016-12-29T23:47:00Z"/>
        <d v="2016-12-30T10:33:00Z"/>
        <d v="2016-12-30T11:56:00Z"/>
        <d v="2016-12-30T16:03:00Z"/>
        <d v="2016-12-30T17:08:00Z"/>
        <d v="2016-12-30T23:10:00Z"/>
        <d v="2016-12-31T01:14:00Z"/>
        <d v="2016-12-31T13:42:00Z"/>
        <d v="2016-12-31T15:38:00Z"/>
        <d v="2016-12-31T21:50:00Z"/>
        <d v="2016-12-31T23:51:00Z"/>
      </sharedItems>
    </cacheField>
    <cacheField name="CATEGORY_ID" numFmtId="3">
      <sharedItems containsSemiMixedTypes="0" containsString="0" containsNumber="1" containsInteger="1">
        <n v="423.0"/>
        <n v="527.0"/>
      </sharedItems>
    </cacheField>
    <cacheField name="START_LOCATION" numFmtId="0">
      <sharedItems>
        <s v="Fort Pierce"/>
        <s v="West Palm Beach"/>
        <s v="Cary"/>
        <s v="Jamaica"/>
        <s v="New York"/>
        <s v="Elmhurst"/>
        <s v="Midtown"/>
        <s v="East Harlem"/>
        <s v="Flatiron District"/>
        <s v="Midtown East"/>
        <s v="Hudson Square"/>
        <s v="Lower Manhattan"/>
        <s v="Hell's Kitchen"/>
        <s v="Downtown"/>
        <s v="Gulfton"/>
        <s v="Houston"/>
        <s v="Eagan Park"/>
        <s v="Morrisville"/>
        <s v="Durham"/>
        <s v="Farmington Woods"/>
        <s v="Whitebridge"/>
        <s v="Lake Wellingborough"/>
        <s v="Fayetteville Street"/>
        <s v="Raleigh"/>
        <s v="Hazelwood"/>
        <s v="Fairmont"/>
        <s v="Meredith Townes"/>
        <s v="Apex"/>
        <s v="Chapel Hill"/>
        <s v="Northwoods"/>
        <s v="Edgehill Farms"/>
        <s v="Tanglewood"/>
        <s v="Preston"/>
        <s v="Eastgate"/>
        <s v="East Elmhurst"/>
        <s v="Jackson Heights"/>
        <s v="Long Island City"/>
        <s v="Katunayaka"/>
        <s v="Unknown Location"/>
        <s v="Colombo"/>
        <s v="Nugegoda"/>
        <s v="Islamabad"/>
        <s v="R?walpindi"/>
        <s v="Noorpur Shahan"/>
        <s v="Heritage Pines"/>
        <s v="Westpark Place"/>
        <s v="Waverly Place"/>
        <s v="Wayne Ridge"/>
        <s v="Weston"/>
        <s v="East Austin"/>
        <s v="West University"/>
        <s v="South Congress"/>
        <s v="The Drag"/>
        <s v="Congress Ave District"/>
        <s v="Red River District"/>
        <s v="Georgian Acres"/>
        <s v="North Austin"/>
        <s v="Coxville"/>
        <s v="Convention Center District"/>
        <s v="Austin"/>
        <s v="Katy"/>
        <s v="Sharpstown"/>
        <s v="Sugar Land"/>
        <s v="Galveston"/>
        <s v="Port Bolivar"/>
        <s v="Washington Avenue"/>
        <s v="Briar Meadow"/>
        <s v="Latta"/>
        <s v="Jacksonville"/>
        <s v="Couples Glen"/>
        <s v="Kissimmee"/>
        <s v="Lake Reams"/>
        <s v="Orlando"/>
        <s v="Sand Lake Commons"/>
        <s v="Sky Lake"/>
        <s v="Daytona Beach"/>
        <s v="Ridgeland"/>
        <s v="Florence"/>
        <s v="Meredith"/>
        <s v="Holly Springs"/>
        <s v="Chessington"/>
        <s v="Burtrose"/>
        <s v="Parkway"/>
        <s v="Mcvan"/>
        <s v="Capitol One"/>
        <s v="University District"/>
        <s v="Seattle"/>
        <s v="Redmond"/>
        <s v="Bellevue"/>
        <s v="San Francisco"/>
        <s v="Palo Alto"/>
        <s v="Sunnyvale"/>
        <s v="Newark"/>
        <s v="Menlo Park"/>
        <s v="Old City"/>
        <s v="Savon Height"/>
        <s v="Kilarney Woods"/>
        <s v="Townes at Everett Crossing"/>
        <s v="Huntington Woods"/>
        <s v="Seaport"/>
        <s v="Medical Centre"/>
        <s v="Rose Hill"/>
        <s v="Soho"/>
        <s v="Tribeca"/>
        <s v="Financial District"/>
        <s v="Oakland"/>
        <s v="Emeryville"/>
        <s v="Berkeley"/>
        <s v="Kenner"/>
        <s v="CBD"/>
        <s v="Lower Garden District"/>
        <s v="Lakeview"/>
        <s v="Storyville"/>
        <s v="New Orleans"/>
        <s v="Metairie"/>
        <s v="Chalmette"/>
        <s v="Arabi"/>
        <s v="Pontchartrain Shores"/>
        <s v="Marigny"/>
        <s v="Covington"/>
        <s v="Mandeville"/>
        <s v="Jamestown Court"/>
        <s v="Summerwinds"/>
        <s v="Parkwood"/>
        <s v="Pontchartrain Beach"/>
        <s v="St Thomas"/>
        <s v="Banner Elk"/>
        <s v="Elk Park"/>
        <s v="Newland"/>
        <s v="Boone"/>
        <s v="Stonewater"/>
        <s v="Lexington Park at Amberly"/>
        <s v="Arlington Park at Amberly"/>
        <s v="Arlington"/>
        <s v="Kalorama Triangle"/>
        <s v="K Street"/>
        <s v="West End"/>
        <s v="Connecticut Avenue"/>
        <s v="Columbia Heights"/>
        <s v="Washington"/>
        <s v="Wake Forest"/>
        <s v="Lahore"/>
        <s v="Karachi"/>
        <s v="SOMISSPO"/>
        <s v="West Berkeley"/>
        <s v="North Berkeley Hills"/>
        <s v="San Jose"/>
        <s v="Eagle Rock"/>
        <s v="Winston Salem"/>
        <s v="Asheville"/>
        <s v="Topton"/>
        <s v="Hayesville"/>
        <s v="Bryson City"/>
        <s v="Almond"/>
        <s v="Mebane"/>
        <s v="Agnew"/>
        <s v="Cory"/>
        <s v="Renaissance"/>
        <s v="Santa Clara"/>
        <s v="NOMA"/>
        <s v="Sunnyside"/>
        <s v="Ingleside"/>
        <s v="Central"/>
        <s v="Tenderloin"/>
        <s v="College Avenue"/>
        <s v="South"/>
        <s v="Southside"/>
        <s v="South Berkeley"/>
        <s v="Mountain View"/>
        <s v="El Cerrito"/>
        <s v="Krendle Woods"/>
        <s v="Wake Co."/>
        <s v="Fuquay-Varina"/>
        <s v="Rawalpindi"/>
        <s v="Kar?chi"/>
        <s v="Katunayake"/>
        <s v="Gampaha"/>
      </sharedItems>
    </cacheField>
    <cacheField name="STOP_LOCATION" numFmtId="0">
      <sharedItems>
        <s v="Fort Pierce"/>
        <s v="West Palm Beach"/>
        <s v="Palm Beach"/>
        <s v="Cary"/>
        <s v="Morrisville"/>
        <s v="New York"/>
        <s v="Queens"/>
        <s v="East Harlem"/>
        <s v="NoMad"/>
        <s v="Midtown"/>
        <s v="Midtown East"/>
        <s v="Hudson Square"/>
        <s v="Lower Manhattan"/>
        <s v="Hell's Kitchen"/>
        <s v="Queens County"/>
        <s v="Gulfton"/>
        <s v="Downtown"/>
        <s v="Houston"/>
        <s v="Jamestown Court"/>
        <s v="Durham"/>
        <s v="Whitebridge"/>
        <s v="Lake Wellingborough"/>
        <s v="Raleigh"/>
        <s v="Umstead"/>
        <s v="Hazelwood"/>
        <s v="Westpark Place"/>
        <s v="Meredith Townes"/>
        <s v="Leesville Hollow"/>
        <s v="Apex"/>
        <s v="Chapel Hill"/>
        <s v="Williamsburg Manor"/>
        <s v="Macgregor Downs"/>
        <s v="Edgehill Farms"/>
        <s v="Northwoods"/>
        <s v="Tanglewood"/>
        <s v="Preston"/>
        <s v="Walnut Terrace"/>
        <s v="Jackson Heights"/>
        <s v="East Elmhurst"/>
        <s v="Midtown West"/>
        <s v="Long Island City"/>
        <s v="Jamaica"/>
        <s v="Unknown Location"/>
        <s v="Colombo"/>
        <s v="Nugegoda"/>
        <s v="Katunayaka"/>
        <s v="Islamabad"/>
        <s v="R?walpindi"/>
        <s v="Noorpur Shahan"/>
        <s v="Heritage Pines"/>
        <s v="Waverly Place"/>
        <s v="Wayne Ridge"/>
        <s v="Depot Historic District"/>
        <s v="Weston"/>
        <s v="West University"/>
        <s v="South Congress"/>
        <s v="Arts District"/>
        <s v="Congress Ave District"/>
        <s v="Red River District"/>
        <s v="The Drag"/>
        <s v="Convention Center District"/>
        <s v="North Austin"/>
        <s v="Coxville"/>
        <s v="Katy"/>
        <s v="Alief"/>
        <s v="Sharpstown"/>
        <s v="Sugar Land"/>
        <s v="Galveston"/>
        <s v="Port Bolivar"/>
        <s v="Washington Avenue"/>
        <s v="Briar Meadow"/>
        <s v="Greater Greenspoint"/>
        <s v="Latta"/>
        <s v="Jacksonville"/>
        <s v="Kissimmee"/>
        <s v="Isles of Buena Vista"/>
        <s v="Orlando"/>
        <s v="Lake Reams"/>
        <s v="Vista East"/>
        <s v="Sky Lake"/>
        <s v="Sand Lake Commons"/>
        <s v="Daytona Beach"/>
        <s v="Ridgeland"/>
        <s v="Florence"/>
        <s v="Cedar Hill"/>
        <s v="Holly Springs"/>
        <s v="Harden Place"/>
        <s v="Chessington"/>
        <s v="Burtrose"/>
        <s v="Parkway"/>
        <s v="Capitol One"/>
        <s v="University District"/>
        <s v="Redmond"/>
        <s v="Bellevue"/>
        <s v="Seattle"/>
        <s v="Mcvan"/>
        <s v="Palo Alto"/>
        <s v="Sunnyvale"/>
        <s v="Newark"/>
        <s v="Menlo Park"/>
        <s v="San Francisco"/>
        <s v="Parkway Museums"/>
        <s v="Hog Island"/>
        <s v="Savon Height"/>
        <s v="Kildaire Farms"/>
        <s v="Kilarney Woods"/>
        <s v="Gramercy-Flatiron"/>
        <s v="Tudor City"/>
        <s v="Soho"/>
        <s v="Tribeca"/>
        <s v="Financial District"/>
        <s v="Kips Bay"/>
        <s v="Emeryville"/>
        <s v="Berkeley"/>
        <s v="Oakland"/>
        <s v="Bay Farm Island"/>
        <s v="New Orleans"/>
        <s v="Lower Garden District"/>
        <s v="Lakeview"/>
        <s v="Storyville"/>
        <s v="Faubourg Marigny"/>
        <s v="Metairie"/>
        <s v="Kenner"/>
        <s v="Bywater"/>
        <s v="Chalmette"/>
        <s v="Arabi"/>
        <s v="Pontchartrain Shores"/>
        <s v="Marigny"/>
        <s v="Covington"/>
        <s v="Mandeville"/>
        <s v="Summerwinds"/>
        <s v="Parkwood"/>
        <s v="Pontchartrain Beach"/>
        <s v="CBD"/>
        <s v="St Thomas"/>
        <s v="Banner Elk"/>
        <s v="Elk Park"/>
        <s v="Newland"/>
        <s v="Boone"/>
        <s v="Stonewater"/>
        <s v="Lexington Park at Amberly"/>
        <s v="Arlington Park at Amberly"/>
        <s v="Washington"/>
        <s v="K Street"/>
        <s v="Kalorama Triangle"/>
        <s v="Northwest Rectangle"/>
        <s v="Columbia Heights"/>
        <s v="Arlington"/>
        <s v="Farmington Woods"/>
        <s v="Wake Forest"/>
        <s v="Lahore"/>
        <s v="Karachi"/>
        <s v="French Quarter"/>
        <s v="North Berkeley Hills"/>
        <s v="Southside"/>
        <s v="San Jose"/>
        <s v="Eagle Rock"/>
        <s v="Huntington Woods"/>
        <s v="Winston Salem"/>
        <s v="Asheville"/>
        <s v="Topton"/>
        <s v="Hayesville"/>
        <s v="Bryson City"/>
        <s v="Almond"/>
        <s v="Mebane"/>
        <s v="Santa Clara"/>
        <s v="Cory"/>
        <s v="Agnew"/>
        <s v="Renaissance"/>
        <s v="West Berkeley"/>
        <s v="Central"/>
        <s v="Sunnyside"/>
        <s v="Ingleside"/>
        <s v="Potrero Flats"/>
        <s v="SOMISSPO"/>
        <s v="Tenderloin"/>
        <s v="College Avenue"/>
        <s v="South"/>
        <s v="Southwest Berkeley"/>
        <s v="South Berkeley"/>
        <s v="Mountain View"/>
        <s v="El Cerrito"/>
        <s v="Wake Co."/>
        <s v="Fuquay-Varina"/>
        <s v="Rawalpindi"/>
        <s v="Kar?chi"/>
        <s v="Gampaha"/>
        <s v="Ilukwatta"/>
      </sharedItems>
    </cacheField>
    <cacheField name="MILES" numFmtId="166">
      <sharedItems containsSemiMixedTypes="0" containsString="0" containsNumber="1">
        <n v="5.1"/>
        <n v="5.0"/>
        <n v="4.8"/>
        <n v="4.7"/>
        <n v="63.7"/>
        <n v="4.3"/>
        <n v="7.1"/>
        <n v="0.8"/>
        <n v="8.3"/>
        <n v="16.5"/>
        <n v="10.8"/>
        <n v="7.5"/>
        <n v="6.2"/>
        <n v="6.4"/>
        <n v="1.6"/>
        <n v="1.7"/>
        <n v="1.9"/>
        <n v="4.0"/>
        <n v="1.8"/>
        <n v="2.4"/>
        <n v="2.0"/>
        <n v="15.1"/>
        <n v="11.2"/>
        <n v="11.8"/>
        <n v="21.9"/>
        <n v="3.9"/>
        <n v="8.0"/>
        <n v="10.4"/>
        <n v="7.2"/>
        <n v="7.6"/>
        <n v="17.1"/>
        <n v="40.2"/>
        <n v="1.0"/>
        <n v="2.3"/>
        <n v="1.4"/>
        <n v="0.5"/>
        <n v="18.7"/>
        <n v="3.4"/>
        <n v="2.7"/>
        <n v="12.9"/>
        <n v="19.0"/>
        <n v="14.7"/>
        <n v="15.7"/>
        <n v="4.6"/>
        <n v="5.2"/>
        <n v="10.1"/>
        <n v="5.8"/>
        <n v="5.5"/>
        <n v="5.7"/>
        <n v="19.4"/>
        <n v="23.3"/>
        <n v="6.0"/>
        <n v="9.7"/>
        <n v="1.1"/>
        <n v="9.0"/>
        <n v="7.7"/>
        <n v="11.4"/>
        <n v="3.2"/>
        <n v="5.6"/>
        <n v="6.1"/>
        <n v="5.3"/>
        <n v="3.0"/>
        <n v="1.5"/>
        <n v="17.3"/>
        <n v="13.5"/>
        <n v="8.5"/>
        <n v="2.6"/>
        <n v="17.0"/>
        <n v="18.0"/>
        <n v="8.4"/>
        <n v="11.5"/>
        <n v="8.9"/>
        <n v="8.1"/>
        <n v="13.0"/>
        <n v="13.9"/>
        <n v="43.7"/>
        <n v="14.1"/>
        <n v="4.5"/>
        <n v="3.6"/>
        <n v="21.4"/>
        <n v="23.5"/>
        <n v="12.7"/>
        <n v="10.0"/>
        <n v="18.3"/>
        <n v="7.3"/>
        <n v="3.5"/>
        <n v="4.2"/>
        <n v="13.6"/>
        <n v="2.5"/>
        <n v="14.4"/>
        <n v="18.4"/>
        <n v="23.1"/>
        <n v="14.5"/>
        <n v="8.8"/>
        <n v="22.7"/>
        <n v="2.2"/>
        <n v="20.0"/>
        <n v="3.1"/>
        <n v="6.3"/>
        <n v="10.6"/>
        <n v="9.9"/>
        <n v="6.8"/>
        <n v="2.1"/>
        <n v="3.8"/>
        <n v="6.6"/>
        <n v="10.9"/>
        <n v="4.9"/>
        <n v="6.5"/>
        <n v="7.8"/>
        <n v="2.8"/>
        <n v="12.4"/>
        <n v="5.9"/>
        <n v="9.4"/>
        <n v="11.9"/>
        <n v="12.8"/>
        <n v="1.2"/>
        <n v="10.5"/>
        <n v="12.5"/>
        <n v="136.0"/>
        <n v="30.2"/>
        <n v="15.5"/>
        <n v="12.6"/>
        <n v="13.2"/>
        <n v="9.2"/>
        <n v="12.0"/>
        <n v="35.1"/>
        <n v="36.5"/>
        <n v="57.0"/>
        <n v="9.6"/>
        <n v="0.9"/>
        <n v="25.6"/>
        <n v="23.0"/>
        <n v="144.0"/>
        <n v="310.3"/>
        <n v="201.0"/>
        <n v="6.7"/>
        <n v="6.9"/>
        <n v="27.2"/>
        <n v="25.7"/>
        <n v="13.8"/>
        <n v="28.8"/>
        <n v="16.1"/>
        <n v="16.4"/>
        <n v="11.0"/>
        <n v="20.3"/>
        <n v="0.7"/>
        <n v="77.3"/>
        <n v="80.5"/>
        <n v="174.2"/>
        <n v="159.3"/>
        <n v="7.9"/>
        <n v="8.7"/>
        <n v="19.1"/>
        <n v="18.6"/>
        <n v="15.9"/>
        <n v="15.3"/>
        <n v="13.7"/>
        <n v="15.2"/>
        <n v="8.2"/>
        <n v="22.5"/>
        <n v="32.8"/>
        <n v="14.2"/>
        <n v="18.2"/>
        <n v="2.9"/>
        <n v="20.5"/>
        <n v="9.8"/>
        <n v="17.6"/>
        <n v="9.3"/>
        <n v="11.3"/>
        <n v="14.9"/>
        <n v="14.0"/>
        <n v="3.3"/>
        <n v="22.3"/>
        <n v="16.3"/>
        <n v="3.7"/>
        <n v="11.6"/>
        <n v="15.0"/>
        <n v="12.2"/>
        <n v="19.3"/>
        <n v="16.6"/>
        <n v="8.6"/>
        <n v="46.9"/>
        <n v="30.0"/>
        <n v="4.4"/>
        <n v="7.4"/>
        <n v="13.3"/>
        <n v="0.6"/>
        <n v="7.0"/>
        <n v="1.3"/>
        <n v="13.4"/>
        <n v="12.3"/>
        <n v="195.3"/>
        <n v="22.4"/>
        <n v="28.1"/>
        <n v="41.9"/>
        <n v="23.8"/>
        <n v="180.2"/>
        <n v="4.1"/>
        <n v="9.1"/>
        <n v="9.5"/>
        <n v="14.6"/>
        <n v="17.4"/>
        <n v="31.7"/>
        <n v="31.9"/>
        <n v="15.6"/>
        <n v="25.9"/>
        <n v="16.2"/>
        <n v="12.1"/>
        <n v="20.2"/>
        <n v="17.7"/>
        <n v="25.2"/>
        <n v="96.2"/>
        <n v="35.0"/>
        <n v="50.4"/>
        <n v="86.6"/>
        <n v="156.9"/>
        <n v="17.2"/>
        <n v="195.6"/>
        <n v="37.7"/>
        <n v="16.7"/>
        <n v="28.6"/>
        <n v="17.9"/>
        <n v="112.6"/>
        <n v="33.2"/>
        <n v="20.6"/>
        <n v="47.7"/>
        <n v="44.6"/>
        <n v="28.2"/>
        <n v="15.4"/>
        <n v="107.0"/>
        <n v="133.6"/>
        <n v="91.8"/>
        <n v="40.7"/>
        <n v="75.7"/>
        <n v="29.8"/>
        <n v="68.4"/>
        <n v="195.9"/>
        <n v="45.2"/>
        <n v="10.3"/>
        <n v="13.1"/>
        <n v="43.9"/>
        <n v="45.9"/>
        <n v="36.6"/>
        <n v="43.6"/>
        <n v="5.4"/>
        <n v="39.2"/>
        <n v="18.5"/>
        <n v="11.1"/>
        <n v="18.9"/>
        <n v="10.2"/>
        <n v="103.0"/>
        <n v="32.3"/>
        <n v="23.2"/>
        <n v="10.7"/>
        <n v="48.2"/>
      </sharedItems>
    </cacheField>
    <cacheField name="PURPOSE_ID" numFmtId="3">
      <sharedItems containsSemiMixedTypes="0" containsString="0" containsNumber="1" containsInteger="1">
        <n v="1.0"/>
        <n v="123.0"/>
        <n v="2.0"/>
        <n v="3.0"/>
        <n v="4.0"/>
        <n v="5.0"/>
        <n v="6.0"/>
        <n v="7.0"/>
        <n v="8.0"/>
        <n v="9.0"/>
        <n v="10.0"/>
      </sharedItems>
    </cacheField>
    <cacheField name="START_TIME" numFmtId="165">
      <sharedItems containsSemiMixedTypes="0" containsDate="1" containsString="0">
        <d v="1899-12-30T21:11:00Z"/>
        <d v="1899-12-30T01:25:00Z"/>
        <d v="1899-12-30T20:25:00Z"/>
        <d v="1899-12-30T17:31:00Z"/>
        <d v="1899-12-30T14:42:00Z"/>
        <d v="1899-12-30T17:15:00Z"/>
        <d v="1899-12-30T17:30:00Z"/>
        <d v="1899-12-30T13:27:00Z"/>
        <d v="1899-12-30T08:05:00Z"/>
        <d v="1899-12-30T12:17:00Z"/>
        <d v="1899-12-30T15:08:00Z"/>
        <d v="1899-12-30T18:18:00Z"/>
        <d v="1899-12-30T19:12:00Z"/>
        <d v="1899-12-30T08:55:00Z"/>
        <d v="1899-12-30T11:56:00Z"/>
        <d v="1899-12-30T13:32:00Z"/>
        <d v="1899-12-30T14:30:00Z"/>
        <d v="1899-12-30T12:33:00Z"/>
        <d v="1899-12-30T12:53:00Z"/>
        <d v="1899-12-30T15:13:00Z"/>
        <d v="1899-12-30T15:42:00Z"/>
        <d v="1899-12-30T16:02:00Z"/>
        <d v="1899-12-30T13:54:00Z"/>
        <d v="1899-12-30T15:00:00Z"/>
        <d v="1899-12-30T16:29:00Z"/>
        <d v="1899-12-30T21:39:00Z"/>
        <d v="1899-12-30T00:41:00Z"/>
        <d v="1899-12-30T11:43:00Z"/>
        <d v="1899-12-30T13:26:00Z"/>
        <d v="1899-12-30T14:55:00Z"/>
        <d v="1899-12-30T16:13:00Z"/>
        <d v="1899-12-30T09:09:00Z"/>
        <d v="1899-12-30T10:55:00Z"/>
        <d v="1899-12-30T10:36:00Z"/>
        <d v="1899-12-30T11:48:00Z"/>
        <d v="1899-12-30T13:25:00Z"/>
        <d v="1899-12-30T14:25:00Z"/>
        <d v="1899-12-30T14:43:00Z"/>
        <d v="1899-12-30T16:01:00Z"/>
        <d v="1899-12-30T10:41:00Z"/>
        <d v="1899-12-30T16:24:00Z"/>
        <d v="1899-12-30T17:17:00Z"/>
        <d v="1899-12-30T17:27:00Z"/>
        <d v="1899-12-30T09:24:00Z"/>
        <d v="1899-12-30T10:19:00Z"/>
        <d v="1899-12-30T12:34:00Z"/>
        <d v="1899-12-30T14:05:00Z"/>
        <d v="1899-12-30T14:46:00Z"/>
        <d v="1899-12-30T12:28:00Z"/>
        <d v="1899-12-30T15:11:00Z"/>
        <d v="1899-12-30T16:21:00Z"/>
        <d v="1899-12-30T09:31:00Z"/>
        <d v="1899-12-30T10:56:00Z"/>
        <d v="1899-12-30T13:24:00Z"/>
        <d v="1899-12-30T18:31:00Z"/>
        <d v="1899-12-30T21:21:00Z"/>
        <d v="1899-12-30T18:09:00Z"/>
        <d v="1899-12-30T10:35:00Z"/>
        <d v="1899-12-30T12:10:00Z"/>
        <d v="1899-12-30T12:56:00Z"/>
        <d v="1899-12-30T13:04:00Z"/>
        <d v="1899-12-30T13:51:00Z"/>
        <d v="1899-12-30T14:38:00Z"/>
        <d v="1899-12-30T08:40:00Z"/>
        <d v="1899-12-30T09:37:00Z"/>
        <d v="1899-12-30T10:26:00Z"/>
        <d v="1899-12-30T15:59:00Z"/>
        <d v="1899-12-30T16:35:00Z"/>
        <d v="1899-12-30T18:04:00Z"/>
        <d v="1899-12-30T20:36:00Z"/>
        <d v="1899-12-30T11:47:00Z"/>
        <d v="1899-12-30T13:22:00Z"/>
        <d v="1899-12-30T16:20:00Z"/>
        <d v="1899-12-30T18:57:00Z"/>
        <d v="1899-12-30T19:28:00Z"/>
        <d v="1899-12-30T16:49:00Z"/>
        <d v="1899-12-30T18:03:00Z"/>
        <d v="1899-12-30T18:39:00Z"/>
        <d v="1899-12-30T20:22:00Z"/>
        <d v="1899-12-30T12:57:00Z"/>
        <d v="1899-12-30T14:00:00Z"/>
        <d v="1899-12-30T10:54:00Z"/>
        <d v="1899-12-30T13:36:00Z"/>
        <d v="1899-12-30T13:58:00Z"/>
        <d v="1899-12-30T18:55:00Z"/>
        <d v="1899-12-30T20:24:00Z"/>
        <d v="1899-12-30T16:28:00Z"/>
        <d v="1899-12-30T17:49:00Z"/>
        <d v="1899-12-30T18:24:00Z"/>
        <d v="1899-12-30T08:21:00Z"/>
        <d v="1899-12-30T10:45:00Z"/>
        <d v="1899-12-30T11:14:00Z"/>
        <d v="1899-12-30T13:02:00Z"/>
        <d v="1899-12-30T14:49:00Z"/>
        <d v="1899-12-30T15:33:00Z"/>
        <d v="1899-12-30T14:21:00Z"/>
        <d v="1899-12-30T23:45:00Z"/>
        <d v="1899-12-30T00:50:00Z"/>
        <d v="1899-12-30T14:07:00Z"/>
        <d v="1899-12-30T17:06:00Z"/>
        <d v="1899-12-30T03:21:00Z"/>
        <d v="1899-12-30T08:29:00Z"/>
        <d v="1899-12-30T10:31:00Z"/>
        <d v="1899-12-30T11:32:00Z"/>
        <d v="1899-12-30T12:39:00Z"/>
        <d v="1899-12-30T13:43:00Z"/>
        <d v="1899-12-30T16:34:00Z"/>
        <d v="1899-12-30T17:40:00Z"/>
        <d v="1899-12-30T13:18:00Z"/>
        <d v="1899-12-30T15:17:00Z"/>
        <d v="1899-12-30T16:38:00Z"/>
        <d v="1899-12-30T08:19:00Z"/>
        <d v="1899-12-30T14:03:00Z"/>
        <d v="1899-12-30T15:16:00Z"/>
        <d v="1899-12-30T18:44:00Z"/>
        <d v="1899-12-30T19:27:00Z"/>
        <d v="1899-12-30T09:02:00Z"/>
        <d v="1899-12-30T09:21:00Z"/>
        <d v="1899-12-30T10:21:00Z"/>
        <d v="1899-12-30T11:20:00Z"/>
        <d v="1899-12-30T11:45:00Z"/>
        <d v="1899-12-30T12:09:00Z"/>
        <d v="1899-12-30T16:26:00Z"/>
        <d v="1899-12-30T17:09:00Z"/>
        <d v="1899-12-30T20:08:00Z"/>
        <d v="1899-12-30T20:34:00Z"/>
        <d v="1899-12-30T07:59:00Z"/>
        <d v="1899-12-30T10:48:00Z"/>
        <d v="1899-12-30T12:41:00Z"/>
        <d v="1899-12-30T14:50:00Z"/>
        <d v="1899-12-30T16:59:00Z"/>
        <d v="1899-12-30T18:00:00Z"/>
        <d v="1899-12-30T09:07:00Z"/>
        <d v="1899-12-30T11:39:00Z"/>
        <d v="1899-12-30T12:13:00Z"/>
        <d v="1899-12-30T12:51:00Z"/>
        <d v="1899-12-30T13:33:00Z"/>
        <d v="1899-12-30T14:36:00Z"/>
        <d v="1899-12-30T15:14:00Z"/>
        <d v="1899-12-30T15:36:00Z"/>
        <d v="1899-12-30T16:04:00Z"/>
        <d v="1899-12-30T23:15:00Z"/>
        <d v="1899-12-30T21:54:00Z"/>
        <d v="1899-12-30T15:19:00Z"/>
        <d v="1899-12-30T16:27:00Z"/>
        <d v="1899-12-30T16:47:00Z"/>
        <d v="1899-12-30T17:16:00Z"/>
        <d v="1899-12-30T18:22:00Z"/>
        <d v="1899-12-30T09:06:00Z"/>
        <d v="1899-12-30T11:05:00Z"/>
        <d v="1899-12-30T11:35:00Z"/>
        <d v="1899-12-30T13:01:00Z"/>
        <d v="1899-12-30T17:01:00Z"/>
        <d v="1899-12-30T05:22:00Z"/>
        <d v="1899-12-30T09:26:00Z"/>
        <d v="1899-12-30T11:07:00Z"/>
        <d v="1899-12-30T11:30:00Z"/>
        <d v="1899-12-30T12:36:00Z"/>
        <d v="1899-12-30T16:40:00Z"/>
        <d v="1899-12-30T18:47:00Z"/>
        <d v="1899-12-30T21:27:00Z"/>
        <d v="1899-12-30T09:45:00Z"/>
        <d v="1899-12-30T11:04:00Z"/>
        <d v="1899-12-30T14:44:00Z"/>
        <d v="1899-12-30T15:27:00Z"/>
        <d v="1899-12-30T07:47:00Z"/>
        <d v="1899-12-30T09:46:00Z"/>
        <d v="1899-12-30T11:46:00Z"/>
        <d v="1899-12-30T13:03:00Z"/>
        <d v="1899-12-30T13:40:00Z"/>
        <d v="1899-12-30T15:56:00Z"/>
        <d v="1899-12-30T16:16:00Z"/>
        <d v="1899-12-30T16:43:00Z"/>
        <d v="1899-12-30T19:02:00Z"/>
        <d v="1899-12-30T19:16:00Z"/>
        <d v="1899-12-30T11:44:00Z"/>
        <d v="1899-12-30T14:08:00Z"/>
        <d v="1899-12-30T14:39:00Z"/>
        <d v="1899-12-30T16:52:00Z"/>
        <d v="1899-12-30T17:23:00Z"/>
        <d v="1899-12-30T09:10:00Z"/>
        <d v="1899-12-30T09:23:00Z"/>
        <d v="1899-12-30T13:57:00Z"/>
        <d v="1899-12-30T15:35:00Z"/>
        <d v="1899-12-30T03:36:00Z"/>
        <d v="1899-12-30T10:08:00Z"/>
        <d v="1899-12-30T16:18:00Z"/>
        <d v="1899-12-30T09:47:00Z"/>
        <d v="1899-12-30T10:29:00Z"/>
        <d v="1899-12-30T11:57:00Z"/>
        <d v="1899-12-30T19:21:00Z"/>
        <d v="1899-12-30T09:13:00Z"/>
        <d v="1899-12-30T18:27:00Z"/>
        <d v="1899-12-30T18:23:00Z"/>
        <d v="1899-12-30T20:07:00Z"/>
        <d v="1899-12-30T20:39:00Z"/>
        <d v="1899-12-30T22:19:00Z"/>
        <d v="1899-12-30T08:34:00Z"/>
        <d v="1899-12-30T08:45:00Z"/>
        <d v="1899-12-30T20:48:00Z"/>
        <d v="1899-12-30T11:34:00Z"/>
        <d v="1899-12-30T18:43:00Z"/>
        <d v="1899-12-30T00:33:00Z"/>
        <d v="1899-12-30T12:52:00Z"/>
        <d v="1899-12-30T17:20:00Z"/>
        <d v="1899-12-30T20:57:00Z"/>
        <d v="1899-12-30T21:48:00Z"/>
        <d v="1899-12-30T07:15:00Z"/>
        <d v="1899-12-30T08:35:00Z"/>
        <d v="1899-12-30T19:23:00Z"/>
        <d v="1899-12-30T21:01:00Z"/>
        <d v="1899-12-30T12:50:00Z"/>
        <d v="1899-12-30T14:01:00Z"/>
        <d v="1899-12-30T15:34:00Z"/>
        <d v="1899-12-30T17:37:00Z"/>
        <d v="1899-12-30T17:52:00Z"/>
        <d v="1899-12-30T18:53:00Z"/>
        <d v="1899-12-30T19:33:00Z"/>
        <d v="1899-12-30T07:37:00Z"/>
        <d v="1899-12-30T11:42:00Z"/>
        <d v="1899-12-30T17:08:00Z"/>
        <d v="1899-12-30T18:34:00Z"/>
        <d v="1899-12-30T18:45:00Z"/>
        <d v="1899-12-30T16:05:00Z"/>
        <d v="1899-12-30T18:59:00Z"/>
        <d v="1899-12-30T20:18:00Z"/>
        <d v="1899-12-30T06:17:00Z"/>
        <d v="1899-12-30T12:06:00Z"/>
        <d v="1899-12-30T14:37:00Z"/>
        <d v="1899-12-30T14:53:00Z"/>
        <d v="1899-12-30T19:47:00Z"/>
        <d v="1899-12-30T22:54:00Z"/>
        <d v="1899-12-30T00:31:00Z"/>
        <d v="1899-12-30T01:11:00Z"/>
        <d v="1899-12-30T15:31:00Z"/>
        <d v="1899-12-30T21:26:00Z"/>
        <d v="1899-12-30T23:04:00Z"/>
        <d v="1899-12-30T12:29:00Z"/>
        <d v="1899-12-30T19:30:00Z"/>
        <d v="1899-12-30T22:55:00Z"/>
        <d v="1899-12-30T18:20:00Z"/>
        <d v="1899-12-30T20:29:00Z"/>
        <d v="1899-12-30T22:05:00Z"/>
        <d v="1899-12-30T12:47:00Z"/>
        <d v="1899-12-30T08:48:00Z"/>
        <d v="1899-12-30T11:01:00Z"/>
        <d v="1899-12-30T12:21:00Z"/>
        <d v="1899-12-30T16:57:00Z"/>
        <d v="1899-12-30T19:38:00Z"/>
        <d v="1899-12-30T23:11:00Z"/>
        <d v="1899-12-30T02:00:00Z"/>
        <d v="1899-12-30T00:19:00Z"/>
        <d v="1899-12-30T19:45:00Z"/>
        <d v="1899-12-30T12:30:00Z"/>
        <d v="1899-12-30T13:34:00Z"/>
        <d v="1899-12-30T13:55:00Z"/>
        <d v="1899-12-30T09:15:00Z"/>
        <d v="1899-12-30T09:34:00Z"/>
        <d v="1899-12-30T10:58:00Z"/>
        <d v="1899-12-30T12:22:00Z"/>
        <d v="1899-12-30T13:42:00Z"/>
        <d v="1899-12-30T07:29:00Z"/>
        <d v="1899-12-30T16:00:00Z"/>
        <d v="1899-12-30T11:36:00Z"/>
        <d v="1899-12-30T14:31:00Z"/>
        <d v="1899-12-30T12:59:00Z"/>
        <d v="1899-12-30T15:10:00Z"/>
        <d v="1899-12-30T17:44:00Z"/>
        <d v="1899-12-30T19:57:00Z"/>
        <d v="1899-12-30T08:25:00Z"/>
        <d v="1899-12-30T10:10:00Z"/>
        <d v="1899-12-30T12:08:00Z"/>
        <d v="1899-12-30T17:03:00Z"/>
        <d v="1899-12-30T18:49:00Z"/>
        <d v="1899-12-30T19:07:00Z"/>
        <d v="1899-12-30T19:46:00Z"/>
        <d v="1899-12-30T21:41:00Z"/>
        <d v="1899-12-30T13:30:00Z"/>
        <d v="1899-12-30T14:13:00Z"/>
        <d v="1899-12-30T22:10:00Z"/>
        <d v="1899-12-30T13:13:00Z"/>
        <d v="1899-12-30T18:46:00Z"/>
        <d v="1899-12-30T22:44:00Z"/>
        <d v="1899-12-30T18:42:00Z"/>
        <d v="1899-12-30T22:16:00Z"/>
        <d v="1899-12-30T13:45:00Z"/>
        <d v="1899-12-30T14:26:00Z"/>
        <d v="1899-12-30T17:33:00Z"/>
        <d v="1899-12-30T17:54:00Z"/>
        <d v="1899-12-30T22:38:00Z"/>
        <d v="1899-12-30T14:14:00Z"/>
        <d v="1899-12-30T15:37:00Z"/>
        <d v="1899-12-30T22:20:00Z"/>
        <d v="1899-12-30T20:55:00Z"/>
        <d v="1899-12-30T21:30:00Z"/>
        <d v="1899-12-30T21:24:00Z"/>
        <d v="1899-12-30T22:34:00Z"/>
        <d v="1899-12-30T23:55:00Z"/>
        <d v="1899-12-30T05:47:00Z"/>
        <d v="1899-12-30T16:45:00Z"/>
        <d v="1899-12-30T17:18:00Z"/>
        <d v="1899-12-30T06:08:00Z"/>
        <d v="1899-12-30T17:58:00Z"/>
        <d v="1899-12-30T19:35:00Z"/>
        <d v="1899-12-30T09:03:00Z"/>
        <d v="1899-12-30T17:19:00Z"/>
        <d v="1899-12-30T21:47:00Z"/>
        <d v="1899-12-30T18:35:00Z"/>
        <d v="1899-12-30T23:01:00Z"/>
        <d v="1899-12-30T13:15:00Z"/>
        <d v="1899-12-30T13:56:00Z"/>
        <d v="1899-12-30T14:34:00Z"/>
        <d v="1899-12-30T09:11:00Z"/>
        <d v="1899-12-30T13:00:00Z"/>
        <d v="1899-12-30T15:43:00Z"/>
        <d v="1899-12-30T15:39:00Z"/>
        <d v="1899-12-30T20:19:00Z"/>
        <d v="1899-12-30T21:09:00Z"/>
        <d v="1899-12-30T20:26:00Z"/>
        <d v="1899-12-30T20:47:00Z"/>
        <d v="1899-12-30T22:11:00Z"/>
        <d v="1899-12-30T00:15:00Z"/>
        <d v="1899-12-30T14:35:00Z"/>
        <d v="1899-12-30T17:50:00Z"/>
        <d v="1899-12-30T13:10:00Z"/>
        <d v="1899-12-30T11:29:00Z"/>
        <d v="1899-12-30T13:08:00Z"/>
        <d v="1899-12-30T18:14:00Z"/>
        <d v="1899-12-30T18:41:00Z"/>
        <d v="1899-12-30T19:36:00Z"/>
        <d v="1899-12-30T22:47:00Z"/>
        <d v="1899-12-30T15:06:00Z"/>
        <d v="1899-12-30T15:57:00Z"/>
        <d v="1899-12-30T18:05:00Z"/>
        <d v="1899-12-30T21:53:00Z"/>
        <d v="1899-12-30T23:52:00Z"/>
        <d v="1899-12-30T20:06:00Z"/>
        <d v="1899-12-30T21:08:00Z"/>
        <d v="1899-12-30T23:34:00Z"/>
        <d v="1899-12-30T21:42:00Z"/>
        <d v="1899-12-30T23:41:00Z"/>
        <d v="1899-12-30T08:23:00Z"/>
        <d v="1899-12-30T12:04:00Z"/>
        <d v="1899-12-30T13:12:00Z"/>
        <d v="1899-12-30T16:55:00Z"/>
        <d v="1899-12-30T17:59:00Z"/>
        <d v="1899-12-30T20:11:00Z"/>
        <d v="1899-12-30T23:53:00Z"/>
        <d v="1899-12-30T17:34:00Z"/>
        <d v="1899-12-30T21:45:00Z"/>
        <d v="1899-12-30T23:39:00Z"/>
        <d v="1899-12-30T19:53:00Z"/>
        <d v="1899-12-30T20:05:00Z"/>
        <d v="1899-12-30T21:58:00Z"/>
        <d v="1899-12-30T05:23:00Z"/>
        <d v="1899-12-30T14:17:00Z"/>
        <d v="1899-12-30T18:08:00Z"/>
        <d v="1899-12-30T18:54:00Z"/>
        <d v="1899-12-30T20:00:00Z"/>
        <d v="1899-12-30T12:03:00Z"/>
        <d v="1899-12-30T16:09:00Z"/>
        <d v="1899-12-30T01:46:00Z"/>
        <d v="1899-12-30T15:26:00Z"/>
        <d v="1899-12-30T16:37:00Z"/>
        <d v="1899-12-30T17:29:00Z"/>
        <d v="1899-12-30T19:52:00Z"/>
        <d v="1899-12-30T19:39:00Z"/>
        <d v="1899-12-30T21:43:00Z"/>
        <d v="1899-12-30T16:11:00Z"/>
        <d v="1899-12-30T00:29:00Z"/>
        <d v="1899-12-30T02:39:00Z"/>
        <d v="1899-12-30T05:51:00Z"/>
        <d v="1899-12-30T17:11:00Z"/>
        <d v="1899-12-30T11:54:00Z"/>
        <d v="1899-12-30T12:19:00Z"/>
        <d v="1899-12-30T20:44:00Z"/>
        <d v="1899-12-30T10:18:00Z"/>
        <d v="1899-12-30T10:50:00Z"/>
        <d v="1899-12-30T11:25:00Z"/>
        <d v="1899-12-30T11:53:00Z"/>
        <d v="1899-12-30T23:19:00Z"/>
        <d v="1899-12-30T17:43:00Z"/>
        <d v="1899-12-30T19:41:00Z"/>
        <d v="1899-12-30T21:14:00Z"/>
        <d v="1899-12-30T08:51:00Z"/>
        <d v="1899-12-30T09:05:00Z"/>
        <d v="1899-12-30T09:43:00Z"/>
        <d v="1899-12-30T10:22:00Z"/>
        <d v="1899-12-30T10:51:00Z"/>
        <d v="1899-12-30T11:06:00Z"/>
        <d v="1899-12-30T00:48:00Z"/>
        <d v="1899-12-30T20:13:00Z"/>
        <d v="1899-12-30T08:56:00Z"/>
        <d v="1899-12-30T11:49:00Z"/>
        <d v="1899-12-30T12:11:00Z"/>
        <d v="1899-12-30T23:38:00Z"/>
        <d v="1899-12-30T20:09:00Z"/>
        <d v="1899-12-30T00:00:00Z"/>
        <d v="1899-12-30T23:48:00Z"/>
        <d v="1899-12-30T00:28:00Z"/>
        <d v="1899-12-30T03:02:00Z"/>
        <d v="1899-12-30T00:32:00Z"/>
        <d v="1899-12-30T00:08:00Z"/>
        <d v="1899-12-30T16:48:00Z"/>
        <d v="1899-12-30T22:41:00Z"/>
        <d v="1899-12-30T12:48:00Z"/>
        <d v="1899-12-30T20:04:00Z"/>
        <d v="1899-12-30T23:46:00Z"/>
        <d v="1899-12-30T08:22:00Z"/>
        <d v="1899-12-30T10:27:00Z"/>
        <d v="1899-12-30T09:50:00Z"/>
        <d v="1899-12-30T13:48:00Z"/>
        <d v="1899-12-30T09:52:00Z"/>
        <d v="1899-12-30T10:15:00Z"/>
        <d v="1899-12-30T14:10:00Z"/>
        <d v="1899-12-30T19:51:00Z"/>
        <d v="1899-12-30T16:10:00Z"/>
        <d v="1899-12-30T23:47:00Z"/>
        <d v="1899-12-30T15:51:00Z"/>
        <d v="1899-12-30T16:03:00Z"/>
        <d v="1899-12-30T16:39:00Z"/>
        <d v="1899-12-30T12:35:00Z"/>
        <d v="1899-12-30T15:03:00Z"/>
        <d v="1899-12-30T15:40:00Z"/>
        <d v="1899-12-30T13:14:00Z"/>
        <d v="1899-12-30T15:29:00Z"/>
        <d v="1899-12-30T19:42:00Z"/>
        <d v="1899-12-30T22:50:00Z"/>
        <d v="1899-12-30T11:23:00Z"/>
        <d v="1899-12-30T12:20:00Z"/>
        <d v="1899-12-30T10:37:00Z"/>
        <d v="1899-12-30T11:40:00Z"/>
        <d v="1899-12-30T17:12:00Z"/>
        <d v="1899-12-30T18:32:00Z"/>
        <d v="1899-12-30T20:28:00Z"/>
        <d v="1899-12-30T17:14:00Z"/>
        <d v="1899-12-30T18:16:00Z"/>
        <d v="1899-12-30T17:42:00Z"/>
        <d v="1899-12-30T10:42:00Z"/>
        <d v="1899-12-30T11:11:00Z"/>
        <d v="1899-12-30T11:37:00Z"/>
        <d v="1899-12-30T12:14:00Z"/>
        <d v="1899-12-30T13:21:00Z"/>
        <d v="1899-12-30T14:27:00Z"/>
        <d v="1899-12-30T15:49:00Z"/>
        <d v="1899-12-30T18:33:00Z"/>
        <d v="1899-12-30T14:48:00Z"/>
        <d v="1899-12-30T15:15:00Z"/>
        <d v="1899-12-30T15:50:00Z"/>
        <d v="1899-12-30T20:17:00Z"/>
        <d v="1899-12-30T23:18:00Z"/>
        <d v="1899-12-30T10:47:00Z"/>
        <d v="1899-12-30T20:52:00Z"/>
        <d v="1899-12-30T22:31:00Z"/>
        <d v="1899-12-30T19:08:00Z"/>
        <d v="1899-12-30T21:34:00Z"/>
        <d v="1899-12-30T22:00:00Z"/>
        <d v="1899-12-30T00:04:00Z"/>
        <d v="1899-12-30T15:45:00Z"/>
        <d v="1899-12-30T17:02:00Z"/>
        <d v="1899-12-30T21:16:00Z"/>
        <d v="1899-12-30T13:28:00Z"/>
        <d v="1899-12-30T13:52:00Z"/>
        <d v="1899-12-30T08:11:00Z"/>
        <d v="1899-12-30T11:51:00Z"/>
        <d v="1899-12-30T19:15:00Z"/>
        <d v="1899-12-30T21:23:00Z"/>
        <d v="1899-12-30T12:46:00Z"/>
        <d v="1899-12-30T14:59:00Z"/>
        <d v="1899-12-30T18:17:00Z"/>
        <d v="1899-12-30T19:17:00Z"/>
        <d v="1899-12-30T06:40:00Z"/>
        <d v="1899-12-30T17:28:00Z"/>
        <d v="1899-12-30T20:15:00Z"/>
        <d v="1899-12-30T16:17:00Z"/>
        <d v="1899-12-30T21:50:00Z"/>
        <d v="1899-12-30T23:28:00Z"/>
        <d v="1899-12-30T14:20:00Z"/>
        <d v="1899-12-30T16:56:00Z"/>
        <d v="1899-12-30T17:53:00Z"/>
        <d v="1899-12-30T18:37:00Z"/>
        <d v="1899-12-30T20:59:00Z"/>
        <d v="1899-12-30T18:56:00Z"/>
        <d v="1899-12-30T15:20:00Z"/>
        <d v="1899-12-30T07:58:00Z"/>
        <d v="1899-12-30T08:16:00Z"/>
        <d v="1899-12-30T08:46:00Z"/>
        <d v="1899-12-30T10:06:00Z"/>
        <d v="1899-12-30T10:17:00Z"/>
        <d v="1899-12-30T10:57:00Z"/>
        <d v="1899-12-30T14:45:00Z"/>
        <d v="1899-12-30T15:32:00Z"/>
        <d v="1899-12-30T16:54:00Z"/>
        <d v="1899-12-30T17:05:00Z"/>
        <d v="1899-12-30T18:38:00Z"/>
        <d v="1899-12-30T18:40:00Z"/>
        <d v="1899-12-30T08:24:00Z"/>
        <d v="1899-12-30T08:54:00Z"/>
        <d v="1899-12-30T09:27:00Z"/>
        <d v="1899-12-30T12:07:00Z"/>
        <d v="1899-12-30T10:00:00Z"/>
        <d v="1899-12-30T16:30:00Z"/>
        <d v="1899-12-30T18:10:00Z"/>
        <d v="1899-12-30T18:48:00Z"/>
        <d v="1899-12-30T19:58:00Z"/>
        <d v="1899-12-30T20:53:00Z"/>
        <d v="1899-12-30T08:10:00Z"/>
        <d v="1899-12-30T09:35:00Z"/>
        <d v="1899-12-30T13:19:00Z"/>
        <d v="1899-12-30T13:49:00Z"/>
        <d v="1899-12-30T15:07:00Z"/>
        <d v="1899-12-30T12:05:00Z"/>
        <d v="1899-12-30T16:36:00Z"/>
        <d v="1899-12-30T19:25:00Z"/>
        <d v="1899-12-30T22:58:00Z"/>
        <d v="1899-12-30T15:23:00Z"/>
        <d v="1899-12-30T19:31:00Z"/>
        <d v="1899-12-30T12:12:00Z"/>
        <d v="1899-12-30T16:15:00Z"/>
        <d v="1899-12-30T09:57:00Z"/>
        <d v="1899-12-30T21:15:00Z"/>
        <d v="1899-12-30T12:02:00Z"/>
        <d v="1899-12-30T13:38:00Z"/>
        <d v="1899-12-30T16:06:00Z"/>
        <d v="1899-12-30T17:24:00Z"/>
        <d v="1899-12-30T17:21:00Z"/>
        <d v="1899-12-30T10:25:00Z"/>
        <d v="1899-12-30T10:28:00Z"/>
        <d v="1899-12-30T09:51:00Z"/>
        <d v="1899-12-30T21:40:00Z"/>
        <d v="1899-12-30T08:07:00Z"/>
        <d v="1899-12-30T11:15:00Z"/>
        <d v="1899-12-30T11:55:00Z"/>
        <d v="1899-12-30T20:33:00Z"/>
        <d v="1899-12-30T18:07:00Z"/>
        <d v="1899-12-30T06:18:00Z"/>
        <d v="1899-12-30T14:40:00Z"/>
        <d v="1899-12-30T16:23:00Z"/>
        <d v="1899-12-30T17:36:00Z"/>
        <d v="1899-12-30T19:10:00Z"/>
        <d v="1899-12-30T08:33:00Z"/>
        <d v="1899-12-30T19:14:00Z"/>
        <d v="1899-12-30T17:39:00Z"/>
        <d v="1899-12-30T18:51:00Z"/>
        <d v="1899-12-30T22:04:00Z"/>
        <d v="1899-12-30T08:49:00Z"/>
        <d v="1899-12-30T11:27:00Z"/>
        <d v="1899-12-30T14:29:00Z"/>
        <d v="1899-12-30T15:47:00Z"/>
        <d v="1899-12-30T18:15:00Z"/>
        <d v="1899-12-30T14:04:00Z"/>
        <d v="1899-12-30T17:22:00Z"/>
        <d v="1899-12-30T01:27:00Z"/>
        <d v="1899-12-30T19:18:00Z"/>
        <d v="1899-12-30T13:37:00Z"/>
        <d v="1899-12-30T16:08:00Z"/>
        <d v="1899-12-30T08:50:00Z"/>
        <d v="1899-12-30T10:16:00Z"/>
        <d v="1899-12-30T23:54:00Z"/>
        <d v="1899-12-30T22:28:00Z"/>
        <d v="1899-12-30T00:01:00Z"/>
        <d v="1899-12-30T20:30:00Z"/>
        <d v="1899-12-30T18:02:00Z"/>
        <d v="1899-12-30T08:12:00Z"/>
        <d v="1899-12-30T08:53:00Z"/>
        <d v="1899-12-30T18:12:00Z"/>
        <d v="1899-12-30T19:03:00Z"/>
        <d v="1899-12-30T20:31:00Z"/>
        <d v="1899-12-30T09:33:00Z"/>
        <d v="1899-12-30T09:54:00Z"/>
        <d v="1899-12-30T14:02:00Z"/>
        <d v="1899-12-30T15:44:00Z"/>
        <d v="1899-12-30T16:33:00Z"/>
        <d v="1899-12-30T11:26:00Z"/>
        <d v="1899-12-30T00:54:00Z"/>
        <d v="1899-12-30T19:04:00Z"/>
        <d v="1899-12-30T21:10:00Z"/>
        <d v="1899-12-30T14:57:00Z"/>
        <d v="1899-12-30T15:04:00Z"/>
        <d v="1899-12-30T20:54:00Z"/>
        <d v="1899-12-30T22:24:00Z"/>
        <d v="1899-12-30T19:20:00Z"/>
        <d v="1899-12-30T13:06:00Z"/>
        <d v="1899-12-30T15:53:00Z"/>
        <d v="1899-12-30T18:13:00Z"/>
        <d v="1899-12-30T15:22:00Z"/>
        <d v="1899-12-30T17:13:00Z"/>
        <d v="1899-12-30T07:49:00Z"/>
        <d v="1899-12-30T10:11:00Z"/>
        <d v="1899-12-30T12:24:00Z"/>
        <d v="1899-12-30T12:58:00Z"/>
        <d v="1899-12-30T18:26:00Z"/>
        <d v="1899-12-30T18:11:00Z"/>
        <d v="1899-12-30T11:50:00Z"/>
        <d v="1899-12-30T17:35:00Z"/>
        <d v="1899-12-30T19:59:00Z"/>
        <d v="1899-12-30T20:41:00Z"/>
        <d v="1899-12-30T16:46:00Z"/>
        <d v="1899-12-30T11:28:00Z"/>
        <d v="1899-12-30T12:43:00Z"/>
        <d v="1899-12-30T22:46:00Z"/>
        <d v="1899-12-30T10:02:00Z"/>
        <d v="1899-12-30T21:04:00Z"/>
        <d v="1899-12-30T22:12:00Z"/>
        <d v="1899-12-30T12:16:00Z"/>
        <d v="1899-12-30T13:41:00Z"/>
        <d v="1899-12-30T15:58:00Z"/>
        <d v="1899-12-30T18:21:00Z"/>
        <d v="1899-12-30T21:56:00Z"/>
        <d v="1899-12-30T10:20:00Z"/>
        <d v="1899-12-30T15:30:00Z"/>
        <d v="1899-12-30T18:30:00Z"/>
        <d v="1899-12-30T10:32:00Z"/>
        <d v="1899-12-30T13:07:00Z"/>
        <d v="1899-12-30T13:46:00Z"/>
        <d v="1899-12-30T14:22:00Z"/>
        <d v="1899-12-30T15:25:00Z"/>
        <d v="1899-12-30T13:05:00Z"/>
        <d v="1899-12-30T11:24:00Z"/>
        <d v="1899-12-30T13:59:00Z"/>
        <d v="1899-12-30T14:09:00Z"/>
        <d v="1899-12-30T20:21:00Z"/>
        <d v="1899-12-30T22:52:00Z"/>
        <d v="1899-12-30T10:13:00Z"/>
        <d v="1899-12-30T17:41:00Z"/>
        <d v="1899-12-30T11:58:00Z"/>
        <d v="1899-12-30T14:58:00Z"/>
        <d v="1899-12-30T17:45:00Z"/>
        <d v="1899-12-30T15:12:00Z"/>
        <d v="1899-12-30T21:02:00Z"/>
        <d v="1899-12-30T15:54:00Z"/>
        <d v="1899-12-30T17:00:00Z"/>
        <d v="1899-12-30T18:29:00Z"/>
        <d v="1899-12-30T11:03:00Z"/>
        <d v="1899-12-30T07:44:00Z"/>
        <d v="1899-12-30T08:37:00Z"/>
        <d v="1899-12-30T22:59:00Z"/>
        <d v="1899-12-30T20:23:00Z"/>
        <d v="1899-12-30T19:22:00Z"/>
        <d v="1899-12-30T21:13:00Z"/>
        <d v="1899-12-30T14:19:00Z"/>
        <d v="1899-12-30T22:03:00Z"/>
        <d v="1899-12-30T22:09:00Z"/>
        <d v="1899-12-30T19:05:00Z"/>
        <d v="1899-12-30T17:51:00Z"/>
        <d v="1899-12-30T18:19:00Z"/>
        <d v="1899-12-30T20:20:00Z"/>
        <d v="1899-12-30T15:38:00Z"/>
        <d v="1899-12-30T20:35:00Z"/>
        <d v="1899-12-30T09:08:00Z"/>
        <d v="1899-12-30T14:18:00Z"/>
        <d v="1899-12-30T15:09:00Z"/>
        <d v="1899-12-30T16:50:00Z"/>
        <d v="1899-12-30T19:55:00Z"/>
        <d v="1899-12-30T10:30:00Z"/>
        <d v="1899-12-30T16:14:00Z"/>
        <d v="1899-12-30T07:42:00Z"/>
        <d v="1899-12-30T10:14:00Z"/>
        <d v="1899-12-30T15:55:00Z"/>
        <d v="1899-12-30T19:49:00Z"/>
        <d v="1899-12-30T20:56:00Z"/>
        <d v="1899-12-30T17:04:00Z"/>
        <d v="1899-12-30T17:56:00Z"/>
        <d v="1899-12-30T23:27:00Z"/>
        <d v="1899-12-30T11:33:00Z"/>
        <d v="1899-12-30T14:15:00Z"/>
        <d v="1899-12-30T07:43:00Z"/>
        <d v="1899-12-30T09:19:00Z"/>
        <d v="1899-12-30T10:34:00Z"/>
        <d v="1899-12-30T00:10:00Z"/>
        <d v="1899-12-30T08:30:00Z"/>
        <d v="1899-12-30T13:09:00Z"/>
        <d v="1899-12-30T07:02:00Z"/>
        <d v="1899-12-30T19:19:00Z"/>
        <d v="1899-12-30T13:53:00Z"/>
        <d v="1899-12-30T00:49:00Z"/>
        <d v="1899-12-30T09:44:00Z"/>
        <d v="1899-12-30T12:25:00Z"/>
        <d v="1899-12-30T13:17:00Z"/>
        <d v="1899-12-30T15:05:00Z"/>
        <d v="1899-12-30T19:50:00Z"/>
        <d v="1899-12-30T23:14:00Z"/>
        <d v="1899-12-30T11:31:00Z"/>
        <d v="1899-12-30T15:41:00Z"/>
        <d v="1899-12-30T23:06:00Z"/>
        <d v="1899-12-30T01:07:00Z"/>
        <d v="1899-12-30T21:32:00Z"/>
        <d v="1899-12-30T22:08:00Z"/>
      </sharedItems>
    </cacheField>
    <cacheField name="END_TIME" numFmtId="165">
      <sharedItems containsSemiMixedTypes="0" containsDate="1" containsString="0">
        <d v="1899-12-30T21:17:00Z"/>
        <d v="1899-12-30T01:37:00Z"/>
        <d v="1899-12-30T20:38:00Z"/>
        <d v="1899-12-30T17:45:00Z"/>
        <d v="1899-12-30T15:49:00Z"/>
        <d v="1899-12-30T17:19:00Z"/>
        <d v="1899-12-30T17:35:00Z"/>
        <d v="1899-12-30T13:33:00Z"/>
        <d v="1899-12-30T08:25:00Z"/>
        <d v="1899-12-30T12:44:00Z"/>
        <d v="1899-12-30T15:51:00Z"/>
        <d v="1899-12-30T18:53:00Z"/>
        <d v="1899-12-30T19:32:00Z"/>
        <d v="1899-12-30T09:21:00Z"/>
        <d v="1899-12-30T12:03:00Z"/>
        <d v="1899-12-30T13:46:00Z"/>
        <d v="1899-12-30T14:43:00Z"/>
        <d v="1899-12-30T12:49:00Z"/>
        <d v="1899-12-30T13:09:00Z"/>
        <d v="1899-12-30T14:56:00Z"/>
        <d v="1899-12-30T15:28:00Z"/>
        <d v="1899-12-30T15:54:00Z"/>
        <d v="1899-12-30T17:00:00Z"/>
        <d v="1899-12-30T14:07:00Z"/>
        <d v="1899-12-30T17:05:00Z"/>
        <d v="1899-12-30T21:45:00Z"/>
        <d v="1899-12-30T01:01:00Z"/>
        <d v="1899-12-30T13:44:00Z"/>
        <d v="1899-12-30T15:06:00Z"/>
        <d v="1899-12-30T16:24:00Z"/>
        <d v="1899-12-30T09:23:00Z"/>
        <d v="1899-12-30T11:09:00Z"/>
        <d v="1899-12-30T11:11:00Z"/>
        <d v="1899-12-30T12:19:00Z"/>
        <d v="1899-12-30T14:19:00Z"/>
        <d v="1899-12-30T14:29:00Z"/>
        <d v="1899-12-30T14:51:00Z"/>
        <d v="1899-12-30T16:06:00Z"/>
        <d v="1899-12-30T10:50:00Z"/>
        <d v="1899-12-30T12:41:00Z"/>
        <d v="1899-12-30T16:32:00Z"/>
        <d v="1899-12-30T17:22:00Z"/>
        <d v="1899-12-30T17:29:00Z"/>
        <d v="1899-12-30T09:31:00Z"/>
        <d v="1899-12-30T10:48:00Z"/>
        <d v="1899-12-30T14:13:00Z"/>
        <d v="1899-12-30T15:08:00Z"/>
        <d v="1899-12-30T13:00:00Z"/>
        <d v="1899-12-30T15:31:00Z"/>
        <d v="1899-12-30T16:51:00Z"/>
        <d v="1899-12-30T09:45:00Z"/>
        <d v="1899-12-30T11:07:00Z"/>
        <d v="1899-12-30T13:47:00Z"/>
        <d v="1899-12-30T18:52:00Z"/>
        <d v="1899-12-30T21:40:00Z"/>
        <d v="1899-12-30T16:33:00Z"/>
        <d v="1899-12-30T18:24:00Z"/>
        <d v="1899-12-30T11:15:00Z"/>
        <d v="1899-12-30T12:43:00Z"/>
        <d v="1899-12-30T13:07:00Z"/>
        <d v="1899-12-30T13:23:00Z"/>
        <d v="1899-12-30T14:06:00Z"/>
        <d v="1899-12-30T14:42:00Z"/>
        <d v="1899-12-30T09:01:00Z"/>
        <d v="1899-12-30T10:09:00Z"/>
        <d v="1899-12-30T10:32:00Z"/>
        <d v="1899-12-30T16:03:00Z"/>
        <d v="1899-12-30T16:39:00Z"/>
        <d v="1899-12-30T18:31:00Z"/>
        <d v="1899-12-30T20:55:00Z"/>
        <d v="1899-12-30T12:07:00Z"/>
        <d v="1899-12-30T13:41:00Z"/>
        <d v="1899-12-30T16:53:00Z"/>
        <d v="1899-12-30T19:21:00Z"/>
        <d v="1899-12-30T19:37:00Z"/>
        <d v="1899-12-30T17:01:00Z"/>
        <d v="1899-12-30T18:17:00Z"/>
        <d v="1899-12-30T20:40:00Z"/>
        <d v="1899-12-30T13:08:00Z"/>
        <d v="1899-12-30T14:10:00Z"/>
        <d v="1899-12-30T11:50:00Z"/>
        <d v="1899-12-30T13:52:00Z"/>
        <d v="1899-12-30T14:02:00Z"/>
        <d v="1899-12-30T19:11:00Z"/>
        <d v="1899-12-30T17:10:00Z"/>
        <d v="1899-12-30T18:10:00Z"/>
        <d v="1899-12-30T18:46:00Z"/>
        <d v="1899-12-30T20:51:00Z"/>
        <d v="1899-12-30T08:42:00Z"/>
        <d v="1899-12-30T10:52:00Z"/>
        <d v="1899-12-30T11:35:00Z"/>
        <d v="1899-12-30T13:36:00Z"/>
        <d v="1899-12-30T14:41:00Z"/>
        <d v="1899-12-30T00:01:00Z"/>
        <d v="1899-12-30T01:00:00Z"/>
        <d v="1899-12-30T14:40:00Z"/>
        <d v="1899-12-30T15:03:00Z"/>
        <d v="1899-12-30T17:02:00Z"/>
        <d v="1899-12-30T04:13:00Z"/>
        <d v="1899-12-30T09:34:00Z"/>
        <d v="1899-12-30T10:41:00Z"/>
        <d v="1899-12-30T12:02:00Z"/>
        <d v="1899-12-30T12:42:00Z"/>
        <d v="1899-12-30T13:55:00Z"/>
        <d v="1899-12-30T17:26:00Z"/>
        <d v="1899-12-30T17:44:00Z"/>
        <d v="1899-12-30T14:04:00Z"/>
        <d v="1899-12-30T15:22:00Z"/>
        <d v="1899-12-30T16:17:00Z"/>
        <d v="1899-12-30T16:43:00Z"/>
        <d v="1899-12-30T08:27:00Z"/>
        <d v="1899-12-30T14:45:00Z"/>
        <d v="1899-12-30T18:58:00Z"/>
        <d v="1899-12-30T20:08:00Z"/>
        <d v="1899-12-30T09:14:00Z"/>
        <d v="1899-12-30T09:51:00Z"/>
        <d v="1899-12-30T11:26:00Z"/>
        <d v="1899-12-30T12:27:00Z"/>
        <d v="1899-12-30T16:45:00Z"/>
        <d v="1899-12-30T17:20:00Z"/>
        <d v="1899-12-30T20:30:00Z"/>
        <d v="1899-12-30T08:32:00Z"/>
        <d v="1899-12-30T10:56:00Z"/>
        <d v="1899-12-30T11:53:00Z"/>
        <d v="1899-12-30T13:17:00Z"/>
        <d v="1899-12-30T17:54:00Z"/>
        <d v="1899-12-30T18:03:00Z"/>
        <d v="1899-12-30T19:49:00Z"/>
        <d v="1899-12-30T09:46:00Z"/>
        <d v="1899-12-30T11:43:00Z"/>
        <d v="1899-12-30T12:01:00Z"/>
        <d v="1899-12-30T12:35:00Z"/>
        <d v="1899-12-30T13:12:00Z"/>
        <d v="1899-12-30T14:30:00Z"/>
        <d v="1899-12-30T15:41:00Z"/>
        <d v="1899-12-30T23:52:00Z"/>
        <d v="1899-12-30T22:09:00Z"/>
        <d v="1899-12-30T14:35:00Z"/>
        <d v="1899-12-30T15:25:00Z"/>
        <d v="1899-12-30T16:35:00Z"/>
        <d v="1899-12-30T17:36:00Z"/>
        <d v="1899-12-30T18:39:00Z"/>
        <d v="1899-12-30T09:29:00Z"/>
        <d v="1899-12-30T11:59:00Z"/>
        <d v="1899-12-30T13:24:00Z"/>
        <d v="1899-12-30T14:46:00Z"/>
        <d v="1899-12-30T15:18:00Z"/>
        <d v="1899-12-30T17:12:00Z"/>
        <d v="1899-12-30T05:38:00Z"/>
        <d v="1899-12-30T09:42:00Z"/>
        <d v="1899-12-30T11:14:00Z"/>
        <d v="1899-12-30T11:40:00Z"/>
        <d v="1899-12-30T12:48:00Z"/>
        <d v="1899-12-30T19:10:00Z"/>
        <d v="1899-12-30T09:52:00Z"/>
        <d v="1899-12-30T11:10:00Z"/>
        <d v="1899-12-30T14:58:00Z"/>
        <d v="1899-12-30T15:48:00Z"/>
        <d v="1899-12-30T16:42:00Z"/>
        <d v="1899-12-30T08:06:00Z"/>
        <d v="1899-12-30T10:03:00Z"/>
        <d v="1899-12-30T12:06:00Z"/>
        <d v="1899-12-30T13:25:00Z"/>
        <d v="1899-12-30T14:09:00Z"/>
        <d v="1899-12-30T16:08:00Z"/>
        <d v="1899-12-30T16:22:00Z"/>
        <d v="1899-12-30T19:08:00Z"/>
        <d v="1899-12-30T19:25:00Z"/>
        <d v="1899-12-30T14:18:00Z"/>
        <d v="1899-12-30T15:01:00Z"/>
        <d v="1899-12-30T17:13:00Z"/>
        <d v="1899-12-30T17:34:00Z"/>
        <d v="1899-12-30T09:20:00Z"/>
        <d v="1899-12-30T09:47:00Z"/>
        <d v="1899-12-30T12:26:00Z"/>
        <d v="1899-12-30T15:45:00Z"/>
        <d v="1899-12-30T14:55:00Z"/>
        <d v="1899-12-30T16:00:00Z"/>
        <d v="1899-12-30T16:25:00Z"/>
        <d v="1899-12-30T03:53:00Z"/>
        <d v="1899-12-30T10:37:00Z"/>
        <d v="1899-12-30T16:28:00Z"/>
        <d v="1899-12-30T09:59:00Z"/>
        <d v="1899-12-30T10:36:00Z"/>
        <d v="1899-12-30T12:04:00Z"/>
        <d v="1899-12-30T13:51:00Z"/>
        <d v="1899-12-30T19:35:00Z"/>
        <d v="1899-12-30T09:22:00Z"/>
        <d v="1899-12-30T18:37:00Z"/>
        <d v="1899-12-30T09:37:00Z"/>
        <d v="1899-12-30T18:43:00Z"/>
        <d v="1899-12-30T20:28:00Z"/>
        <d v="1899-12-30T20:58:00Z"/>
        <d v="1899-12-30T21:23:00Z"/>
        <d v="1899-12-30T22:39:00Z"/>
        <d v="1899-12-30T08:49:00Z"/>
        <d v="1899-12-30T18:55:00Z"/>
        <d v="1899-12-30T08:57:00Z"/>
        <d v="1899-12-30T21:01:00Z"/>
        <d v="1899-12-30T11:45:00Z"/>
        <d v="1899-12-30T18:56:00Z"/>
        <d v="1899-12-30T00:44:00Z"/>
        <d v="1899-12-30T15:11:00Z"/>
        <d v="1899-12-30T15:58:00Z"/>
        <d v="1899-12-30T18:02:00Z"/>
        <d v="1899-12-30T19:09:00Z"/>
        <d v="1899-12-30T21:28:00Z"/>
        <d v="1899-12-30T22:04:00Z"/>
        <d v="1899-12-30T07:21:00Z"/>
        <d v="1899-12-30T08:43:00Z"/>
        <d v="1899-12-30T19:29:00Z"/>
        <d v="1899-12-30T21:15:00Z"/>
        <d v="1899-12-30T09:25:00Z"/>
        <d v="1899-12-30T13:13:00Z"/>
        <d v="1899-12-30T14:57:00Z"/>
        <d v="1899-12-30T16:38:00Z"/>
        <d v="1899-12-30T17:32:00Z"/>
        <d v="1899-12-30T17:47:00Z"/>
        <d v="1899-12-30T18:00:00Z"/>
        <d v="1899-12-30T20:39:00Z"/>
        <d v="1899-12-30T07:48:00Z"/>
        <d v="1899-12-30T11:56:00Z"/>
        <d v="1899-12-30T18:40:00Z"/>
        <d v="1899-12-30T19:06:00Z"/>
        <d v="1899-12-30T10:26:00Z"/>
        <d v="1899-12-30T16:13:00Z"/>
        <d v="1899-12-30T19:15:00Z"/>
        <d v="1899-12-30T06:43:00Z"/>
        <d v="1899-12-30T12:24:00Z"/>
        <d v="1899-12-30T14:59:00Z"/>
        <d v="1899-12-30T19:54:00Z"/>
        <d v="1899-12-30T22:22:00Z"/>
        <d v="1899-12-30T01:39:00Z"/>
        <d v="1899-12-30T16:30:00Z"/>
        <d v="1899-12-30T00:40:00Z"/>
        <d v="1899-12-30T01:23:00Z"/>
        <d v="1899-12-30T15:56:00Z"/>
        <d v="1899-12-30T21:41:00Z"/>
        <d v="1899-12-30T23:18:00Z"/>
        <d v="1899-12-30T20:23:00Z"/>
        <d v="1899-12-30T23:26:00Z"/>
        <d v="1899-12-30T16:11:00Z"/>
        <d v="1899-12-30T20:44:00Z"/>
        <d v="1899-12-30T23:21:00Z"/>
        <d v="1899-12-30T22:55:00Z"/>
        <d v="1899-12-30T13:22:00Z"/>
        <d v="1899-12-30T15:09:00Z"/>
        <d v="1899-12-30T14:01:00Z"/>
        <d v="1899-12-30T15:24:00Z"/>
        <d v="1899-12-30T16:49:00Z"/>
        <d v="1899-12-30T16:57:00Z"/>
        <d v="1899-12-30T09:04:00Z"/>
        <d v="1899-12-30T11:16:00Z"/>
        <d v="1899-12-30T14:47:00Z"/>
        <d v="1899-12-30T18:09:00Z"/>
        <d v="1899-12-30T22:36:00Z"/>
        <d v="1899-12-30T01:34:00Z"/>
        <d v="1899-12-30T04:16:00Z"/>
        <d v="1899-12-30T21:55:00Z"/>
        <d v="1899-12-30T00:39:00Z"/>
        <d v="1899-12-30T20:00:00Z"/>
        <d v="1899-12-30T14:03:00Z"/>
        <d v="1899-12-30T15:20:00Z"/>
        <d v="1899-12-30T16:47:00Z"/>
        <d v="1899-12-30T09:26:00Z"/>
        <d v="1899-12-30T09:53:00Z"/>
        <d v="1899-12-30T11:18:00Z"/>
        <d v="1899-12-30T08:09:00Z"/>
        <d v="1899-12-30T12:32:00Z"/>
        <d v="1899-12-30T15:26:00Z"/>
        <d v="1899-12-30T18:08:00Z"/>
        <d v="1899-12-30T20:19:00Z"/>
        <d v="1899-12-30T10:40:00Z"/>
        <d v="1899-12-30T12:28:00Z"/>
        <d v="1899-12-30T13:26:00Z"/>
        <d v="1899-12-30T17:16:00Z"/>
        <d v="1899-12-30T19:05:00Z"/>
        <d v="1899-12-30T19:16:00Z"/>
        <d v="1899-12-30T19:52:00Z"/>
        <d v="1899-12-30T21:50:00Z"/>
        <d v="1899-12-30T13:40:00Z"/>
        <d v="1899-12-30T14:25:00Z"/>
        <d v="1899-12-30T12:34:00Z"/>
        <d v="1899-12-30T13:49:00Z"/>
        <d v="1899-12-30T22:28:00Z"/>
        <d v="1899-12-30T13:34:00Z"/>
        <d v="1899-12-30T19:18:00Z"/>
        <d v="1899-12-30T23:19:00Z"/>
        <d v="1899-12-30T18:57:00Z"/>
        <d v="1899-12-30T22:34:00Z"/>
        <d v="1899-12-30T13:53:00Z"/>
        <d v="1899-12-30T14:31:00Z"/>
        <d v="1899-12-30T22:49:00Z"/>
        <d v="1899-12-30T14:21:00Z"/>
        <d v="1899-12-30T15:37:00Z"/>
        <d v="1899-12-30T21:14:00Z"/>
        <d v="1899-12-30T21:36:00Z"/>
        <d v="1899-12-30T22:27:00Z"/>
        <d v="1899-12-30T22:40:00Z"/>
        <d v="1899-12-30T00:08:00Z"/>
        <d v="1899-12-30T06:02:00Z"/>
        <d v="1899-12-30T16:59:00Z"/>
        <d v="1899-12-30T06:25:00Z"/>
        <d v="1899-12-30T18:26:00Z"/>
        <d v="1899-12-30T19:59:00Z"/>
        <d v="1899-12-30T17:31:00Z"/>
        <d v="1899-12-30T09:12:00Z"/>
        <d v="1899-12-30T23:05:00Z"/>
        <d v="1899-12-30T14:08:00Z"/>
        <d v="1899-12-30T09:41:00Z"/>
        <d v="1899-12-30T13:02:00Z"/>
        <d v="1899-12-30T16:12:00Z"/>
        <d v="1899-12-30T15:46:00Z"/>
        <d v="1899-12-30T20:27:00Z"/>
        <d v="1899-12-30T21:21:00Z"/>
        <d v="1899-12-30T20:53:00Z"/>
        <d v="1899-12-30T22:14:00Z"/>
        <d v="1899-12-30T00:21:00Z"/>
        <d v="1899-12-30T13:06:00Z"/>
        <d v="1899-12-30T15:04:00Z"/>
        <d v="1899-12-30T17:59:00Z"/>
        <d v="1899-12-30T10:47:00Z"/>
        <d v="1899-12-30T13:39:00Z"/>
        <d v="1899-12-30T11:49:00Z"/>
        <d v="1899-12-30T13:38:00Z"/>
        <d v="1899-12-30T18:29:00Z"/>
        <d v="1899-12-30T19:42:00Z"/>
        <d v="1899-12-30T23:06:00Z"/>
        <d v="1899-12-30T14:33:00Z"/>
        <d v="1899-12-30T18:14:00Z"/>
        <d v="1899-12-30T22:05:00Z"/>
        <d v="1899-12-30T20:20:00Z"/>
        <d v="1899-12-30T21:37:00Z"/>
        <d v="1899-12-30T22:00:00Z"/>
        <d v="1899-12-30T23:48:00Z"/>
        <d v="1899-12-30T00:04:00Z"/>
        <d v="1899-12-30T08:53:00Z"/>
        <d v="1899-12-30T13:01:00Z"/>
        <d v="1899-12-30T13:29:00Z"/>
        <d v="1899-12-30T14:37:00Z"/>
        <d v="1899-12-30T17:11:00Z"/>
        <d v="1899-12-30T17:18:00Z"/>
        <d v="1899-12-30T18:05:00Z"/>
        <d v="1899-12-30T20:25:00Z"/>
        <d v="1899-12-30T17:39:00Z"/>
        <d v="1899-12-30T17:56:00Z"/>
        <d v="1899-12-30T00:05:00Z"/>
        <d v="1899-12-30T19:56:00Z"/>
        <d v="1899-12-30T20:16:00Z"/>
        <d v="1899-12-30T22:19:00Z"/>
        <d v="1899-12-30T05:42:00Z"/>
        <d v="1899-12-30T18:47:00Z"/>
        <d v="1899-12-30T19:23:00Z"/>
        <d v="1899-12-30T20:05:00Z"/>
        <d v="1899-12-30T12:21:00Z"/>
        <d v="1899-12-30T17:24:00Z"/>
        <d v="1899-12-30T17:57:00Z"/>
        <d v="1899-12-30T02:06:00Z"/>
        <d v="1899-12-30T15:34:00Z"/>
        <d v="1899-12-30T17:49:00Z"/>
        <d v="1899-12-30T19:58:00Z"/>
        <d v="1899-12-30T21:56:00Z"/>
        <d v="1899-12-30T16:44:00Z"/>
        <d v="1899-12-30T00:51:00Z"/>
        <d v="1899-12-30T02:50:00Z"/>
        <d v="1899-12-30T06:00:00Z"/>
        <d v="1899-12-30T10:57:00Z"/>
        <d v="1899-12-30T12:37:00Z"/>
        <d v="1899-12-30T13:27:00Z"/>
        <d v="1899-12-30T14:20:00Z"/>
        <d v="1899-12-30T21:02:00Z"/>
        <d v="1899-12-30T10:08:00Z"/>
        <d v="1899-12-30T10:25:00Z"/>
        <d v="1899-12-30T11:34:00Z"/>
        <d v="1899-12-30T13:21:00Z"/>
        <d v="1899-12-30T18:18:00Z"/>
        <d v="1899-12-30T19:12:00Z"/>
        <d v="1899-12-30T19:50:00Z"/>
        <d v="1899-12-30T21:42:00Z"/>
        <d v="1899-12-30T08:48:00Z"/>
        <d v="1899-12-30T09:00:00Z"/>
        <d v="1899-12-30T09:33:00Z"/>
        <d v="1899-12-30T10:39:00Z"/>
        <d v="1899-12-30T10:58:00Z"/>
        <d v="1899-12-30T11:24:00Z"/>
        <d v="1899-12-30T11:42:00Z"/>
        <d v="1899-12-30T14:05:00Z"/>
        <d v="1899-12-30T21:19:00Z"/>
        <d v="1899-12-30T01:05:00Z"/>
        <d v="1899-12-30T20:33:00Z"/>
        <d v="1899-12-30T23:59:00Z"/>
        <d v="1899-12-30T09:24:00Z"/>
        <d v="1899-12-30T10:38:00Z"/>
        <d v="1899-12-30T11:51:00Z"/>
        <d v="1899-12-30T12:16:00Z"/>
        <d v="1899-12-30T20:29:00Z"/>
        <d v="1899-12-30T00:00:00Z"/>
        <d v="1899-12-30T20:26:00Z"/>
        <d v="1899-12-30T00:25:00Z"/>
        <d v="1899-12-30T09:57:00Z"/>
        <d v="1899-12-30T20:24:00Z"/>
        <d v="1899-12-30T00:09:00Z"/>
        <d v="1899-12-30T20:36:00Z"/>
        <d v="1899-12-30T00:12:00Z"/>
        <d v="1899-12-30T00:38:00Z"/>
        <d v="1899-12-30T03:08:00Z"/>
        <d v="1899-12-30T20:18:00Z"/>
        <d v="1899-12-30T00:47:00Z"/>
        <d v="1899-12-30T18:49:00Z"/>
        <d v="1899-12-30T20:17:00Z"/>
        <d v="1899-12-30T00:28:00Z"/>
        <d v="1899-12-30T16:52:00Z"/>
        <d v="1899-12-30T23:02:00Z"/>
        <d v="1899-12-30T00:53:00Z"/>
        <d v="1899-12-30T20:14:00Z"/>
        <d v="1899-12-30T08:50:00Z"/>
        <d v="1899-12-30T10:33:00Z"/>
        <d v="1899-12-30T13:35:00Z"/>
        <d v="1899-12-30T10:13:00Z"/>
        <d v="1899-12-30T11:12:00Z"/>
        <d v="1899-12-30T14:11:00Z"/>
        <d v="1899-12-30T17:30:00Z"/>
        <d v="1899-12-30T10:06:00Z"/>
        <d v="1899-12-30T14:17:00Z"/>
        <d v="1899-12-30T16:15:00Z"/>
        <d v="1899-12-30T18:21:00Z"/>
        <d v="1899-12-30T19:26:00Z"/>
        <d v="1899-12-30T00:11:00Z"/>
        <d v="1899-12-30T13:20:00Z"/>
        <d v="1899-12-30T13:54:00Z"/>
        <d v="1899-12-30T15:59:00Z"/>
        <d v="1899-12-30T16:34:00Z"/>
        <d v="1899-12-30T13:15:00Z"/>
        <d v="1899-12-30T15:33:00Z"/>
        <d v="1899-12-30T15:52:00Z"/>
        <d v="1899-12-30T20:35:00Z"/>
        <d v="1899-12-30T22:18:00Z"/>
        <d v="1899-12-30T23:03:00Z"/>
        <d v="1899-12-30T10:49:00Z"/>
        <d v="1899-12-30T11:36:00Z"/>
        <d v="1899-12-30T17:33:00Z"/>
        <d v="1899-12-30T19:14:00Z"/>
        <d v="1899-12-30T20:32:00Z"/>
        <d v="1899-12-30T10:51:00Z"/>
        <d v="1899-12-30T12:00:00Z"/>
        <d v="1899-12-30T18:20:00Z"/>
        <d v="1899-12-30T17:23:00Z"/>
        <d v="1899-12-30T17:51:00Z"/>
        <d v="1899-12-30T18:42:00Z"/>
        <d v="1899-12-30T19:39:00Z"/>
        <d v="1899-12-30T10:53:00Z"/>
        <d v="1899-12-30T11:25:00Z"/>
        <d v="1899-12-30T12:31:00Z"/>
        <d v="1899-12-30T13:42:00Z"/>
        <d v="1899-12-30T18:51:00Z"/>
        <d v="1899-12-30T14:44:00Z"/>
        <d v="1899-12-30T15:12:00Z"/>
        <d v="1899-12-30T15:27:00Z"/>
        <d v="1899-12-30T16:10:00Z"/>
        <d v="1899-12-30T23:43:00Z"/>
        <d v="1899-12-30T11:33:00Z"/>
        <d v="1899-12-30T11:44:00Z"/>
        <d v="1899-12-30T21:00:00Z"/>
        <d v="1899-12-30T19:20:00Z"/>
        <d v="1899-12-30T21:57:00Z"/>
        <d v="1899-12-30T22:26:00Z"/>
        <d v="1899-12-30T15:47:00Z"/>
        <d v="1899-12-30T17:27:00Z"/>
        <d v="1899-12-30T17:37:00Z"/>
        <d v="1899-12-30T13:04:00Z"/>
        <d v="1899-12-30T13:19:00Z"/>
        <d v="1899-12-30T14:14:00Z"/>
        <d v="1899-12-30T17:55:00Z"/>
        <d v="1899-12-30T12:15:00Z"/>
        <d v="1899-12-30T21:29:00Z"/>
        <d v="1899-12-30T16:04:00Z"/>
        <d v="1899-12-30T19:27:00Z"/>
        <d v="1899-12-30T06:58:00Z"/>
        <d v="1899-12-30T17:43:00Z"/>
        <d v="1899-12-30T18:23:00Z"/>
        <d v="1899-12-30T16:31:00Z"/>
        <d v="1899-12-30T16:50:00Z"/>
        <d v="1899-12-30T22:15:00Z"/>
        <d v="1899-12-30T23:37:00Z"/>
        <d v="1899-12-30T14:38:00Z"/>
        <d v="1899-12-30T15:36:00Z"/>
        <d v="1899-12-30T16:37:00Z"/>
        <d v="1899-12-30T18:28:00Z"/>
        <d v="1899-12-30T18:50:00Z"/>
        <d v="1899-12-30T20:02:00Z"/>
        <d v="1899-12-30T13:28:00Z"/>
        <d v="1899-12-30T21:44:00Z"/>
        <d v="1899-12-30T08:11:00Z"/>
        <d v="1899-12-30T08:23:00Z"/>
        <d v="1899-12-30T10:27:00Z"/>
        <d v="1899-12-30T11:20:00Z"/>
        <d v="1899-12-30T14:50:00Z"/>
        <d v="1899-12-30T19:07:00Z"/>
        <d v="1899-12-30T08:45:00Z"/>
        <d v="1899-12-30T09:07:00Z"/>
        <d v="1899-12-30T11:06:00Z"/>
        <d v="1899-12-30T17:52:00Z"/>
        <d v="1899-12-30T10:29:00Z"/>
        <d v="1899-12-30T14:34:00Z"/>
        <d v="1899-12-30T19:24:00Z"/>
        <d v="1899-12-30T10:44:00Z"/>
        <d v="1899-12-30T11:23:00Z"/>
        <d v="1899-12-30T13:11:00Z"/>
        <d v="1899-12-30T20:50:00Z"/>
        <d v="1899-12-30T21:31:00Z"/>
        <d v="1899-12-30T23:00:00Z"/>
        <d v="1899-12-30T13:30:00Z"/>
        <d v="1899-12-30T12:56:00Z"/>
        <d v="1899-12-30T16:56:00Z"/>
        <d v="1899-12-30T19:57:00Z"/>
        <d v="1899-12-30T23:16:00Z"/>
        <d v="1899-12-30T12:20:00Z"/>
        <d v="1899-12-30T15:35:00Z"/>
        <d v="1899-12-30T10:11:00Z"/>
        <d v="1899-12-30T12:17:00Z"/>
        <d v="1899-12-30T15:44:00Z"/>
        <d v="1899-12-30T19:13:00Z"/>
        <d v="1899-12-30T10:18:00Z"/>
        <d v="1899-12-30T16:55:00Z"/>
        <d v="1899-12-30T21:59:00Z"/>
        <d v="1899-12-30T13:48:00Z"/>
        <d v="1899-12-30T16:21:00Z"/>
        <d v="1899-12-30T17:41:00Z"/>
        <d v="1899-12-30T18:36:00Z"/>
        <d v="1899-12-30T12:05:00Z"/>
        <d v="1899-12-30T10:45:00Z"/>
        <d v="1899-12-30T09:55:00Z"/>
        <d v="1899-12-30T08:12:00Z"/>
        <d v="1899-12-30T18:11:00Z"/>
        <d v="1899-12-30T06:49:00Z"/>
        <d v="1899-12-30T11:48:00Z"/>
        <d v="1899-12-30T22:47:00Z"/>
        <d v="1899-12-30T15:15:00Z"/>
        <d v="1899-12-30T08:35:00Z"/>
        <d v="1899-12-30T20:34:00Z"/>
        <d v="1899-12-30T02:37:00Z"/>
        <d v="1899-12-30T19:36:00Z"/>
        <d v="1899-12-30T18:34:00Z"/>
        <d v="1899-12-30T19:01:00Z"/>
        <d v="1899-12-30T22:33:00Z"/>
        <d v="1899-12-30T12:18:00Z"/>
        <d v="1899-12-30T17:40:00Z"/>
        <d v="1899-12-30T10:59:00Z"/>
        <d v="1899-12-30T16:02:00Z"/>
        <d v="1899-12-30T18:27:00Z"/>
        <d v="1899-12-30T14:23:00Z"/>
        <d v="1899-12-30T17:28:00Z"/>
        <d v="1899-12-30T18:13:00Z"/>
        <d v="1899-12-30T02:08:00Z"/>
        <d v="1899-12-30T11:58:00Z"/>
        <d v="1899-12-30T12:14:00Z"/>
        <d v="1899-12-30T09:44:00Z"/>
        <d v="1899-12-30T16:20:00Z"/>
        <d v="1899-12-30T22:48:00Z"/>
        <d v="1899-12-30T00:14:00Z"/>
        <d v="1899-12-30T15:19:00Z"/>
        <d v="1899-12-30T19:33:00Z"/>
        <d v="1899-12-30T15:57:00Z"/>
        <d v="1899-12-30T18:16:00Z"/>
        <d v="1899-12-30T18:45:00Z"/>
        <d v="1899-12-30T08:22:00Z"/>
        <d v="1899-12-30T09:02:00Z"/>
        <d v="1899-12-30T18:33:00Z"/>
        <d v="1899-12-30T20:37:00Z"/>
        <d v="1899-12-30T10:21:00Z"/>
        <d v="1899-12-30T13:56:00Z"/>
        <d v="1899-12-30T16:19:00Z"/>
        <d v="1899-12-30T01:09:00Z"/>
        <d v="1899-12-30T10:05:00Z"/>
        <d v="1899-12-30T12:59:00Z"/>
        <d v="1899-12-30T21:25:00Z"/>
        <d v="1899-12-30T16:41:00Z"/>
        <d v="1899-12-30T20:11:00Z"/>
        <d v="1899-12-30T21:03:00Z"/>
        <d v="1899-12-30T22:45:00Z"/>
        <d v="1899-12-30T19:31:00Z"/>
        <d v="1899-12-30T20:21:00Z"/>
        <d v="1899-12-30T20:54:00Z"/>
        <d v="1899-12-30T21:48:00Z"/>
        <d v="1899-12-30T11:52:00Z"/>
        <d v="1899-12-30T20:07:00Z"/>
        <d v="1899-12-30T19:19:00Z"/>
        <d v="1899-12-30T08:30:00Z"/>
        <d v="1899-12-30T11:21:00Z"/>
        <d v="1899-12-30T13:18:00Z"/>
        <d v="1899-12-30T22:10:00Z"/>
        <d v="1899-12-30T17:42:00Z"/>
        <d v="1899-12-30T20:12:00Z"/>
        <d v="1899-12-30T14:26:00Z"/>
        <d v="1899-12-30T22:58:00Z"/>
        <d v="1899-12-30T21:20:00Z"/>
        <d v="1899-12-30T22:25:00Z"/>
        <d v="1899-12-30T19:28:00Z"/>
        <d v="1899-12-30T11:04:00Z"/>
        <d v="1899-12-30T12:57:00Z"/>
        <d v="1899-12-30T18:35:00Z"/>
        <d v="1899-12-30T19:17:00Z"/>
        <d v="1899-12-30T22:02:00Z"/>
        <d v="1899-12-30T10:15:00Z"/>
        <d v="1899-12-30T10:31:00Z"/>
        <d v="1899-12-30T15:07:00Z"/>
        <d v="1899-12-30T15:53:00Z"/>
        <d v="1899-12-30T10:23:00Z"/>
        <d v="1899-12-30T14:32:00Z"/>
        <d v="1899-12-30T21:18:00Z"/>
        <d v="1899-12-30T13:50:00Z"/>
        <d v="1899-12-30T14:53:00Z"/>
        <d v="1899-12-30T15:21:00Z"/>
        <d v="1899-12-30T12:51:00Z"/>
        <d v="1899-12-30T12:13:00Z"/>
        <d v="1899-12-30T21:34:00Z"/>
        <d v="1899-12-30T22:21:00Z"/>
        <d v="1899-12-30T21:35:00Z"/>
        <d v="1899-12-30T11:32:00Z"/>
        <d v="1899-12-30T18:04:00Z"/>
        <d v="1899-12-30T15:50:00Z"/>
        <d v="1899-12-30T16:29:00Z"/>
        <d v="1899-12-30T13:31:00Z"/>
        <d v="1899-12-30T19:04:00Z"/>
        <d v="1899-12-30T12:53:00Z"/>
        <d v="1899-12-30T07:59:00Z"/>
        <d v="1899-12-30T18:12:00Z"/>
        <d v="1899-12-30T20:46:00Z"/>
        <d v="1899-12-30T12:23:00Z"/>
        <d v="1899-12-30T20:48:00Z"/>
        <d v="1899-12-30T23:07:00Z"/>
        <d v="1899-12-30T20:41:00Z"/>
        <d v="1899-12-30T19:03:00Z"/>
        <d v="1899-12-30T12:46:00Z"/>
        <d v="1899-12-30T20:13:00Z"/>
        <d v="1899-12-30T15:02:00Z"/>
        <d v="1899-12-30T13:43:00Z"/>
        <d v="1899-12-30T22:57:00Z"/>
        <d v="1899-12-30T13:16:00Z"/>
        <d v="1899-12-30T16:16:00Z"/>
        <d v="1899-12-30T13:32:00Z"/>
        <d v="1899-12-30T14:39:00Z"/>
        <d v="1899-12-30T18:01:00Z"/>
        <d v="1899-12-30T20:57:00Z"/>
        <d v="1899-12-30T14:54:00Z"/>
        <d v="1899-12-30T17:25:00Z"/>
        <d v="1899-12-30T21:04:00Z"/>
        <d v="1899-12-30T09:36:00Z"/>
        <d v="1899-12-30T10:34:00Z"/>
        <d v="1899-12-30T14:15:00Z"/>
        <d v="1899-12-30T15:38:00Z"/>
        <d v="1899-12-30T17:09:00Z"/>
        <d v="1899-12-30T17:07:00Z"/>
        <d v="1899-12-30T08:10:00Z"/>
        <d v="1899-12-30T10:30:00Z"/>
        <d v="1899-12-30T16:05:00Z"/>
        <d v="1899-12-30T23:42:00Z"/>
        <d v="1899-12-30T17:53:00Z"/>
        <d v="1899-12-30T21:53:00Z"/>
        <d v="1899-12-30T23:32:00Z"/>
        <d v="1899-12-30T08:04:00Z"/>
        <d v="1899-12-30T08:41:00Z"/>
        <d v="1899-12-30T09:19:00Z"/>
        <d v="1899-12-30T07:14:00Z"/>
        <d v="1899-12-30T08:59:00Z"/>
        <d v="1899-12-30T16:58:00Z"/>
        <d v="1899-12-30T09:06:00Z"/>
        <d v="1899-12-30T12:12:00Z"/>
        <d v="1899-12-30T15:39:00Z"/>
        <d v="1899-12-30T01:06:00Z"/>
        <d v="1899-12-30T10:07:00Z"/>
        <d v="1899-12-30T12:33:00Z"/>
        <d v="1899-12-30T15:16:00Z"/>
        <d v="1899-12-30T20:10:00Z"/>
        <d v="1899-12-30T20:45:00Z"/>
        <d v="1899-12-30T23:47:00Z"/>
        <d v="1899-12-30T17:08:00Z"/>
        <d v="1899-12-30T23:10:00Z"/>
        <d v="1899-12-30T01:14:00Z"/>
        <d v="1899-12-30T23:51:00Z"/>
      </sharedItems>
    </cacheField>
    <cacheField name="DURATION" numFmtId="46">
      <sharedItems containsSemiMixedTypes="0" containsDate="1" containsString="0">
        <d v="1899-12-30T00:06:00Z"/>
        <d v="1899-12-30T00:12:00Z"/>
        <d v="1899-12-30T00:13:00Z"/>
        <d v="1899-12-30T00:14:00Z"/>
        <d v="1899-12-30T01:07:00Z"/>
        <d v="1899-12-30T00:04:00Z"/>
        <d v="1899-12-30T00:05:00Z"/>
        <d v="1899-12-30T00:20:00Z"/>
        <d v="1899-12-30T00:27:00Z"/>
        <d v="1899-12-30T00:43:00Z"/>
        <d v="1899-12-30T00:35:00Z"/>
        <d v="1899-12-30T00:26:00Z"/>
        <d v="1899-12-30T00:07:00Z"/>
        <d v="1899-12-30T00:16:00Z"/>
        <d v="1899-12-30T00:15:00Z"/>
        <d v="1899-12-30T00:58:00Z"/>
        <d v="1899-12-30T00:28:00Z"/>
        <d v="1899-12-30T00:36:00Z"/>
        <d v="1899-12-30T00:18:00Z"/>
        <d v="1899-12-30T00:11:00Z"/>
        <d v="1899-12-30T00:31:00Z"/>
        <d v="1899-12-30T00:54:00Z"/>
        <d v="1899-12-30T00:08:00Z"/>
        <d v="1899-12-30T00:09:00Z"/>
        <d v="1899-12-30T00:02:00Z"/>
        <d v="1899-12-30T00:29:00Z"/>
        <d v="1899-12-30T00:10:00Z"/>
        <d v="1899-12-30T00:22:00Z"/>
        <d v="1899-12-30T00:32:00Z"/>
        <d v="1899-12-30T00:30:00Z"/>
        <d v="1899-12-30T00:23:00Z"/>
        <d v="1899-12-30T00:21:00Z"/>
        <d v="1899-12-30T00:19:00Z"/>
        <d v="1899-12-30T00:40:00Z"/>
        <d v="1899-12-30T00:33:00Z"/>
        <d v="1899-12-30T00:24:00Z"/>
        <d v="1899-12-30T00:42:00Z"/>
        <d v="1899-12-30T00:34:00Z"/>
        <d v="1899-12-30T00:17:00Z"/>
        <d v="1899-12-30T00:52:00Z"/>
        <d v="1899-12-30T01:05:00Z"/>
        <d v="1899-12-30T00:03:00Z"/>
        <d v="1899-12-30T00:46:00Z"/>
        <d v="1899-12-30T00:44:00Z"/>
        <d v="1899-12-30T00:41:00Z"/>
        <d v="1899-12-30T01:04:00Z"/>
        <d v="1899-12-30T00:55:00Z"/>
        <d v="1899-12-30T00:39:00Z"/>
        <d v="1899-12-30T00:57:00Z"/>
        <d v="1899-12-30T00:37:00Z"/>
        <d v="1899-12-30T00:25:00Z"/>
        <d v="1899-12-30T02:19:00Z"/>
        <d v="1899-12-30T00:56:00Z"/>
        <d v="1899-12-30T01:06:00Z"/>
        <d v="1899-12-30T02:58:00Z"/>
        <d v="1899-12-30T05:30:00Z"/>
        <d v="1899-12-30T02:45:00Z"/>
        <d v="1899-12-30T00:53:00Z"/>
        <d v="1899-12-30T00:50:00Z"/>
        <d v="1899-12-30T00:48:00Z"/>
        <d v="1899-12-30T02:26:00Z"/>
        <d v="1899-12-30T01:12:00Z"/>
        <d v="1899-12-30T02:23:00Z"/>
        <d v="1899-12-30T02:16:00Z"/>
        <d v="1899-12-30T00:47:00Z"/>
        <d v="1899-12-30T01:09:00Z"/>
        <d v="1899-12-30T00:51:00Z"/>
        <d v="1899-12-30T01:28:00Z"/>
        <d v="1899-12-30T01:11:00Z"/>
        <d v="1899-12-30T03:26:00Z"/>
        <d v="1899-12-30T03:05:00Z"/>
        <d v="1899-12-30T00:01:00Z"/>
        <d v="1899-12-30T00:45:00Z"/>
        <d v="1899-12-30T00:38:00Z"/>
        <d v="1899-12-30T01:22:00Z"/>
        <d v="1899-12-30T01:17:00Z"/>
        <d v="1899-12-30T02:01:00Z"/>
        <d v="1899-12-30T00:49:00Z"/>
        <d v="1899-12-30T02:24:00Z"/>
        <d v="1899-12-30T01:43:00Z"/>
        <d v="1899-12-30T02:00:00Z"/>
        <d v="1899-12-30T01:20:00Z"/>
        <d v="1899-12-30T05:36:00Z"/>
        <d v="1899-12-30T02:15:00Z"/>
        <d v="1899-12-30T02:34:00Z"/>
        <d v="1899-12-30T02:41:00Z"/>
        <d v="1899-12-30T01:35:00Z"/>
        <d v="1899-12-30T01:02:00Z"/>
        <d v="1899-12-30T02:47:00Z"/>
        <d v="1899-12-30T02:12:00Z"/>
        <d v="1899-12-30T02:06:00Z"/>
        <d v="1899-12-30T01:54:00Z"/>
        <d v="1899-12-30T01:47:00Z"/>
        <d v="1899-12-30T01:13:00Z"/>
        <d v="1899-12-30T03:01:00Z"/>
        <d v="1899-12-30T01:01:00Z"/>
        <d v="1899-12-30T02:46:00Z"/>
        <d v="1899-12-30T01:10:00Z"/>
      </sharedItems>
    </cacheField>
    <cacheField name="START_TIME_DAYPART" numFmtId="0">
      <sharedItems>
        <s v="Evening"/>
        <s v="Night"/>
        <s v="Day"/>
        <s v="Morning"/>
      </sharedItems>
    </cacheField>
    <cacheField name="CATEGORY" numFmtId="0">
      <sharedItems>
        <s v="Business"/>
        <s v="Personal"/>
      </sharedItems>
    </cacheField>
    <cacheField name="PURPOSE" numFmtId="0">
      <sharedItems>
        <s v="Meal/Entertain"/>
        <s v="NOT DEFINED"/>
        <s v="Errand/Supplies"/>
        <s v="Meeting"/>
        <s v="Customer Visit"/>
        <s v="Temporary Site"/>
        <s v="Between Offices"/>
        <s v="Charity ($)"/>
        <s v="Commute"/>
        <s v="Moving"/>
        <s v="Airport/Travel"/>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N1152" sheet="Uber Drives"/>
  </cacheSource>
  <cacheFields>
    <cacheField name="TRAVEL_ID" numFmtId="0">
      <sharedItems>
        <s v="id_237"/>
        <s v="id_238"/>
        <s v="id_239"/>
        <s v="id_240"/>
        <s v="id_241"/>
        <s v="id_242"/>
        <s v="id_243"/>
        <s v="id_244"/>
        <s v="id_245"/>
        <s v="id_246"/>
        <s v="id_247"/>
        <s v="id_248"/>
        <s v="id_249"/>
        <s v="id_250"/>
        <s v="id_251"/>
        <s v="id_252"/>
        <s v="id_253"/>
        <s v="id_254"/>
        <s v="id_255"/>
        <s v="id_256"/>
        <s v="id_257"/>
        <s v="id_258"/>
        <s v="id_259"/>
        <s v="id_260"/>
        <s v="id_261"/>
        <s v="id_262"/>
        <s v="id_263"/>
        <s v="id_264"/>
        <s v="id_265"/>
        <s v="id_266"/>
        <s v="id_267"/>
        <s v="id_268"/>
        <s v="id_269"/>
        <s v="id_270"/>
        <s v="id_271"/>
        <s v="id_272"/>
        <s v="id_273"/>
        <s v="id_274"/>
        <s v="id_275"/>
        <s v="id_276"/>
        <s v="id_277"/>
        <s v="id_278"/>
        <s v="id_279"/>
        <s v="id_280"/>
        <s v="id_281"/>
        <s v="id_282"/>
        <s v="id_283"/>
        <s v="id_284"/>
        <s v="id_285"/>
        <s v="id_286"/>
        <s v="id_287"/>
        <s v="id_288"/>
        <s v="id_289"/>
        <s v="id_290"/>
        <s v="id_291"/>
        <s v="id_292"/>
        <s v="id_293"/>
        <s v="id_294"/>
        <s v="id_295"/>
        <s v="id_296"/>
        <s v="id_297"/>
        <s v="id_298"/>
        <s v="id_299"/>
        <s v="id_300"/>
        <s v="id_301"/>
        <s v="id_302"/>
        <s v="id_303"/>
        <s v="id_304"/>
        <s v="id_305"/>
        <s v="id_306"/>
        <s v="id_307"/>
        <s v="id_308"/>
        <s v="id_309"/>
        <s v="id_310"/>
        <s v="id_311"/>
        <s v="id_312"/>
        <s v="id_313"/>
        <s v="id_314"/>
        <s v="id_315"/>
        <s v="id_316"/>
        <s v="id_317"/>
        <s v="id_318"/>
        <s v="id_319"/>
        <s v="id_320"/>
        <s v="id_321"/>
        <s v="id_322"/>
        <s v="id_323"/>
        <s v="id_324"/>
        <s v="id_325"/>
        <s v="id_326"/>
        <s v="id_327"/>
        <s v="id_328"/>
        <s v="id_329"/>
        <s v="id_330"/>
        <s v="id_331"/>
        <s v="id_332"/>
        <s v="id_333"/>
        <s v="id_334"/>
        <s v="id_335"/>
        <s v="id_336"/>
        <s v="id_337"/>
        <s v="id_338"/>
        <s v="id_339"/>
        <s v="id_340"/>
        <s v="id_341"/>
        <s v="id_342"/>
        <s v="id_343"/>
        <s v="id_344"/>
        <s v="id_345"/>
        <s v="id_346"/>
        <s v="id_347"/>
        <s v="id_348"/>
        <s v="id_349"/>
        <s v="id_350"/>
        <s v="id_351"/>
        <s v="id_352"/>
        <s v="id_353"/>
        <s v="id_354"/>
        <s v="id_355"/>
        <s v="id_356"/>
        <s v="id_357"/>
        <s v="id_358"/>
        <s v="id_359"/>
        <s v="id_360"/>
        <s v="id_361"/>
        <s v="id_362"/>
        <s v="id_363"/>
        <s v="id_364"/>
        <s v="id_365"/>
        <s v="id_366"/>
        <s v="id_367"/>
        <s v="id_368"/>
        <s v="id_369"/>
        <s v="id_370"/>
        <s v="id_371"/>
        <s v="id_372"/>
        <s v="id_373"/>
        <s v="id_374"/>
        <s v="id_375"/>
        <s v="id_376"/>
        <s v="id_377"/>
        <s v="id_378"/>
        <s v="id_379"/>
        <s v="id_380"/>
        <s v="id_381"/>
        <s v="id_382"/>
        <s v="id_383"/>
        <s v="id_384"/>
        <s v="id_385"/>
        <s v="id_386"/>
        <s v="id_387"/>
        <s v="id_388"/>
        <s v="id_389"/>
        <s v="id_390"/>
        <s v="id_391"/>
        <s v="id_392"/>
        <s v="id_393"/>
        <s v="id_394"/>
        <s v="id_395"/>
        <s v="id_396"/>
        <s v="id_397"/>
        <s v="id_398"/>
        <s v="id_399"/>
        <s v="id_400"/>
        <s v="id_401"/>
        <s v="id_402"/>
        <s v="id_403"/>
        <s v="id_404"/>
        <s v="id_405"/>
        <s v="id_406"/>
        <s v="id_407"/>
        <s v="id_408"/>
        <s v="id_409"/>
        <s v="id_410"/>
        <s v="id_411"/>
        <s v="id_412"/>
        <s v="id_413"/>
        <s v="id_414"/>
        <s v="id_415"/>
        <s v="id_416"/>
        <s v="id_417"/>
        <s v="id_418"/>
        <s v="id_419"/>
        <s v="id_420"/>
        <s v="id_421"/>
        <s v="id_422"/>
        <s v="id_423"/>
        <s v="id_424"/>
        <s v="id_425"/>
        <s v="id_426"/>
        <s v="id_427"/>
        <s v="id_428"/>
        <s v="id_429"/>
        <s v="id_430"/>
        <s v="id_431"/>
        <s v="id_432"/>
        <s v="id_433"/>
        <s v="id_434"/>
        <s v="id_435"/>
        <s v="id_436"/>
        <s v="id_437"/>
        <s v="id_438"/>
        <s v="id_439"/>
        <s v="id_440"/>
        <s v="id_441"/>
        <s v="id_442"/>
        <s v="id_443"/>
        <s v="id_444"/>
        <s v="id_445"/>
        <s v="id_446"/>
        <s v="id_447"/>
        <s v="id_448"/>
        <s v="id_449"/>
        <s v="id_450"/>
        <s v="id_451"/>
        <s v="id_452"/>
        <s v="id_453"/>
        <s v="id_454"/>
        <s v="id_455"/>
        <s v="id_456"/>
        <s v="id_457"/>
        <s v="id_458"/>
        <s v="id_459"/>
        <s v="id_460"/>
        <s v="id_461"/>
        <s v="id_462"/>
        <s v="id_463"/>
        <s v="id_464"/>
        <s v="id_465"/>
        <s v="id_466"/>
        <s v="id_467"/>
        <s v="id_468"/>
        <s v="id_469"/>
        <s v="id_470"/>
        <s v="id_471"/>
        <s v="id_472"/>
        <s v="id_473"/>
        <s v="id_474"/>
        <s v="id_475"/>
        <s v="id_476"/>
        <s v="id_477"/>
        <s v="id_478"/>
        <s v="id_479"/>
        <s v="id_480"/>
        <s v="id_481"/>
        <s v="id_482"/>
        <s v="id_483"/>
        <s v="id_484"/>
        <s v="id_485"/>
        <s v="id_486"/>
        <s v="id_487"/>
        <s v="id_488"/>
        <s v="id_489"/>
        <s v="id_490"/>
        <s v="id_491"/>
        <s v="id_492"/>
        <s v="id_493"/>
        <s v="id_494"/>
        <s v="id_495"/>
        <s v="id_496"/>
        <s v="id_497"/>
        <s v="id_498"/>
        <s v="id_499"/>
        <s v="id_500"/>
        <s v="id_501"/>
        <s v="id_502"/>
        <s v="id_503"/>
        <s v="id_504"/>
        <s v="id_505"/>
        <s v="id_506"/>
        <s v="id_507"/>
        <s v="id_508"/>
        <s v="id_509"/>
        <s v="id_510"/>
        <s v="id_511"/>
        <s v="id_512"/>
        <s v="id_513"/>
        <s v="id_514"/>
        <s v="id_515"/>
        <s v="id_516"/>
        <s v="id_517"/>
        <s v="id_518"/>
        <s v="id_519"/>
        <s v="id_520"/>
        <s v="id_521"/>
        <s v="id_522"/>
        <s v="id_523"/>
        <s v="id_524"/>
        <s v="id_525"/>
        <s v="id_526"/>
        <s v="id_527"/>
        <s v="id_528"/>
        <s v="id_529"/>
        <s v="id_530"/>
        <s v="id_531"/>
        <s v="id_532"/>
        <s v="id_533"/>
        <s v="id_534"/>
        <s v="id_535"/>
        <s v="id_536"/>
        <s v="id_537"/>
        <s v="id_538"/>
        <s v="id_539"/>
        <s v="id_540"/>
        <s v="id_541"/>
        <s v="id_542"/>
        <s v="id_543"/>
        <s v="id_544"/>
        <s v="id_545"/>
        <s v="id_546"/>
        <s v="id_547"/>
        <s v="id_548"/>
        <s v="id_549"/>
        <s v="id_550"/>
        <s v="id_551"/>
        <s v="id_552"/>
        <s v="id_553"/>
        <s v="id_554"/>
        <s v="id_555"/>
        <s v="id_556"/>
        <s v="id_557"/>
        <s v="id_558"/>
        <s v="id_559"/>
        <s v="id_560"/>
        <s v="id_561"/>
        <s v="id_562"/>
        <s v="id_563"/>
        <s v="id_564"/>
        <s v="id_565"/>
        <s v="id_566"/>
        <s v="id_567"/>
        <s v="id_568"/>
        <s v="id_569"/>
        <s v="id_570"/>
        <s v="id_571"/>
        <s v="id_572"/>
        <s v="id_573"/>
        <s v="id_574"/>
        <s v="id_575"/>
        <s v="id_576"/>
        <s v="id_577"/>
        <s v="id_578"/>
        <s v="id_579"/>
        <s v="id_580"/>
        <s v="id_581"/>
        <s v="id_582"/>
        <s v="id_583"/>
        <s v="id_584"/>
        <s v="id_585"/>
        <s v="id_586"/>
        <s v="id_587"/>
        <s v="id_588"/>
        <s v="id_589"/>
        <s v="id_590"/>
        <s v="id_591"/>
        <s v="id_592"/>
        <s v="id_593"/>
        <s v="id_594"/>
        <s v="id_595"/>
        <s v="id_596"/>
        <s v="id_597"/>
        <s v="id_598"/>
        <s v="id_599"/>
        <s v="id_600"/>
        <s v="id_601"/>
        <s v="id_602"/>
        <s v="id_603"/>
        <s v="id_604"/>
        <s v="id_605"/>
        <s v="id_606"/>
        <s v="id_607"/>
        <s v="id_608"/>
        <s v="id_609"/>
        <s v="id_610"/>
        <s v="id_611"/>
        <s v="id_612"/>
        <s v="id_613"/>
        <s v="id_614"/>
        <s v="id_615"/>
        <s v="id_616"/>
        <s v="id_617"/>
        <s v="id_618"/>
        <s v="id_619"/>
        <s v="id_620"/>
        <s v="id_621"/>
        <s v="id_622"/>
        <s v="id_623"/>
        <s v="id_624"/>
        <s v="id_625"/>
        <s v="id_626"/>
        <s v="id_627"/>
        <s v="id_628"/>
        <s v="id_629"/>
        <s v="id_630"/>
        <s v="id_631"/>
        <s v="id_632"/>
        <s v="id_633"/>
        <s v="id_634"/>
        <s v="id_635"/>
        <s v="id_636"/>
        <s v="id_637"/>
        <s v="id_638"/>
        <s v="id_639"/>
        <s v="id_640"/>
        <s v="id_641"/>
        <s v="id_642"/>
        <s v="id_643"/>
        <s v="id_644"/>
        <s v="id_645"/>
        <s v="id_646"/>
        <s v="id_647"/>
        <s v="id_648"/>
        <s v="id_649"/>
        <s v="id_650"/>
        <s v="id_651"/>
        <s v="id_652"/>
        <s v="id_653"/>
        <s v="id_654"/>
        <s v="id_655"/>
        <s v="id_656"/>
        <s v="id_657"/>
        <s v="id_658"/>
        <s v="id_659"/>
        <s v="id_660"/>
        <s v="id_661"/>
        <s v="id_662"/>
        <s v="id_663"/>
        <s v="id_664"/>
        <s v="id_665"/>
        <s v="id_666"/>
        <s v="id_667"/>
        <s v="id_668"/>
        <s v="id_669"/>
        <s v="id_670"/>
        <s v="id_671"/>
        <s v="id_672"/>
        <s v="id_673"/>
        <s v="id_674"/>
        <s v="id_675"/>
        <s v="id_676"/>
        <s v="id_677"/>
        <s v="id_678"/>
        <s v="id_679"/>
        <s v="id_680"/>
        <s v="id_681"/>
        <s v="id_682"/>
        <s v="id_683"/>
        <s v="id_684"/>
        <s v="id_685"/>
        <s v="id_686"/>
        <s v="id_687"/>
        <s v="id_688"/>
        <s v="id_689"/>
        <s v="id_690"/>
        <s v="id_691"/>
        <s v="id_692"/>
        <s v="id_693"/>
        <s v="id_694"/>
        <s v="id_695"/>
        <s v="id_696"/>
        <s v="id_697"/>
        <s v="id_698"/>
        <s v="id_699"/>
        <s v="id_700"/>
        <s v="id_701"/>
        <s v="id_702"/>
        <s v="id_703"/>
        <s v="id_704"/>
        <s v="id_705"/>
        <s v="id_706"/>
        <s v="id_707"/>
        <s v="id_708"/>
        <s v="id_709"/>
        <s v="id_710"/>
        <s v="id_711"/>
        <s v="id_712"/>
        <s v="id_713"/>
        <s v="id_714"/>
        <s v="id_715"/>
        <s v="id_716"/>
        <s v="id_717"/>
        <s v="id_718"/>
        <s v="id_719"/>
        <s v="id_720"/>
        <s v="id_721"/>
        <s v="id_722"/>
        <s v="id_723"/>
        <s v="id_724"/>
        <s v="id_725"/>
        <s v="id_726"/>
        <s v="id_727"/>
        <s v="id_728"/>
        <s v="id_729"/>
        <s v="id_730"/>
        <s v="id_731"/>
        <s v="id_732"/>
        <s v="id_733"/>
        <s v="id_734"/>
        <s v="id_735"/>
        <s v="id_736"/>
        <s v="id_737"/>
        <s v="id_738"/>
        <s v="id_739"/>
        <s v="id_740"/>
        <s v="id_741"/>
        <s v="id_742"/>
        <s v="id_743"/>
        <s v="id_744"/>
        <s v="id_745"/>
        <s v="id_746"/>
        <s v="id_747"/>
        <s v="id_748"/>
        <s v="id_749"/>
        <s v="id_750"/>
        <s v="id_751"/>
        <s v="id_752"/>
        <s v="id_753"/>
        <s v="id_754"/>
        <s v="id_755"/>
        <s v="id_756"/>
        <s v="id_757"/>
        <s v="id_758"/>
        <s v="id_759"/>
        <s v="id_760"/>
        <s v="id_761"/>
        <s v="id_762"/>
        <s v="id_763"/>
        <s v="id_764"/>
        <s v="id_765"/>
        <s v="id_766"/>
        <s v="id_767"/>
        <s v="id_768"/>
        <s v="id_769"/>
        <s v="id_770"/>
        <s v="id_771"/>
        <s v="id_772"/>
        <s v="id_773"/>
        <s v="id_774"/>
        <s v="id_775"/>
        <s v="id_776"/>
        <s v="id_777"/>
        <s v="id_778"/>
        <s v="id_779"/>
        <s v="id_780"/>
        <s v="id_781"/>
        <s v="id_782"/>
        <s v="id_783"/>
        <s v="id_784"/>
        <s v="id_785"/>
        <s v="id_786"/>
        <s v="id_787"/>
        <s v="id_788"/>
        <s v="id_789"/>
        <s v="id_790"/>
        <s v="id_791"/>
        <s v="id_792"/>
        <s v="id_793"/>
        <s v="id_794"/>
        <s v="id_795"/>
        <s v="id_796"/>
        <s v="id_797"/>
        <s v="id_798"/>
        <s v="id_799"/>
        <s v="id_800"/>
        <s v="id_801"/>
        <s v="id_802"/>
        <s v="id_803"/>
        <s v="id_804"/>
        <s v="id_805"/>
        <s v="id_806"/>
        <s v="id_807"/>
        <s v="id_808"/>
        <s v="id_809"/>
        <s v="id_810"/>
        <s v="id_811"/>
        <s v="id_812"/>
        <s v="id_813"/>
        <s v="id_814"/>
        <s v="id_815"/>
        <s v="id_816"/>
        <s v="id_817"/>
        <s v="id_818"/>
        <s v="id_819"/>
        <s v="id_820"/>
        <s v="id_821"/>
        <s v="id_822"/>
        <s v="id_823"/>
        <s v="id_824"/>
        <s v="id_825"/>
        <s v="id_826"/>
        <s v="id_827"/>
        <s v="id_828"/>
        <s v="id_829"/>
        <s v="id_830"/>
        <s v="id_831"/>
        <s v="id_832"/>
        <s v="id_833"/>
        <s v="id_834"/>
        <s v="id_835"/>
        <s v="id_836"/>
        <s v="id_837"/>
        <s v="id_838"/>
        <s v="id_839"/>
        <s v="id_840"/>
        <s v="id_841"/>
        <s v="id_842"/>
        <s v="id_843"/>
        <s v="id_844"/>
        <s v="id_845"/>
        <s v="id_846"/>
        <s v="id_847"/>
        <s v="id_848"/>
        <s v="id_849"/>
        <s v="id_850"/>
        <s v="id_851"/>
        <s v="id_852"/>
        <s v="id_853"/>
        <s v="id_854"/>
        <s v="id_855"/>
        <s v="id_856"/>
        <s v="id_857"/>
        <s v="id_858"/>
        <s v="id_859"/>
        <s v="id_860"/>
        <s v="id_861"/>
        <s v="id_862"/>
        <s v="id_863"/>
        <s v="id_864"/>
        <s v="id_865"/>
        <s v="id_866"/>
        <s v="id_867"/>
        <s v="id_868"/>
        <s v="id_869"/>
        <s v="id_870"/>
        <s v="id_871"/>
        <s v="id_872"/>
        <s v="id_873"/>
        <s v="id_874"/>
        <s v="id_875"/>
        <s v="id_876"/>
        <s v="id_877"/>
        <s v="id_878"/>
        <s v="id_879"/>
        <s v="id_880"/>
        <s v="id_881"/>
        <s v="id_882"/>
        <s v="id_883"/>
        <s v="id_884"/>
        <s v="id_885"/>
        <s v="id_886"/>
        <s v="id_887"/>
        <s v="id_888"/>
        <s v="id_889"/>
        <s v="id_890"/>
        <s v="id_891"/>
        <s v="id_892"/>
        <s v="id_893"/>
        <s v="id_894"/>
        <s v="id_895"/>
        <s v="id_896"/>
        <s v="id_897"/>
        <s v="id_898"/>
        <s v="id_899"/>
        <s v="id_900"/>
        <s v="id_901"/>
        <s v="id_902"/>
        <s v="id_903"/>
        <s v="id_904"/>
        <s v="id_905"/>
        <s v="id_906"/>
        <s v="id_907"/>
        <s v="id_908"/>
        <s v="id_909"/>
        <s v="id_910"/>
        <s v="id_911"/>
        <s v="id_912"/>
        <s v="id_913"/>
        <s v="id_914"/>
        <s v="id_915"/>
        <s v="id_916"/>
        <s v="id_917"/>
        <s v="id_918"/>
        <s v="id_919"/>
        <s v="id_920"/>
        <s v="id_921"/>
        <s v="id_922"/>
        <s v="id_923"/>
        <s v="id_924"/>
        <s v="id_925"/>
        <s v="id_926"/>
        <s v="id_927"/>
        <s v="id_928"/>
        <s v="id_929"/>
        <s v="id_930"/>
        <s v="id_931"/>
        <s v="id_932"/>
        <s v="id_933"/>
        <s v="id_934"/>
        <s v="id_935"/>
        <s v="id_936"/>
        <s v="id_937"/>
        <s v="id_938"/>
        <s v="id_939"/>
        <s v="id_940"/>
        <s v="id_941"/>
        <s v="id_942"/>
        <s v="id_943"/>
        <s v="id_944"/>
        <s v="id_945"/>
        <s v="id_946"/>
        <s v="id_947"/>
        <s v="id_948"/>
        <s v="id_949"/>
        <s v="id_950"/>
        <s v="id_951"/>
        <s v="id_952"/>
        <s v="id_953"/>
        <s v="id_954"/>
        <s v="id_955"/>
        <s v="id_956"/>
        <s v="id_957"/>
        <s v="id_958"/>
        <s v="id_959"/>
        <s v="id_960"/>
        <s v="id_961"/>
        <s v="id_962"/>
        <s v="id_963"/>
        <s v="id_964"/>
        <s v="id_965"/>
        <s v="id_966"/>
        <s v="id_967"/>
        <s v="id_968"/>
        <s v="id_969"/>
        <s v="id_970"/>
        <s v="id_971"/>
        <s v="id_972"/>
        <s v="id_973"/>
        <s v="id_974"/>
        <s v="id_975"/>
        <s v="id_976"/>
        <s v="id_977"/>
        <s v="id_978"/>
        <s v="id_979"/>
        <s v="id_980"/>
        <s v="id_981"/>
        <s v="id_982"/>
        <s v="id_983"/>
        <s v="id_984"/>
        <s v="id_985"/>
        <s v="id_986"/>
        <s v="id_987"/>
        <s v="id_989"/>
        <s v="id_990"/>
        <s v="id_991"/>
        <s v="id_992"/>
        <s v="id_993"/>
        <s v="id_994"/>
        <s v="id_995"/>
        <s v="id_996"/>
        <s v="id_997"/>
        <s v="id_999"/>
        <s v="id_1000"/>
        <s v="id_1001"/>
        <s v="id_1002"/>
        <s v="id_1003"/>
        <s v="id_1004"/>
        <s v="id_1005"/>
        <s v="id_1006"/>
        <s v="id_1007"/>
        <s v="id_1008"/>
        <s v="id_1009"/>
        <s v="id_1010"/>
        <s v="id_1011"/>
        <s v="id_1012"/>
        <s v="id_1013"/>
        <s v="id_1014"/>
        <s v="id_1015"/>
        <s v="id_1016"/>
        <s v="id_1017"/>
        <s v="id_1018"/>
        <s v="id_1019"/>
        <s v="id_1020"/>
        <s v="id_1021"/>
        <s v="id_1022"/>
        <s v="id_1023"/>
        <s v="id_1024"/>
        <s v="id_1025"/>
        <s v="id_1026"/>
        <s v="id_1027"/>
        <s v="id_1028"/>
        <s v="id_1029"/>
        <s v="id_1030"/>
        <s v="id_1031"/>
        <s v="id_1032"/>
        <s v="id_1033"/>
        <s v="id_1034"/>
        <s v="id_1036"/>
        <s v="id_1037"/>
        <s v="id_1038"/>
        <s v="id_1039"/>
        <s v="id_1040"/>
        <s v="id_1041"/>
        <s v="id_1042"/>
        <s v="id_1043"/>
        <s v="id_1045"/>
        <s v="id_1046"/>
        <s v="id_1047"/>
        <s v="id_1048"/>
        <s v="id_1049"/>
        <s v="id_1050"/>
        <s v="id_1051"/>
        <s v="id_1052"/>
        <s v="id_1053"/>
        <s v="id_1054"/>
        <s v="id_1055"/>
        <s v="id_1056"/>
        <s v="id_1057"/>
        <s v="id_1058"/>
        <s v="id_1059"/>
        <s v="id_1060"/>
        <s v="id_1061"/>
        <s v="id_1062"/>
        <s v="id_1063"/>
        <s v="id_1064"/>
        <s v="id_1065"/>
        <s v="id_1066"/>
        <s v="id_1067"/>
        <s v="id_1068"/>
        <s v="id_1069"/>
        <s v="id_1070"/>
        <s v="id_1071"/>
        <s v="id_1072"/>
        <s v="id_1073"/>
        <s v="id_1074"/>
        <s v="id_1075"/>
        <s v="id_1076"/>
        <s v="id_1077"/>
        <s v="id_1078"/>
        <s v="id_1079"/>
        <s v="id_1080"/>
        <s v="id_1081"/>
        <s v="id_1082"/>
        <s v="id_1083"/>
        <s v="id_1084"/>
        <s v="id_1085"/>
        <s v="id_1086"/>
        <s v="id_1087"/>
        <s v="id_1088"/>
        <s v="id_1089"/>
        <s v="id_1090"/>
        <s v="id_1091"/>
        <s v="id_1092"/>
        <s v="id_1093"/>
        <s v="id_1094"/>
        <s v="id_1095"/>
        <s v="id_1096"/>
        <s v="id_1097"/>
        <s v="id_1098"/>
        <s v="id_1099"/>
        <s v="id_1100"/>
        <s v="id_1101"/>
        <s v="id_1102"/>
        <s v="id_1103"/>
        <s v="id_1104"/>
        <s v="id_1105"/>
        <s v="id_1106"/>
        <s v="id_1107"/>
        <s v="id_1108"/>
        <s v="id_1109"/>
        <s v="id_1110"/>
        <s v="id_1111"/>
        <s v="id_1112"/>
        <s v="id_1113"/>
        <s v="id_1114"/>
        <s v="id_1115"/>
        <s v="id_1116"/>
        <s v="id_1117"/>
        <s v="id_1118"/>
        <s v="id_1119"/>
        <s v="id_1120"/>
        <s v="id_1121"/>
        <s v="id_1122"/>
        <s v="id_1123"/>
        <s v="id_1124"/>
        <s v="id_1125"/>
        <s v="id_1126"/>
        <s v="id_1127"/>
        <s v="id_1128"/>
        <s v="id_1129"/>
        <s v="id_1130"/>
        <s v="id_1131"/>
        <s v="id_1132"/>
        <s v="id_1133"/>
        <s v="id_1134"/>
        <s v="id_1135"/>
        <s v="id_1136"/>
        <s v="id_1137"/>
        <s v="id_1138"/>
        <s v="id_1139"/>
        <s v="id_1140"/>
        <s v="id_1141"/>
        <s v="id_1142"/>
        <s v="id_1143"/>
        <s v="id_1144"/>
        <s v="id_1145"/>
        <s v="id_1146"/>
        <s v="id_1147"/>
        <s v="id_1148"/>
        <s v="id_1149"/>
        <s v="id_1150"/>
        <s v="id_1151"/>
        <s v="id_1152"/>
        <s v="id_1153"/>
        <s v="id_1154"/>
        <s v="id_1155"/>
        <s v="id_1156"/>
        <s v="id_1157"/>
        <s v="id_1158"/>
        <s v="id_1159"/>
        <s v="id_1160"/>
        <s v="id_1161"/>
        <s v="id_1162"/>
        <s v="id_1163"/>
        <s v="id_1164"/>
        <s v="id_1165"/>
        <s v="id_1166"/>
        <s v="id_1167"/>
        <s v="id_1168"/>
        <s v="id_1169"/>
        <s v="id_1170"/>
        <s v="id_1171"/>
        <s v="id_1172"/>
        <s v="id_1173"/>
        <s v="id_1174"/>
        <s v="id_1175"/>
        <s v="id_1176"/>
        <s v="id_1177"/>
        <s v="id_1178"/>
        <s v="id_1179"/>
        <s v="id_1180"/>
        <s v="id_1181"/>
        <s v="id_1182"/>
        <s v="id_1183"/>
        <s v="id_1184"/>
        <s v="id_1185"/>
        <s v="id_1186"/>
        <s v="id_1187"/>
        <s v="id_1188"/>
        <s v="id_1189"/>
        <s v="id_1190"/>
        <s v="id_1191"/>
        <s v="id_1192"/>
        <s v="id_1193"/>
        <s v="id_1194"/>
        <s v="id_1195"/>
        <s v="id_1196"/>
        <s v="id_1197"/>
        <s v="id_1198"/>
        <s v="id_1199"/>
        <s v="id_1200"/>
        <s v="id_1201"/>
        <s v="id_1202"/>
        <s v="id_1203"/>
        <s v="id_1204"/>
        <s v="id_1205"/>
        <s v="id_1206"/>
        <s v="id_1207"/>
        <s v="id_1208"/>
        <s v="id_1209"/>
        <s v="id_1210"/>
        <s v="id_1211"/>
        <s v="id_1212"/>
        <s v="id_1213"/>
        <s v="id_1214"/>
        <s v="id_1215"/>
        <s v="id_1216"/>
        <s v="id_1217"/>
        <s v="id_1218"/>
        <s v="id_1219"/>
        <s v="id_1220"/>
        <s v="id_1221"/>
        <s v="id_1222"/>
        <s v="id_1223"/>
        <s v="id_1224"/>
        <s v="id_1225"/>
        <s v="id_1226"/>
        <s v="id_1227"/>
        <s v="id_1228"/>
        <s v="id_1229"/>
        <s v="id_1230"/>
        <s v="id_1231"/>
        <s v="id_1232"/>
        <s v="id_1233"/>
        <s v="id_1234"/>
        <s v="id_1235"/>
        <s v="id_1236"/>
        <s v="id_1237"/>
        <s v="id_1238"/>
        <s v="id_1239"/>
        <s v="id_1240"/>
        <s v="id_1241"/>
        <s v="id_1242"/>
        <s v="id_1243"/>
        <s v="id_1244"/>
        <s v="id_1245"/>
        <s v="id_1246"/>
        <s v="id_1247"/>
        <s v="id_1248"/>
        <s v="id_1249"/>
        <s v="id_1250"/>
        <s v="id_1251"/>
        <s v="id_1252"/>
        <s v="id_1253"/>
        <s v="id_1254"/>
        <s v="id_1255"/>
        <s v="id_1256"/>
        <s v="id_1257"/>
        <s v="id_1258"/>
        <s v="id_1259"/>
        <s v="id_1260"/>
        <s v="id_1261"/>
        <s v="id_1262"/>
        <s v="id_1263"/>
        <s v="id_1264"/>
        <s v="id_1265"/>
        <s v="id_1266"/>
        <s v="id_1267"/>
        <s v="id_1268"/>
        <s v="id_1269"/>
        <s v="id_1270"/>
        <s v="id_1271"/>
        <s v="id_1272"/>
        <s v="id_1273"/>
        <s v="id_1274"/>
        <s v="id_1275"/>
        <s v="id_1276"/>
        <s v="id_1277"/>
        <s v="id_1278"/>
        <s v="id_1279"/>
        <s v="id_1280"/>
        <s v="id_1281"/>
        <s v="id_1282"/>
        <s v="id_1283"/>
        <s v="id_1284"/>
        <s v="id_1285"/>
        <s v="id_1286"/>
        <s v="id_1287"/>
        <s v="id_1288"/>
        <s v="id_1289"/>
        <s v="id_1290"/>
        <s v="id_1291"/>
        <s v="id_1292"/>
        <s v="id_1293"/>
        <s v="id_1294"/>
        <s v="id_1295"/>
        <s v="id_1296"/>
        <s v="id_1297"/>
        <s v="id_1298"/>
        <s v="id_1299"/>
        <s v="id_1300"/>
        <s v="id_1301"/>
        <s v="id_1302"/>
        <s v="id_1303"/>
        <s v="id_1304"/>
        <s v="id_1305"/>
        <s v="id_1306"/>
        <s v="id_1307"/>
        <s v="id_1308"/>
        <s v="id_1309"/>
        <s v="id_1310"/>
        <s v="id_1311"/>
        <s v="id_1312"/>
        <s v="id_1313"/>
        <s v="id_1314"/>
        <s v="id_1315"/>
        <s v="id_1316"/>
        <s v="id_1317"/>
        <s v="id_1318"/>
        <s v="id_1319"/>
        <s v="id_1320"/>
        <s v="id_1321"/>
        <s v="id_1322"/>
        <s v="id_1323"/>
        <s v="id_1324"/>
        <s v="id_1325"/>
        <s v="id_1326"/>
        <s v="id_1327"/>
        <s v="id_1328"/>
        <s v="id_1329"/>
        <s v="id_1330"/>
        <s v="id_1331"/>
        <s v="id_1332"/>
        <s v="id_1333"/>
        <s v="id_1334"/>
        <s v="id_1335"/>
        <s v="id_1336"/>
        <s v="id_1337"/>
        <s v="id_1338"/>
        <s v="id_1339"/>
        <s v="id_1340"/>
        <s v="id_1341"/>
        <s v="id_1342"/>
        <s v="id_1343"/>
        <s v="id_1344"/>
        <s v="id_1345"/>
        <s v="id_1346"/>
        <s v="id_1347"/>
        <s v="id_1348"/>
        <s v="id_1349"/>
        <s v="id_1350"/>
        <s v="id_1351"/>
        <s v="id_1352"/>
        <s v="id_1353"/>
        <s v="id_1354"/>
        <s v="id_1355"/>
        <s v="id_1356"/>
        <s v="id_1357"/>
        <s v="id_1358"/>
        <s v="id_1359"/>
        <s v="id_1360"/>
        <s v="id_1361"/>
        <s v="id_1362"/>
        <s v="id_1363"/>
        <s v="id_1364"/>
        <s v="id_1365"/>
        <s v="id_1366"/>
        <s v="id_1367"/>
        <s v="id_1368"/>
        <s v="id_1369"/>
        <s v="id_1370"/>
        <s v="id_1371"/>
        <s v="id_1372"/>
        <s v="id_1373"/>
        <s v="id_1374"/>
        <s v="id_1375"/>
        <s v="id_1376"/>
        <s v="id_1377"/>
        <s v="id_1378"/>
        <s v="id_1379"/>
        <s v="id_1380"/>
        <s v="id_1381"/>
        <s v="id_1382"/>
        <s v="id_1383"/>
        <s v="id_1384"/>
        <s v="id_1385"/>
        <s v="id_1386"/>
        <s v="id_1387"/>
        <s v="id_1388"/>
        <s v="id_1389"/>
        <s v="id_1390"/>
        <s v="id_1391"/>
      </sharedItems>
    </cacheField>
    <cacheField name="START_DATE" numFmtId="164">
      <sharedItems containsSemiMixedTypes="0" containsDate="1" containsString="0">
        <d v="2016-01-01T21:11:00Z"/>
        <d v="2016-01-02T01:25:00Z"/>
        <d v="2016-01-02T20:25:00Z"/>
        <d v="2016-01-05T17:31:00Z"/>
        <d v="2016-01-06T14:42:00Z"/>
        <d v="2016-01-06T17:15:00Z"/>
        <d v="2016-01-06T17:30:00Z"/>
        <d v="2016-01-07T13:27:00Z"/>
        <d v="2016-01-10T08:05:00Z"/>
        <d v="2016-01-10T12:17:00Z"/>
        <d v="2016-01-10T15:08:00Z"/>
        <d v="2016-01-10T18:18:00Z"/>
        <d v="2016-01-10T19:12:00Z"/>
        <d v="2016-01-11T08:55:00Z"/>
        <d v="2016-01-11T11:56:00Z"/>
        <d v="2016-01-11T13:32:00Z"/>
        <d v="2016-01-11T14:30:00Z"/>
        <d v="2016-01-12T12:33:00Z"/>
        <d v="2016-01-12T12:53:00Z"/>
        <d v="2016-01-12T14:42:00Z"/>
        <d v="2016-01-12T15:13:00Z"/>
        <d v="2016-01-12T15:42:00Z"/>
        <d v="2016-01-12T16:02:00Z"/>
        <d v="2016-01-13T13:54:00Z"/>
        <d v="2016-01-13T15:00:00Z"/>
        <d v="2016-01-14T16:29:00Z"/>
        <d v="2016-01-14T21:39:00Z"/>
        <d v="2016-01-15T00:41:00Z"/>
        <d v="2016-01-15T11:43:00Z"/>
        <d v="2016-01-15T13:26:00Z"/>
        <d v="2016-01-18T14:55:00Z"/>
        <d v="2016-01-18T16:13:00Z"/>
        <d v="2016-01-19T09:09:00Z"/>
        <d v="2016-01-19T10:55:00Z"/>
        <d v="2016-01-20T10:36:00Z"/>
        <d v="2016-01-20T11:48:00Z"/>
        <d v="2016-01-20T13:25:00Z"/>
        <d v="2016-01-21T14:25:00Z"/>
        <d v="2016-01-21T14:43:00Z"/>
        <d v="2016-01-21T16:01:00Z"/>
        <d v="2016-01-26T10:41:00Z"/>
        <d v="2016-01-26T12:33:00Z"/>
        <d v="2016-01-26T16:24:00Z"/>
        <d v="2016-01-26T17:17:00Z"/>
        <d v="2016-01-26T17:27:00Z"/>
        <d v="2016-01-27T09:24:00Z"/>
        <d v="2016-01-27T10:19:00Z"/>
        <d v="2016-01-27T12:34:00Z"/>
        <d v="2016-01-27T14:05:00Z"/>
        <d v="2016-01-27T14:46:00Z"/>
        <d v="2016-01-28T12:28:00Z"/>
        <d v="2016-01-28T15:11:00Z"/>
        <d v="2016-01-28T16:21:00Z"/>
        <d v="2016-01-29T09:31:00Z"/>
        <d v="2016-01-29T10:56:00Z"/>
        <d v="2016-01-29T11:43:00Z"/>
        <d v="2016-01-29T13:24:00Z"/>
        <d v="2016-01-29T18:31:00Z"/>
        <d v="2016-01-29T21:21:00Z"/>
        <d v="2016-01-30T16:21:00Z"/>
        <d v="2016-01-30T18:09:00Z"/>
        <d v="2016-02-01T10:35:00Z"/>
        <d v="2016-02-01T12:10:00Z"/>
        <d v="2016-02-01T12:56:00Z"/>
        <d v="2016-02-02T13:04:00Z"/>
        <d v="2016-02-02T13:51:00Z"/>
        <d v="2016-02-02T14:38:00Z"/>
        <d v="2016-02-04T08:40:00Z"/>
        <d v="2016-02-04T09:37:00Z"/>
        <d v="2016-02-04T10:26:00Z"/>
        <d v="2016-02-04T15:59:00Z"/>
        <d v="2016-02-04T16:35:00Z"/>
        <d v="2016-02-04T18:04:00Z"/>
        <d v="2016-02-04T20:36:00Z"/>
        <d v="2016-02-05T11:47:00Z"/>
        <d v="2016-02-05T13:22:00Z"/>
        <d v="2016-02-06T16:20:00Z"/>
        <d v="2016-02-06T18:57:00Z"/>
        <d v="2016-02-06T19:28:00Z"/>
        <d v="2016-02-07T16:49:00Z"/>
        <d v="2016-02-07T18:03:00Z"/>
        <d v="2016-02-07T18:39:00Z"/>
        <d v="2016-02-07T20:22:00Z"/>
        <d v="2016-02-08T12:57:00Z"/>
        <d v="2016-02-08T14:00:00Z"/>
        <d v="2016-02-09T10:54:00Z"/>
        <d v="2016-02-09T11:43:00Z"/>
        <d v="2016-02-09T13:36:00Z"/>
        <d v="2016-02-09T13:58:00Z"/>
        <d v="2016-02-09T18:55:00Z"/>
        <d v="2016-02-09T20:24:00Z"/>
        <d v="2016-02-11T16:28:00Z"/>
        <d v="2016-02-11T17:49:00Z"/>
        <d v="2016-02-11T18:24:00Z"/>
        <d v="2016-02-11T20:36:00Z"/>
        <d v="2016-02-12T08:21:00Z"/>
        <d v="2016-02-12T10:45:00Z"/>
        <d v="2016-02-12T11:14:00Z"/>
        <d v="2016-02-12T13:02:00Z"/>
        <d v="2016-02-12T14:49:00Z"/>
        <d v="2016-02-12T15:33:00Z"/>
        <d v="2016-02-13T14:21:00Z"/>
        <d v="2016-02-13T23:45:00Z"/>
        <d v="2016-02-14T00:50:00Z"/>
        <d v="2016-02-14T14:07:00Z"/>
        <d v="2016-02-14T14:46:00Z"/>
        <d v="2016-02-14T16:35:00Z"/>
        <d v="2016-02-14T17:06:00Z"/>
        <d v="2016-02-16T03:21:00Z"/>
        <d v="2016-02-16T08:29:00Z"/>
        <d v="2016-02-16T10:31:00Z"/>
        <d v="2016-02-16T11:32:00Z"/>
        <d v="2016-02-16T12:39:00Z"/>
        <d v="2016-02-16T13:43:00Z"/>
        <d v="2016-02-16T16:34:00Z"/>
        <d v="2016-02-16T17:17:00Z"/>
        <d v="2016-02-16T17:40:00Z"/>
        <d v="2016-02-17T13:18:00Z"/>
        <d v="2016-02-17T15:17:00Z"/>
        <d v="2016-02-17T15:33:00Z"/>
        <d v="2016-02-17T16:38:00Z"/>
        <d v="2016-02-18T08:19:00Z"/>
        <d v="2016-02-18T14:03:00Z"/>
        <d v="2016-02-18T15:16:00Z"/>
        <d v="2016-02-18T18:44:00Z"/>
        <d v="2016-02-18T19:27:00Z"/>
        <d v="2016-02-19T09:02:00Z"/>
        <d v="2016-02-19T09:21:00Z"/>
        <d v="2016-02-19T10:21:00Z"/>
        <d v="2016-02-19T11:20:00Z"/>
        <d v="2016-02-19T11:45:00Z"/>
        <d v="2016-02-19T12:09:00Z"/>
        <d v="2016-02-19T16:26:00Z"/>
        <d v="2016-02-19T17:09:00Z"/>
        <d v="2016-02-19T20:08:00Z"/>
        <d v="2016-02-19T20:34:00Z"/>
        <d v="2016-02-20T07:59:00Z"/>
        <d v="2016-02-20T10:48:00Z"/>
        <d v="2016-02-20T11:45:00Z"/>
        <d v="2016-02-20T12:41:00Z"/>
        <d v="2016-02-20T14:50:00Z"/>
        <d v="2016-02-20T16:59:00Z"/>
        <d v="2016-02-20T18:00:00Z"/>
        <d v="2016-02-20T19:28:00Z"/>
        <d v="2016-02-21T09:07:00Z"/>
        <d v="2016-02-21T11:39:00Z"/>
        <d v="2016-02-21T11:47:00Z"/>
        <d v="2016-02-21T12:13:00Z"/>
        <d v="2016-02-21T12:51:00Z"/>
        <d v="2016-02-21T13:33:00Z"/>
        <d v="2016-02-21T14:36:00Z"/>
        <d v="2016-02-21T15:14:00Z"/>
        <d v="2016-02-21T15:36:00Z"/>
        <d v="2016-02-21T16:04:00Z"/>
        <d v="2016-02-21T23:15:00Z"/>
        <d v="2016-02-22T21:54:00Z"/>
        <d v="2016-02-24T14:30:00Z"/>
        <d v="2016-02-24T15:19:00Z"/>
        <d v="2016-02-25T16:27:00Z"/>
        <d v="2016-02-25T16:47:00Z"/>
        <d v="2016-02-25T17:16:00Z"/>
        <d v="2016-02-25T18:22:00Z"/>
        <d v="2016-02-26T09:06:00Z"/>
        <d v="2016-02-26T11:05:00Z"/>
        <d v="2016-02-26T11:35:00Z"/>
        <d v="2016-02-26T13:01:00Z"/>
        <d v="2016-02-26T14:38:00Z"/>
        <d v="2016-02-26T15:00:00Z"/>
        <d v="2016-02-26T17:01:00Z"/>
        <d v="2016-02-28T05:22:00Z"/>
        <d v="2016-02-28T09:26:00Z"/>
        <d v="2016-02-29T11:07:00Z"/>
        <d v="2016-02-29T11:30:00Z"/>
        <d v="2016-02-29T12:36:00Z"/>
        <d v="2016-02-29T14:55:00Z"/>
        <d v="2016-02-29T16:40:00Z"/>
        <d v="2016-03-01T18:47:00Z"/>
        <d v="2016-03-01T21:27:00Z"/>
        <d v="2016-03-03T09:45:00Z"/>
        <d v="2016-03-03T11:04:00Z"/>
        <d v="2016-03-03T14:44:00Z"/>
        <d v="2016-03-03T15:27:00Z"/>
        <d v="2016-03-03T16:02:00Z"/>
        <d v="2016-03-04T07:47:00Z"/>
        <d v="2016-03-04T09:46:00Z"/>
        <d v="2016-03-04T11:46:00Z"/>
        <d v="2016-03-04T13:03:00Z"/>
        <d v="2016-03-04T13:40:00Z"/>
        <d v="2016-03-04T15:56:00Z"/>
        <d v="2016-03-04T16:16:00Z"/>
        <d v="2016-03-04T16:43:00Z"/>
        <d v="2016-03-04T19:02:00Z"/>
        <d v="2016-03-04T19:16:00Z"/>
        <d v="2016-03-05T11:44:00Z"/>
        <d v="2016-03-05T12:57:00Z"/>
        <d v="2016-03-05T14:08:00Z"/>
        <d v="2016-03-05T14:39:00Z"/>
        <d v="2016-03-05T16:52:00Z"/>
        <d v="2016-03-05T17:23:00Z"/>
        <d v="2016-03-07T09:10:00Z"/>
        <d v="2016-03-07T09:23:00Z"/>
        <d v="2016-03-07T12:10:00Z"/>
        <d v="2016-03-07T13:57:00Z"/>
        <d v="2016-03-07T15:19:00Z"/>
        <d v="2016-03-08T14:38:00Z"/>
        <d v="2016-03-08T15:35:00Z"/>
        <d v="2016-03-08T16:13:00Z"/>
        <d v="2016-03-10T03:36:00Z"/>
        <d v="2016-03-10T10:08:00Z"/>
        <d v="2016-03-10T14:39:00Z"/>
        <d v="2016-03-10T16:18:00Z"/>
        <d v="2016-03-11T09:47:00Z"/>
        <d v="2016-03-11T10:29:00Z"/>
        <d v="2016-03-11T11:57:00Z"/>
        <d v="2016-03-11T13:43:00Z"/>
        <d v="2016-03-11T19:21:00Z"/>
        <d v="2016-03-12T09:13:00Z"/>
        <d v="2016-03-12T18:27:00Z"/>
        <d v="2016-03-13T09:07:00Z"/>
        <d v="2016-03-13T18:23:00Z"/>
        <d v="2016-03-13T20:07:00Z"/>
        <d v="2016-03-13T20:39:00Z"/>
        <d v="2016-03-13T21:11:00Z"/>
        <d v="2016-03-13T22:19:00Z"/>
        <d v="2016-03-14T08:34:00Z"/>
        <d v="2016-03-14T18:39:00Z"/>
        <d v="2016-03-15T08:45:00Z"/>
        <d v="2016-03-15T20:48:00Z"/>
        <d v="2016-03-16T11:34:00Z"/>
        <d v="2016-03-16T14:44:00Z"/>
        <d v="2016-03-16T18:43:00Z"/>
        <d v="2016-03-17T00:33:00Z"/>
        <d v="2016-03-17T12:52:00Z"/>
        <d v="2016-03-17T15:16:00Z"/>
        <d v="2016-03-17T17:20:00Z"/>
        <d v="2016-03-17T18:47:00Z"/>
        <d v="2016-03-17T20:57:00Z"/>
        <d v="2016-03-17T21:48:00Z"/>
        <d v="2016-03-18T07:15:00Z"/>
        <d v="2016-03-18T08:35:00Z"/>
        <d v="2016-03-18T18:24:00Z"/>
        <d v="2016-03-18T19:23:00Z"/>
        <d v="2016-03-18T21:01:00Z"/>
        <d v="2016-03-19T09:10:00Z"/>
        <d v="2016-03-19T12:50:00Z"/>
        <d v="2016-03-19T14:01:00Z"/>
        <d v="2016-03-19T15:34:00Z"/>
        <d v="2016-03-19T17:17:00Z"/>
        <d v="2016-03-19T17:37:00Z"/>
        <d v="2016-03-19T17:52:00Z"/>
        <d v="2016-03-19T18:53:00Z"/>
        <d v="2016-03-19T19:33:00Z"/>
        <d v="2016-03-20T07:37:00Z"/>
        <d v="2016-03-20T11:42:00Z"/>
        <d v="2016-03-20T17:08:00Z"/>
        <d v="2016-03-20T18:34:00Z"/>
        <d v="2016-03-20T18:45:00Z"/>
        <d v="2016-03-21T10:21:00Z"/>
        <d v="2016-03-21T16:05:00Z"/>
        <d v="2016-03-21T18:59:00Z"/>
        <d v="2016-03-21T20:18:00Z"/>
        <d v="2016-03-22T06:17:00Z"/>
        <d v="2016-03-22T12:06:00Z"/>
        <d v="2016-03-22T19:12:00Z"/>
        <d v="2016-03-23T14:37:00Z"/>
        <d v="2016-03-23T14:53:00Z"/>
        <d v="2016-03-24T19:47:00Z"/>
        <d v="2016-03-24T20:34:00Z"/>
        <d v="2016-03-25T13:24:00Z"/>
        <d v="2016-03-25T16:52:00Z"/>
        <d v="2016-03-25T22:54:00Z"/>
        <d v="2016-03-26T14:05:00Z"/>
        <d v="2016-03-26T15:19:00Z"/>
        <d v="2016-03-26T16:26:00Z"/>
        <d v="2016-03-27T00:31:00Z"/>
        <d v="2016-03-27T01:11:00Z"/>
        <d v="2016-03-27T15:31:00Z"/>
        <d v="2016-03-27T21:26:00Z"/>
        <d v="2016-03-27T23:04:00Z"/>
        <d v="2016-03-28T12:29:00Z"/>
        <d v="2016-03-28T19:30:00Z"/>
        <d v="2016-03-28T22:55:00Z"/>
        <d v="2016-03-29T15:27:00Z"/>
        <d v="2016-03-29T18:20:00Z"/>
        <d v="2016-03-29T20:29:00Z"/>
        <d v="2016-03-29T23:04:00Z"/>
        <d v="2016-03-30T22:05:00Z"/>
        <d v="2016-03-31T12:47:00Z"/>
        <d v="2016-03-31T14:37:00Z"/>
        <d v="2016-04-01T13:43:00Z"/>
        <d v="2016-04-01T14:36:00Z"/>
        <d v="2016-04-01T16:01:00Z"/>
        <d v="2016-04-01T16:52:00Z"/>
        <d v="2016-04-02T08:48:00Z"/>
        <d v="2016-04-02T11:01:00Z"/>
        <d v="2016-04-02T12:21:00Z"/>
        <d v="2016-04-02T16:57:00Z"/>
        <d v="2016-04-02T19:38:00Z"/>
        <d v="2016-04-02T23:11:00Z"/>
        <d v="2016-04-03T02:00:00Z"/>
        <d v="2016-04-05T21:39:00Z"/>
        <d v="2016-04-06T00:19:00Z"/>
        <d v="2016-04-07T18:20:00Z"/>
        <d v="2016-04-07T19:45:00Z"/>
        <d v="2016-04-08T12:30:00Z"/>
        <d v="2016-04-08T13:34:00Z"/>
        <d v="2016-04-08T13:55:00Z"/>
        <d v="2016-04-08T14:43:00Z"/>
        <d v="2016-04-08T16:05:00Z"/>
        <d v="2016-04-12T09:15:00Z"/>
        <d v="2016-04-12T09:34:00Z"/>
        <d v="2016-04-12T10:58:00Z"/>
        <d v="2016-04-12T12:22:00Z"/>
        <d v="2016-04-12T13:42:00Z"/>
        <d v="2016-04-14T07:29:00Z"/>
        <d v="2016-04-14T16:00:00Z"/>
        <d v="2016-04-15T11:36:00Z"/>
        <d v="2016-04-15T12:29:00Z"/>
        <d v="2016-04-15T14:31:00Z"/>
        <d v="2016-04-16T12:59:00Z"/>
        <d v="2016-04-16T15:10:00Z"/>
        <d v="2016-04-19T17:44:00Z"/>
        <d v="2016-04-19T19:57:00Z"/>
        <d v="2016-04-22T08:25:00Z"/>
        <d v="2016-04-22T10:10:00Z"/>
        <d v="2016-04-22T12:08:00Z"/>
        <d v="2016-04-22T13:02:00Z"/>
        <d v="2016-04-23T17:03:00Z"/>
        <d v="2016-04-23T18:49:00Z"/>
        <d v="2016-04-24T19:07:00Z"/>
        <d v="2016-04-24T19:46:00Z"/>
        <d v="2016-04-24T21:41:00Z"/>
        <d v="2016-04-27T13:30:00Z"/>
        <d v="2016-04-27T14:13:00Z"/>
        <d v="2016-04-28T12:09:00Z"/>
        <d v="2016-04-28T13:30:00Z"/>
        <d v="2016-04-28T22:10:00Z"/>
        <d v="2016-04-29T11:44:00Z"/>
        <d v="2016-04-29T13:13:00Z"/>
        <d v="2016-04-29T18:46:00Z"/>
        <d v="2016-04-29T22:44:00Z"/>
        <d v="2016-04-30T18:42:00Z"/>
        <d v="2016-04-30T22:16:00Z"/>
        <d v="2016-05-01T13:45:00Z"/>
        <d v="2016-05-01T14:26:00Z"/>
        <d v="2016-05-01T17:33:00Z"/>
        <d v="2016-05-01T17:54:00Z"/>
        <d v="2016-05-01T22:38:00Z"/>
        <d v="2016-05-02T14:14:00Z"/>
        <d v="2016-05-02T15:37:00Z"/>
        <d v="2016-05-03T22:20:00Z"/>
        <d v="2016-05-04T15:16:00Z"/>
        <d v="2016-05-04T20:55:00Z"/>
        <d v="2016-05-04T21:30:00Z"/>
        <d v="2016-05-04T22:19:00Z"/>
        <d v="2016-05-05T21:24:00Z"/>
        <d v="2016-05-05T22:34:00Z"/>
        <d v="2016-05-05T23:55:00Z"/>
        <d v="2016-05-06T05:47:00Z"/>
        <d v="2016-05-06T16:45:00Z"/>
        <d v="2016-05-06T17:18:00Z"/>
        <d v="2016-05-09T06:08:00Z"/>
        <d v="2016-05-09T14:39:00Z"/>
        <d v="2016-05-09T17:58:00Z"/>
        <d v="2016-05-09T19:35:00Z"/>
        <d v="2016-05-10T09:03:00Z"/>
        <d v="2016-05-10T17:19:00Z"/>
        <d v="2016-05-11T08:35:00Z"/>
        <d v="2016-05-11T21:47:00Z"/>
        <d v="2016-05-14T18:35:00Z"/>
        <d v="2016-05-14T23:01:00Z"/>
        <d v="2016-05-17T13:15:00Z"/>
        <d v="2016-05-17T13:56:00Z"/>
        <d v="2016-05-17T14:34:00Z"/>
        <d v="2016-05-18T09:11:00Z"/>
        <d v="2016-05-18T13:00:00Z"/>
        <d v="2016-05-19T14:37:00Z"/>
        <d v="2016-05-20T10:56:00Z"/>
        <d v="2016-05-20T15:43:00Z"/>
        <d v="2016-05-22T15:39:00Z"/>
        <d v="2016-05-22T18:46:00Z"/>
        <d v="2016-05-23T20:19:00Z"/>
        <d v="2016-05-23T21:09:00Z"/>
        <d v="2016-05-27T20:26:00Z"/>
        <d v="2016-05-27T20:47:00Z"/>
        <d v="2016-05-27T22:11:00Z"/>
        <d v="2016-05-28T00:15:00Z"/>
        <d v="2016-05-28T12:52:00Z"/>
        <d v="2016-05-28T14:35:00Z"/>
        <d v="2016-05-31T13:54:00Z"/>
        <d v="2016-05-31T16:02:00Z"/>
        <d v="2016-05-31T17:50:00Z"/>
        <d v="2016-06-01T10:19:00Z"/>
        <d v="2016-06-01T13:10:00Z"/>
        <d v="2016-06-03T11:29:00Z"/>
        <d v="2016-06-03T13:08:00Z"/>
        <d v="2016-06-03T15:31:00Z"/>
        <d v="2016-06-03T18:14:00Z"/>
        <d v="2016-06-03T18:41:00Z"/>
        <d v="2016-06-03T19:36:00Z"/>
        <d v="2016-06-03T22:47:00Z"/>
        <d v="2016-06-05T14:03:00Z"/>
        <d v="2016-06-05T15:06:00Z"/>
        <d v="2016-06-05T15:57:00Z"/>
        <d v="2016-06-05T18:05:00Z"/>
        <d v="2016-06-05T21:53:00Z"/>
        <d v="2016-06-05T23:52:00Z"/>
        <d v="2016-06-06T15:36:00Z"/>
        <d v="2016-06-06T16:16:00Z"/>
        <d v="2016-06-06T20:06:00Z"/>
        <d v="2016-06-06T21:08:00Z"/>
        <d v="2016-06-06T21:41:00Z"/>
        <d v="2016-06-06T23:34:00Z"/>
        <d v="2016-06-07T21:42:00Z"/>
        <d v="2016-06-07T23:41:00Z"/>
        <d v="2016-06-08T08:23:00Z"/>
        <d v="2016-06-08T12:04:00Z"/>
        <d v="2016-06-08T13:12:00Z"/>
        <d v="2016-06-08T14:31:00Z"/>
        <d v="2016-06-08T16:55:00Z"/>
        <d v="2016-06-08T17:16:00Z"/>
        <d v="2016-06-08T17:59:00Z"/>
        <d v="2016-06-08T20:11:00Z"/>
        <d v="2016-06-10T15:19:00Z"/>
        <d v="2016-06-10T21:47:00Z"/>
        <d v="2016-06-10T23:53:00Z"/>
        <d v="2016-06-11T17:08:00Z"/>
        <d v="2016-06-11T17:34:00Z"/>
        <d v="2016-06-11T17:50:00Z"/>
        <d v="2016-06-11T21:45:00Z"/>
        <d v="2016-06-11T23:39:00Z"/>
        <d v="2016-06-12T19:53:00Z"/>
        <d v="2016-06-12T20:05:00Z"/>
        <d v="2016-06-12T21:58:00Z"/>
        <d v="2016-06-13T05:23:00Z"/>
        <d v="2016-06-13T14:17:00Z"/>
        <d v="2016-06-13T18:08:00Z"/>
        <d v="2016-06-13T18:54:00Z"/>
        <d v="2016-06-13T20:00:00Z"/>
        <d v="2016-06-14T12:03:00Z"/>
        <d v="2016-06-14T16:09:00Z"/>
        <d v="2016-06-14T17:15:00Z"/>
        <d v="2016-06-14T17:27:00Z"/>
        <d v="2016-06-15T01:46:00Z"/>
        <d v="2016-06-15T15:26:00Z"/>
        <d v="2016-06-15T16:37:00Z"/>
        <d v="2016-06-15T17:29:00Z"/>
        <d v="2016-06-15T19:52:00Z"/>
        <d v="2016-06-16T13:36:00Z"/>
        <d v="2016-06-16T14:42:00Z"/>
        <d v="2016-06-16T15:17:00Z"/>
        <d v="2016-06-16T19:39:00Z"/>
        <d v="2016-06-16T21:43:00Z"/>
        <d v="2016-06-17T16:11:00Z"/>
        <d v="2016-06-18T00:29:00Z"/>
        <d v="2016-06-19T02:39:00Z"/>
        <d v="2016-06-19T05:51:00Z"/>
        <d v="2016-06-21T15:39:00Z"/>
        <d v="2016-06-21T17:11:00Z"/>
        <d v="2016-06-24T10:41:00Z"/>
        <d v="2016-06-24T11:54:00Z"/>
        <d v="2016-06-24T12:19:00Z"/>
        <d v="2016-06-24T12:50:00Z"/>
        <d v="2016-06-24T13:18:00Z"/>
        <d v="2016-06-24T14:01:00Z"/>
        <d v="2016-06-24T20:44:00Z"/>
        <d v="2016-06-25T09:03:00Z"/>
        <d v="2016-06-25T09:15:00Z"/>
        <d v="2016-06-25T10:18:00Z"/>
        <d v="2016-06-25T10:50:00Z"/>
        <d v="2016-06-25T11:25:00Z"/>
        <d v="2016-06-25T11:53:00Z"/>
        <d v="2016-06-25T19:47:00Z"/>
        <d v="2016-06-25T23:19:00Z"/>
        <d v="2016-06-26T17:43:00Z"/>
        <d v="2016-06-26T18:45:00Z"/>
        <d v="2016-06-26T19:41:00Z"/>
        <d v="2016-06-26T21:14:00Z"/>
        <d v="2016-06-27T07:37:00Z"/>
        <d v="2016-06-27T08:51:00Z"/>
        <d v="2016-06-27T09:05:00Z"/>
        <d v="2016-06-27T09:43:00Z"/>
        <d v="2016-06-27T10:22:00Z"/>
        <d v="2016-06-27T10:51:00Z"/>
        <d v="2016-06-27T11:06:00Z"/>
        <d v="2016-06-27T11:30:00Z"/>
        <d v="2016-06-27T12:22:00Z"/>
        <d v="2016-06-27T13:56:00Z"/>
        <d v="2016-06-27T21:09:00Z"/>
        <d v="2016-06-28T00:48:00Z"/>
        <d v="2016-06-28T20:13:00Z"/>
        <d v="2016-06-28T23:34:00Z"/>
        <d v="2016-06-29T08:56:00Z"/>
        <d v="2016-06-29T10:22:00Z"/>
        <d v="2016-06-29T11:49:00Z"/>
        <d v="2016-06-29T12:11:00Z"/>
        <d v="2016-06-29T20:11:00Z"/>
        <d v="2016-06-29T23:38:00Z"/>
        <d v="2016-06-30T20:09:00Z"/>
        <d v="2016-07-01T00:00:00Z"/>
        <d v="2016-07-01T09:34:00Z"/>
        <d v="2016-07-01T12:36:00Z"/>
        <d v="2016-07-01T20:06:00Z"/>
        <d v="2016-07-01T23:48:00Z"/>
        <d v="2016-07-02T20:18:00Z"/>
        <d v="2016-07-02T23:48:00Z"/>
        <d v="2016-07-03T00:28:00Z"/>
        <d v="2016-07-03T03:02:00Z"/>
        <d v="2016-07-03T20:00:00Z"/>
        <d v="2016-07-04T00:32:00Z"/>
        <d v="2016-07-04T17:31:00Z"/>
        <d v="2016-07-04T18:23:00Z"/>
        <d v="2016-07-04T20:00:00Z"/>
        <d v="2016-07-05T00:00:00Z"/>
        <d v="2016-07-05T00:08:00Z"/>
        <d v="2016-07-05T16:48:00Z"/>
        <d v="2016-07-05T20:06:00Z"/>
        <d v="2016-07-05T22:41:00Z"/>
        <d v="2016-07-06T00:33:00Z"/>
        <d v="2016-07-06T09:06:00Z"/>
        <d v="2016-07-06T12:48:00Z"/>
        <d v="2016-07-06T20:04:00Z"/>
        <d v="2016-07-06T23:46:00Z"/>
        <d v="2016-07-07T08:22:00Z"/>
        <d v="2016-07-07T10:27:00Z"/>
        <d v="2016-07-07T12:59:00Z"/>
        <d v="2016-07-08T09:50:00Z"/>
        <d v="2016-07-08T10:51:00Z"/>
        <d v="2016-07-08T13:48:00Z"/>
        <d v="2016-07-08T17:11:00Z"/>
        <d v="2016-07-09T09:03:00Z"/>
        <d v="2016-07-09T09:52:00Z"/>
        <d v="2016-07-09T10:15:00Z"/>
        <d v="2016-07-10T14:10:00Z"/>
        <d v="2016-07-10T16:04:00Z"/>
        <d v="2016-07-10T18:05:00Z"/>
        <d v="2016-07-10T19:51:00Z"/>
        <d v="2016-07-12T16:10:00Z"/>
        <d v="2016-07-12T19:21:00Z"/>
        <d v="2016-07-12T23:47:00Z"/>
        <d v="2016-07-13T12:39:00Z"/>
        <d v="2016-07-13T13:25:00Z"/>
        <d v="2016-07-13T13:42:00Z"/>
        <d v="2016-07-14T15:51:00Z"/>
        <d v="2016-07-14T16:03:00Z"/>
        <d v="2016-07-14T16:39:00Z"/>
        <d v="2016-07-15T11:32:00Z"/>
        <d v="2016-07-15T12:09:00Z"/>
        <d v="2016-07-15T12:35:00Z"/>
        <d v="2016-07-15T15:03:00Z"/>
        <d v="2016-07-15T15:40:00Z"/>
        <d v="2016-07-16T13:14:00Z"/>
        <d v="2016-07-16T14:14:00Z"/>
        <d v="2016-07-16T15:29:00Z"/>
        <d v="2016-07-16T19:42:00Z"/>
        <d v="2016-07-16T21:45:00Z"/>
        <d v="2016-07-16T22:50:00Z"/>
        <d v="2016-07-17T11:23:00Z"/>
        <d v="2016-07-17T12:20:00Z"/>
        <d v="2016-07-18T10:37:00Z"/>
        <d v="2016-07-18T10:54:00Z"/>
        <d v="2016-07-18T11:25:00Z"/>
        <d v="2016-07-18T11:40:00Z"/>
        <d v="2016-07-18T17:12:00Z"/>
        <d v="2016-07-18T18:32:00Z"/>
        <d v="2016-07-18T19:07:00Z"/>
        <d v="2016-07-18T20:28:00Z"/>
        <d v="2016-07-18T21:11:00Z"/>
        <d v="2016-07-19T10:35:00Z"/>
        <d v="2016-07-19T10:56:00Z"/>
        <d v="2016-07-19T11:30:00Z"/>
        <d v="2016-07-19T17:14:00Z"/>
        <d v="2016-07-19T17:50:00Z"/>
        <d v="2016-07-20T17:12:00Z"/>
        <d v="2016-07-20T17:50:00Z"/>
        <d v="2016-07-20T18:16:00Z"/>
        <d v="2016-07-21T17:17:00Z"/>
        <d v="2016-07-21T17:42:00Z"/>
        <d v="2016-07-21T18:27:00Z"/>
        <d v="2016-07-21T19:30:00Z"/>
        <d v="2016-07-22T10:42:00Z"/>
        <d v="2016-07-22T11:11:00Z"/>
        <d v="2016-07-22T11:37:00Z"/>
        <d v="2016-07-22T12:14:00Z"/>
        <d v="2016-07-22T13:21:00Z"/>
        <d v="2016-07-22T14:27:00Z"/>
        <d v="2016-07-22T15:49:00Z"/>
        <d v="2016-07-22T18:33:00Z"/>
        <d v="2016-07-23T14:27:00Z"/>
        <d v="2016-07-23T14:48:00Z"/>
        <d v="2016-07-23T15:15:00Z"/>
        <d v="2016-07-23T15:50:00Z"/>
        <d v="2016-07-23T20:17:00Z"/>
        <d v="2016-07-23T23:18:00Z"/>
        <d v="2016-07-25T10:35:00Z"/>
        <d v="2016-07-25T10:47:00Z"/>
        <d v="2016-07-25T11:04:00Z"/>
        <d v="2016-07-25T11:37:00Z"/>
        <d v="2016-07-26T15:43:00Z"/>
        <d v="2016-07-26T17:14:00Z"/>
        <d v="2016-07-26T20:52:00Z"/>
        <d v="2016-07-26T22:31:00Z"/>
        <d v="2016-07-27T19:08:00Z"/>
        <d v="2016-07-27T21:34:00Z"/>
        <d v="2016-07-27T22:00:00Z"/>
        <d v="2016-07-28T00:04:00Z"/>
        <d v="2016-07-29T15:45:00Z"/>
        <d v="2016-07-29T17:27:00Z"/>
        <d v="2016-07-30T17:02:00Z"/>
        <d v="2016-07-30T21:16:00Z"/>
        <d v="2016-07-31T17:30:00Z"/>
        <d v="2016-08-01T12:47:00Z"/>
        <d v="2016-08-01T13:08:00Z"/>
        <d v="2016-08-01T13:28:00Z"/>
        <d v="2016-08-01T13:52:00Z"/>
        <d v="2016-08-01T15:40:00Z"/>
        <d v="2016-08-01T16:18:00Z"/>
        <d v="2016-08-01T16:29:00Z"/>
        <d v="2016-08-01T17:23:00Z"/>
        <d v="2016-08-02T08:11:00Z"/>
        <d v="2016-08-02T11:51:00Z"/>
        <d v="2016-08-02T19:15:00Z"/>
        <d v="2016-08-02T21:23:00Z"/>
        <d v="2016-08-03T12:46:00Z"/>
        <d v="2016-08-03T14:59:00Z"/>
        <d v="2016-08-03T16:00:00Z"/>
        <d v="2016-08-05T17:23:00Z"/>
        <d v="2016-08-05T18:17:00Z"/>
        <d v="2016-08-05T19:17:00Z"/>
        <d v="2016-08-06T06:40:00Z"/>
        <d v="2016-08-06T09:31:00Z"/>
        <d v="2016-08-07T17:14:00Z"/>
        <d v="2016-08-07T17:28:00Z"/>
        <d v="2016-08-07T18:17:00Z"/>
        <d v="2016-08-07T20:15:00Z"/>
        <d v="2016-08-08T16:17:00Z"/>
        <d v="2016-08-08T16:37:00Z"/>
        <d v="2016-08-08T17:02:00Z"/>
        <d v="2016-08-08T21:50:00Z"/>
        <d v="2016-08-08T23:28:00Z"/>
        <d v="2016-08-09T14:20:00Z"/>
        <d v="2016-08-09T15:15:00Z"/>
        <d v="2016-08-09T16:04:00Z"/>
        <d v="2016-08-10T16:56:00Z"/>
        <d v="2016-08-10T17:53:00Z"/>
        <d v="2016-08-10T18:49:00Z"/>
        <d v="2016-08-10T19:47:00Z"/>
        <d v="2016-08-11T12:53:00Z"/>
        <d v="2016-08-11T13:14:00Z"/>
        <d v="2016-08-11T13:32:00Z"/>
        <d v="2016-08-11T18:37:00Z"/>
        <d v="2016-08-11T20:59:00Z"/>
        <d v="2016-08-12T18:49:00Z"/>
        <d v="2016-08-12T18:56:00Z"/>
        <d v="2016-08-13T15:35:00Z"/>
        <d v="2016-08-15T09:05:00Z"/>
        <d v="2016-08-15T15:20:00Z"/>
        <d v="2016-08-15T16:52:00Z"/>
        <d v="2016-08-15T19:08:00Z"/>
        <d v="2016-08-16T07:58:00Z"/>
        <d v="2016-08-16T08:16:00Z"/>
        <d v="2016-08-16T08:46:00Z"/>
        <d v="2016-08-16T10:06:00Z"/>
        <d v="2016-08-16T10:31:00Z"/>
        <d v="2016-08-16T11:47:00Z"/>
        <d v="2016-08-16T15:13:00Z"/>
        <d v="2016-08-17T10:17:00Z"/>
        <d v="2016-08-17T10:57:00Z"/>
        <d v="2016-08-17T14:45:00Z"/>
        <d v="2016-08-17T15:32:00Z"/>
        <d v="2016-08-17T16:29:00Z"/>
        <d v="2016-08-17T16:54:00Z"/>
        <d v="2016-08-17T17:05:00Z"/>
        <d v="2016-08-17T18:38:00Z"/>
        <d v="2016-08-18T18:40:00Z"/>
        <d v="2016-08-19T08:24:00Z"/>
        <d v="2016-08-19T08:54:00Z"/>
        <d v="2016-08-19T09:27:00Z"/>
        <d v="2016-08-19T10:57:00Z"/>
        <d v="2016-08-19T12:07:00Z"/>
        <d v="2016-08-19T15:51:00Z"/>
        <d v="2016-08-19T17:12:00Z"/>
        <d v="2016-08-21T10:00:00Z"/>
        <d v="2016-08-21T14:05:00Z"/>
        <d v="2016-08-21T16:30:00Z"/>
        <d v="2016-08-21T18:10:00Z"/>
        <d v="2016-08-21T18:48:00Z"/>
        <d v="2016-08-22T10:00:00Z"/>
        <d v="2016-08-22T11:07:00Z"/>
        <d v="2016-08-22T12:36:00Z"/>
        <d v="2016-08-22T13:02:00Z"/>
        <d v="2016-08-22T14:07:00Z"/>
        <d v="2016-08-22T15:14:00Z"/>
        <d v="2016-08-22T15:59:00Z"/>
        <d v="2016-08-22T19:58:00Z"/>
        <d v="2016-08-22T20:53:00Z"/>
        <d v="2016-08-22T22:31:00Z"/>
        <d v="2016-08-23T08:10:00Z"/>
        <d v="2016-08-23T09:35:00Z"/>
        <d v="2016-08-23T12:59:00Z"/>
        <d v="2016-08-23T13:19:00Z"/>
        <d v="2016-08-23T13:49:00Z"/>
        <d v="2016-08-23T15:07:00Z"/>
        <d v="2016-08-23T15:15:00Z"/>
        <d v="2016-08-23T17:42:00Z"/>
        <d v="2016-08-24T12:05:00Z"/>
        <d v="2016-08-24T13:01:00Z"/>
        <d v="2016-08-25T15:17:00Z"/>
        <d v="2016-08-25T16:36:00Z"/>
        <d v="2016-08-25T17:19:00Z"/>
        <d v="2016-08-25T19:25:00Z"/>
        <d v="2016-08-25T22:58:00Z"/>
        <d v="2016-08-26T09:06:00Z"/>
        <d v="2016-08-26T11:14:00Z"/>
        <d v="2016-08-26T12:10:00Z"/>
        <d v="2016-08-26T14:10:00Z"/>
        <d v="2016-08-26T15:23:00Z"/>
        <d v="2016-08-26T15:59:00Z"/>
        <d v="2016-08-26T16:55:00Z"/>
        <d v="2016-08-26T18:42:00Z"/>
        <d v="2016-08-26T19:31:00Z"/>
        <d v="2016-08-26T20:06:00Z"/>
        <d v="2016-08-27T09:34:00Z"/>
        <d v="2016-08-27T11:47:00Z"/>
        <d v="2016-08-27T12:12:00Z"/>
        <d v="2016-08-27T14:01:00Z"/>
        <d v="2016-08-27T16:15:00Z"/>
        <d v="2016-08-28T09:57:00Z"/>
        <d v="2016-08-28T16:39:00Z"/>
        <d v="2016-08-28T17:37:00Z"/>
        <d v="2016-08-28T21:15:00Z"/>
        <d v="2016-08-29T12:02:00Z"/>
        <d v="2016-08-29T13:38:00Z"/>
        <d v="2016-08-29T14:31:00Z"/>
        <d v="2016-08-29T14:49:00Z"/>
        <d v="2016-08-29T15:49:00Z"/>
        <d v="2016-08-29T16:06:00Z"/>
        <d v="2016-08-29T17:24:00Z"/>
        <d v="2016-08-29T18:27:00Z"/>
        <d v="2016-08-30T11:53:00Z"/>
        <d v="2016-08-30T12:46:00Z"/>
        <d v="2016-08-30T13:25:00Z"/>
        <d v="2016-08-30T14:00:00Z"/>
        <d v="2016-08-30T17:27:00Z"/>
        <d v="2016-09-01T11:51:00Z"/>
        <d v="2016-09-01T17:21:00Z"/>
        <d v="2016-09-01T18:49:00Z"/>
        <d v="2016-09-02T11:37:00Z"/>
        <d v="2016-09-02T18:56:00Z"/>
        <d v="2016-09-05T10:25:00Z"/>
        <d v="2016-09-10T10:28:00Z"/>
        <d v="2016-09-11T09:51:00Z"/>
        <d v="2016-09-11T21:40:00Z"/>
        <d v="2016-09-12T08:07:00Z"/>
        <d v="2016-09-12T11:15:00Z"/>
        <d v="2016-09-12T13:04:00Z"/>
        <d v="2016-09-13T16:56:00Z"/>
        <d v="2016-09-14T11:55:00Z"/>
        <d v="2016-09-15T20:33:00Z"/>
        <d v="2016-09-18T18:07:00Z"/>
        <d v="2016-09-19T06:18:00Z"/>
        <d v="2016-09-19T14:40:00Z"/>
        <d v="2016-09-19T16:23:00Z"/>
        <d v="2016-09-19T17:36:00Z"/>
        <d v="2016-09-19T19:10:00Z"/>
        <d v="2016-09-20T11:29:00Z"/>
        <d v="2016-09-20T20:47:00Z"/>
        <d v="2016-09-23T13:15:00Z"/>
        <d v="2016-09-24T14:34:00Z"/>
        <d v="2016-09-24T20:29:00Z"/>
        <d v="2016-09-27T08:33:00Z"/>
        <d v="2016-09-27T13:21:00Z"/>
        <d v="2016-09-27T19:14:00Z"/>
        <d v="2016-09-27T21:01:00Z"/>
        <d v="2016-09-28T17:21:00Z"/>
        <d v="2016-09-29T16:13:00Z"/>
        <d v="2016-09-30T17:39:00Z"/>
        <d v="2016-09-30T20:59:00Z"/>
        <d v="2016-10-03T17:09:00Z"/>
        <d v="2016-10-03T18:17:00Z"/>
        <d v="2016-10-03T18:51:00Z"/>
        <d v="2016-10-03T22:04:00Z"/>
        <d v="2016-10-04T09:50:00Z"/>
        <d v="2016-10-04T12:17:00Z"/>
        <d v="2016-10-06T08:49:00Z"/>
        <d v="2016-10-06T17:23:00Z"/>
        <d v="2016-10-06T18:37:00Z"/>
        <d v="2016-10-06T19:46:00Z"/>
        <d v="2016-10-07T10:56:00Z"/>
        <d v="2016-10-07T11:27:00Z"/>
        <d v="2016-10-07T13:52:00Z"/>
        <d v="2016-10-07T14:29:00Z"/>
        <d v="2016-10-07T15:47:00Z"/>
        <d v="2016-10-07T18:08:00Z"/>
        <d v="2016-10-07T18:33:00Z"/>
        <d v="2016-10-08T18:15:00Z"/>
        <d v="2016-10-09T14:04:00Z"/>
        <d v="2016-10-10T17:22:00Z"/>
        <d v="2016-10-10T17:33:00Z"/>
        <d v="2016-10-11T01:27:00Z"/>
        <d v="2016-10-12T19:18:00Z"/>
        <d v="2016-10-13T11:20:00Z"/>
        <d v="2016-10-13T12:08:00Z"/>
        <d v="2016-10-13T13:37:00Z"/>
        <d v="2016-10-13T16:08:00Z"/>
        <d v="2016-10-14T08:50:00Z"/>
        <d v="2016-10-14T10:16:00Z"/>
        <d v="2016-10-14T15:56:00Z"/>
        <d v="2016-10-14T23:54:00Z"/>
        <d v="2016-10-15T22:28:00Z"/>
        <d v="2016-10-16T00:01:00Z"/>
        <d v="2016-10-16T12:52:00Z"/>
        <d v="2016-10-16T14:40:00Z"/>
        <d v="2016-10-16T15:10:00Z"/>
        <d v="2016-10-16T19:27:00Z"/>
        <d v="2016-10-16T20:30:00Z"/>
        <d v="2016-10-16T21:34:00Z"/>
        <d v="2016-10-17T15:19:00Z"/>
        <d v="2016-10-17T16:29:00Z"/>
        <d v="2016-10-17T18:02:00Z"/>
        <d v="2016-10-17T18:31:00Z"/>
        <d v="2016-10-17T19:08:00Z"/>
        <d v="2016-10-18T08:12:00Z"/>
        <d v="2016-10-18T08:53:00Z"/>
        <d v="2016-10-18T10:41:00Z"/>
        <d v="2016-10-18T18:12:00Z"/>
        <d v="2016-10-18T19:03:00Z"/>
        <d v="2016-10-18T20:31:00Z"/>
        <d v="2016-10-19T09:33:00Z"/>
        <d v="2016-10-19T09:54:00Z"/>
        <d v="2016-10-19T13:45:00Z"/>
        <d v="2016-10-19T14:02:00Z"/>
        <d v="2016-10-19T15:44:00Z"/>
        <d v="2016-10-19T16:06:00Z"/>
        <d v="2016-10-19T16:33:00Z"/>
        <d v="2016-10-20T11:26:00Z"/>
        <d v="2016-10-20T12:19:00Z"/>
        <d v="2016-10-20T20:44:00Z"/>
        <d v="2016-10-21T10:06:00Z"/>
        <d v="2016-10-22T00:54:00Z"/>
        <d v="2016-10-22T13:26:00Z"/>
        <d v="2016-10-22T17:08:00Z"/>
        <d v="2016-10-23T09:24:00Z"/>
        <d v="2016-10-23T12:17:00Z"/>
        <d v="2016-10-23T19:04:00Z"/>
        <d v="2016-10-23T21:10:00Z"/>
        <d v="2016-10-24T14:57:00Z"/>
        <d v="2016-10-24T15:33:00Z"/>
        <d v="2016-10-24T16:34:00Z"/>
        <d v="2016-10-25T13:27:00Z"/>
        <d v="2016-10-25T15:04:00Z"/>
        <d v="2016-10-25T15:16:00Z"/>
        <d v="2016-10-25T20:00:00Z"/>
        <d v="2016-10-25T20:54:00Z"/>
        <d v="2016-10-25T22:24:00Z"/>
        <d v="2016-10-26T19:25:00Z"/>
        <d v="2016-10-26T20:53:00Z"/>
        <d v="2016-10-27T18:51:00Z"/>
        <d v="2016-10-27T19:20:00Z"/>
        <d v="2016-10-27T19:52:00Z"/>
        <d v="2016-10-27T20:47:00Z"/>
        <d v="2016-10-27T21:26:00Z"/>
        <d v="2016-10-28T11:34:00Z"/>
        <d v="2016-10-28T13:06:00Z"/>
        <d v="2016-10-28T15:53:00Z"/>
        <d v="2016-10-28T18:13:00Z"/>
        <d v="2016-10-28T20:13:00Z"/>
        <d v="2016-10-29T15:22:00Z"/>
        <d v="2016-10-29T17:13:00Z"/>
        <d v="2016-10-30T07:49:00Z"/>
        <d v="2016-10-30T09:07:00Z"/>
        <d v="2016-10-30T10:11:00Z"/>
        <d v="2016-10-30T10:51:00Z"/>
        <d v="2016-10-30T12:24:00Z"/>
        <d v="2016-10-30T12:58:00Z"/>
        <d v="2016-10-30T13:24:00Z"/>
        <d v="2016-10-30T15:22:00Z"/>
        <d v="2016-10-30T18:26:00Z"/>
        <d v="2016-10-31T18:11:00Z"/>
        <d v="2016-10-31T18:47:00Z"/>
        <d v="2016-10-31T20:18:00Z"/>
        <d v="2016-10-31T21:45:00Z"/>
        <d v="2016-11-01T11:50:00Z"/>
        <d v="2016-11-01T16:29:00Z"/>
        <d v="2016-11-01T17:35:00Z"/>
        <d v="2016-11-01T19:14:00Z"/>
        <d v="2016-11-01T19:59:00Z"/>
        <d v="2016-11-01T20:41:00Z"/>
        <d v="2016-11-02T15:10:00Z"/>
        <d v="2016-11-02T15:45:00Z"/>
        <d v="2016-11-02T16:46:00Z"/>
        <d v="2016-11-02T17:34:00Z"/>
        <d v="2016-11-02T17:53:00Z"/>
        <d v="2016-11-03T11:28:00Z"/>
        <d v="2016-11-03T12:43:00Z"/>
        <d v="2016-11-03T13:42:00Z"/>
        <d v="2016-11-03T14:13:00Z"/>
        <d v="2016-11-03T18:51:00Z"/>
        <d v="2016-11-03T22:46:00Z"/>
        <d v="2016-11-04T10:02:00Z"/>
        <d v="2016-11-04T18:14:00Z"/>
        <d v="2016-11-04T21:04:00Z"/>
        <d v="2016-11-04T22:12:00Z"/>
        <d v="2016-11-05T08:34:00Z"/>
        <d v="2016-11-05T17:29:00Z"/>
        <d v="2016-11-05T19:20:00Z"/>
        <d v="2016-11-06T10:50:00Z"/>
        <d v="2016-11-06T16:05:00Z"/>
        <d v="2016-11-06T16:27:00Z"/>
        <d v="2016-11-06T19:04:00Z"/>
        <d v="2016-11-06T20:06:00Z"/>
        <d v="2016-11-07T12:28:00Z"/>
        <d v="2016-11-07T19:17:00Z"/>
        <d v="2016-11-08T10:29:00Z"/>
        <d v="2016-11-08T12:16:00Z"/>
        <d v="2016-11-08T13:41:00Z"/>
        <d v="2016-11-08T16:21:00Z"/>
        <d v="2016-11-09T13:08:00Z"/>
        <d v="2016-11-09T15:58:00Z"/>
        <d v="2016-11-09T17:31:00Z"/>
        <d v="2016-11-09T18:09:00Z"/>
        <d v="2016-11-09T18:21:00Z"/>
        <d v="2016-11-09T18:40:00Z"/>
        <d v="2016-11-09T20:52:00Z"/>
        <d v="2016-11-09T21:56:00Z"/>
        <d v="2016-11-10T09:46:00Z"/>
        <d v="2016-11-10T10:20:00Z"/>
        <d v="2016-11-10T14:57:00Z"/>
        <d v="2016-11-10T15:17:00Z"/>
        <d v="2016-11-10T15:30:00Z"/>
        <d v="2016-11-10T19:18:00Z"/>
        <d v="2016-11-11T09:35:00Z"/>
        <d v="2016-11-11T12:58:00Z"/>
        <d v="2016-11-11T14:20:00Z"/>
        <d v="2016-11-11T14:39:00Z"/>
        <d v="2016-11-11T18:30:00Z"/>
        <d v="2016-11-11T21:08:00Z"/>
        <d v="2016-11-12T10:32:00Z"/>
        <d v="2016-11-12T10:55:00Z"/>
        <d v="2016-11-12T13:07:00Z"/>
        <d v="2016-11-12T13:46:00Z"/>
        <d v="2016-11-12T14:22:00Z"/>
        <d v="2016-11-12T15:14:00Z"/>
        <d v="2016-11-12T15:25:00Z"/>
        <d v="2016-11-12T15:40:00Z"/>
        <d v="2016-11-13T08:54:00Z"/>
        <d v="2016-11-13T09:27:00Z"/>
        <d v="2016-11-13T10:31:00Z"/>
        <d v="2016-11-13T11:04:00Z"/>
        <d v="2016-11-13T12:22:00Z"/>
        <d v="2016-11-13T13:05:00Z"/>
        <d v="2016-11-13T13:14:00Z"/>
        <d v="2016-11-13T14:35:00Z"/>
        <d v="2016-11-13T15:14:00Z"/>
        <d v="2016-11-13T15:47:00Z"/>
        <d v="2016-11-14T11:24:00Z"/>
        <d v="2016-11-14T13:40:00Z"/>
        <d v="2016-11-14T15:27:00Z"/>
        <d v="2016-11-14T20:19:00Z"/>
        <d v="2016-11-15T13:59:00Z"/>
        <d v="2016-11-15T14:09:00Z"/>
        <d v="2016-11-15T20:44:00Z"/>
        <d v="2016-11-16T20:21:00Z"/>
        <d v="2016-11-16T22:52:00Z"/>
        <d v="2016-11-17T10:13:00Z"/>
        <d v="2016-11-18T20:09:00Z"/>
        <d v="2016-11-18T21:23:00Z"/>
        <d v="2016-11-18T21:56:00Z"/>
        <d v="2016-11-19T13:51:00Z"/>
        <d v="2016-11-19T14:30:00Z"/>
        <d v="2016-11-19T16:01:00Z"/>
        <d v="2016-11-19T16:27:00Z"/>
        <d v="2016-11-19T17:41:00Z"/>
        <d v="2016-11-19T21:14:00Z"/>
        <d v="2016-11-20T10:27:00Z"/>
        <d v="2016-11-20T11:58:00Z"/>
        <d v="2016-11-20T14:58:00Z"/>
        <d v="2016-11-20T17:45:00Z"/>
        <d v="2016-11-21T13:37:00Z"/>
        <d v="2016-11-21T14:34:00Z"/>
        <d v="2016-11-21T17:50:00Z"/>
        <d v="2016-11-21T18:18:00Z"/>
        <d v="2016-11-21T18:43:00Z"/>
        <d v="2016-11-22T15:12:00Z"/>
        <d v="2016-11-22T15:31:00Z"/>
        <d v="2016-11-22T15:51:00Z"/>
        <d v="2016-11-22T18:18:00Z"/>
        <d v="2016-11-22T21:02:00Z"/>
        <d v="2016-11-23T15:34:00Z"/>
        <d v="2016-11-23T16:18:00Z"/>
        <d v="2016-11-23T16:49:00Z"/>
        <d v="2016-11-23T18:37:00Z"/>
        <d v="2016-11-25T11:47:00Z"/>
        <d v="2016-11-25T13:13:00Z"/>
        <d v="2016-11-26T15:54:00Z"/>
        <d v="2016-11-26T17:00:00Z"/>
        <d v="2016-11-26T17:36:00Z"/>
        <d v="2016-11-26T18:29:00Z"/>
        <d v="2016-11-26T19:47:00Z"/>
        <d v="2016-11-27T15:59:00Z"/>
        <d v="2016-11-27T18:55:00Z"/>
        <d v="2016-11-30T11:03:00Z"/>
        <d v="2016-11-30T11:53:00Z"/>
        <d v="2016-11-30T12:43:00Z"/>
        <d v="2016-12-01T07:44:00Z"/>
        <d v="2016-12-01T08:37:00Z"/>
        <d v="2016-12-01T18:00:00Z"/>
        <d v="2016-12-01T20:36:00Z"/>
        <d v="2016-12-02T12:12:00Z"/>
        <d v="2016-12-02T13:07:00Z"/>
        <d v="2016-12-02T20:41:00Z"/>
        <d v="2016-12-02T22:59:00Z"/>
        <d v="2016-12-03T18:35:00Z"/>
        <d v="2016-12-03T19:08:00Z"/>
        <d v="2016-12-03T20:31:00Z"/>
        <d v="2016-12-04T18:56:00Z"/>
        <d v="2016-12-04T20:23:00Z"/>
        <d v="2016-12-05T18:04:00Z"/>
        <d v="2016-12-05T19:22:00Z"/>
        <d v="2016-12-07T12:03:00Z"/>
        <d v="2016-12-07T12:35:00Z"/>
        <d v="2016-12-07T19:53:00Z"/>
        <d v="2016-12-07T21:13:00Z"/>
        <d v="2016-12-08T14:19:00Z"/>
        <d v="2016-12-08T14:53:00Z"/>
        <d v="2016-12-08T19:22:00Z"/>
        <d v="2016-12-08T21:26:00Z"/>
        <d v="2016-12-09T12:09:00Z"/>
        <d v="2016-12-09T13:15:00Z"/>
        <d v="2016-12-09T20:11:00Z"/>
        <d v="2016-12-09T22:03:00Z"/>
        <d v="2016-12-10T12:43:00Z"/>
        <d v="2016-12-10T14:42:00Z"/>
        <d v="2016-12-10T18:17:00Z"/>
        <d v="2016-12-10T22:09:00Z"/>
        <d v="2016-12-11T16:06:00Z"/>
        <d v="2016-12-11T19:05:00Z"/>
        <d v="2016-12-11T21:48:00Z"/>
        <d v="2016-12-12T13:22:00Z"/>
        <d v="2016-12-12T13:36:00Z"/>
        <d v="2016-12-12T14:26:00Z"/>
        <d v="2016-12-12T17:51:00Z"/>
        <d v="2016-12-12T20:48:00Z"/>
        <d v="2016-12-13T18:19:00Z"/>
        <d v="2016-12-13T20:20:00Z"/>
        <d v="2016-12-14T16:52:00Z"/>
        <d v="2016-12-14T17:22:00Z"/>
        <d v="2016-12-14T17:50:00Z"/>
        <d v="2016-12-14T20:24:00Z"/>
        <d v="2016-12-15T14:20:00Z"/>
        <d v="2016-12-17T15:38:00Z"/>
        <d v="2016-12-17T17:19:00Z"/>
        <d v="2016-12-18T13:03:00Z"/>
        <d v="2016-12-18T16:38:00Z"/>
        <d v="2016-12-18T20:35:00Z"/>
        <d v="2016-12-19T09:08:00Z"/>
        <d v="2016-12-19T10:15:00Z"/>
        <d v="2016-12-19T13:04:00Z"/>
        <d v="2016-12-19T13:24:00Z"/>
        <d v="2016-12-19T14:07:00Z"/>
        <d v="2016-12-19T14:18:00Z"/>
        <d v="2016-12-19T14:37:00Z"/>
        <d v="2016-12-19T15:09:00Z"/>
        <d v="2016-12-19T16:50:00Z"/>
        <d v="2016-12-19T19:05:00Z"/>
        <d v="2016-12-19T19:55:00Z"/>
        <d v="2016-12-20T08:49:00Z"/>
        <d v="2016-12-20T10:30:00Z"/>
        <d v="2016-12-20T11:30:00Z"/>
        <d v="2016-12-20T13:14:00Z"/>
        <d v="2016-12-20T13:54:00Z"/>
        <d v="2016-12-20T16:14:00Z"/>
        <d v="2016-12-20T16:56:00Z"/>
        <d v="2016-12-20T18:47:00Z"/>
        <d v="2016-12-21T07:42:00Z"/>
        <d v="2016-12-21T10:14:00Z"/>
        <d v="2016-12-21T11:35:00Z"/>
        <d v="2016-12-21T12:51:00Z"/>
        <d v="2016-12-21T15:38:00Z"/>
        <d v="2016-12-21T15:55:00Z"/>
        <d v="2016-12-21T17:45:00Z"/>
        <d v="2016-12-21T17:59:00Z"/>
        <d v="2016-12-21T19:49:00Z"/>
        <d v="2016-12-21T20:56:00Z"/>
        <d v="2016-12-22T15:40:00Z"/>
        <d v="2016-12-22T17:04:00Z"/>
        <d v="2016-12-22T17:27:00Z"/>
        <d v="2016-12-22T17:56:00Z"/>
        <d v="2016-12-22T18:31:00Z"/>
        <d v="2016-12-22T18:38:00Z"/>
        <d v="2016-12-22T19:04:00Z"/>
        <d v="2016-12-22T21:41:00Z"/>
        <d v="2016-12-22T23:27:00Z"/>
        <d v="2016-12-23T09:21:00Z"/>
        <d v="2016-12-23T11:33:00Z"/>
        <d v="2016-12-23T14:15:00Z"/>
        <d v="2016-12-23T16:23:00Z"/>
        <d v="2016-12-23T17:34:00Z"/>
        <d v="2016-12-24T07:43:00Z"/>
        <d v="2016-12-24T09:19:00Z"/>
        <d v="2016-12-24T10:34:00Z"/>
        <d v="2016-12-24T12:51:00Z"/>
        <d v="2016-12-24T13:08:00Z"/>
        <d v="2016-12-24T17:12:00Z"/>
        <d v="2016-12-24T19:12:00Z"/>
        <d v="2016-12-24T22:04:00Z"/>
        <d v="2016-12-25T00:10:00Z"/>
        <d v="2016-12-25T19:15:00Z"/>
        <d v="2016-12-25T21:58:00Z"/>
        <d v="2016-12-26T08:30:00Z"/>
        <d v="2016-12-26T09:05:00Z"/>
        <d v="2016-12-26T10:15:00Z"/>
        <d v="2016-12-26T11:29:00Z"/>
        <d v="2016-12-26T13:09:00Z"/>
        <d v="2016-12-27T07:02:00Z"/>
        <d v="2016-12-27T08:37:00Z"/>
        <d v="2016-12-27T12:53:00Z"/>
        <d v="2016-12-27T14:49:00Z"/>
        <d v="2016-12-27T16:34:00Z"/>
        <d v="2016-12-27T19:19:00Z"/>
        <d v="2016-12-28T08:34:00Z"/>
        <d v="2016-12-28T11:42:00Z"/>
        <d v="2016-12-28T13:53:00Z"/>
        <d v="2016-12-28T15:04:00Z"/>
        <d v="2016-12-28T17:02:00Z"/>
        <d v="2016-12-28T18:33:00Z"/>
        <d v="2016-12-28T22:44:00Z"/>
        <d v="2016-12-29T00:49:00Z"/>
        <d v="2016-12-29T09:44:00Z"/>
        <d v="2016-12-29T11:28:00Z"/>
        <d v="2016-12-29T12:25:00Z"/>
        <d v="2016-12-29T13:17:00Z"/>
        <d v="2016-12-29T13:56:00Z"/>
        <d v="2016-12-29T14:42:00Z"/>
        <d v="2016-12-29T15:05:00Z"/>
        <d v="2016-12-29T18:59:00Z"/>
        <d v="2016-12-29T19:50:00Z"/>
        <d v="2016-12-29T20:15:00Z"/>
        <d v="2016-12-29T20:53:00Z"/>
        <d v="2016-12-29T23:14:00Z"/>
        <d v="2016-12-30T10:15:00Z"/>
        <d v="2016-12-30T11:31:00Z"/>
        <d v="2016-12-30T15:41:00Z"/>
        <d v="2016-12-30T16:45:00Z"/>
        <d v="2016-12-30T23:06:00Z"/>
        <d v="2016-12-31T01:07:00Z"/>
        <d v="2016-12-31T13:24:00Z"/>
        <d v="2016-12-31T15:03:00Z"/>
        <d v="2016-12-31T21:32:00Z"/>
        <d v="2016-12-31T22:08:00Z"/>
      </sharedItems>
    </cacheField>
    <cacheField name="END_DATE" numFmtId="164">
      <sharedItems containsSemiMixedTypes="0" containsDate="1" containsString="0">
        <d v="2016-01-01T21:17:00Z"/>
        <d v="2016-01-02T01:37:00Z"/>
        <d v="2016-01-02T20:38:00Z"/>
        <d v="2016-01-05T17:45:00Z"/>
        <d v="2016-01-06T15:49:00Z"/>
        <d v="2016-01-06T17:19:00Z"/>
        <d v="2016-01-06T17:35:00Z"/>
        <d v="2016-01-07T13:33:00Z"/>
        <d v="2016-01-10T08:25:00Z"/>
        <d v="2016-01-10T12:44:00Z"/>
        <d v="2016-01-10T15:51:00Z"/>
        <d v="2016-01-10T18:53:00Z"/>
        <d v="2016-01-10T19:32:00Z"/>
        <d v="2016-01-11T09:21:00Z"/>
        <d v="2016-01-11T12:03:00Z"/>
        <d v="2016-01-11T13:46:00Z"/>
        <d v="2016-01-11T14:43:00Z"/>
        <d v="2016-01-12T12:49:00Z"/>
        <d v="2016-01-12T13:09:00Z"/>
        <d v="2016-01-12T14:56:00Z"/>
        <d v="2016-01-12T15:28:00Z"/>
        <d v="2016-01-12T15:54:00Z"/>
        <d v="2016-01-12T17:00:00Z"/>
        <d v="2016-01-13T14:07:00Z"/>
        <d v="2016-01-13T15:28:00Z"/>
        <d v="2016-01-14T17:05:00Z"/>
        <d v="2016-01-14T21:45:00Z"/>
        <d v="2016-01-15T01:01:00Z"/>
        <d v="2016-01-15T12:03:00Z"/>
        <d v="2016-01-15T13:44:00Z"/>
        <d v="2016-01-18T15:06:00Z"/>
        <d v="2016-01-18T16:24:00Z"/>
        <d v="2016-01-19T09:23:00Z"/>
        <d v="2016-01-19T11:09:00Z"/>
        <d v="2016-01-20T11:11:00Z"/>
        <d v="2016-01-20T12:19:00Z"/>
        <d v="2016-01-20T14:19:00Z"/>
        <d v="2016-01-21T14:29:00Z"/>
        <d v="2016-01-21T14:51:00Z"/>
        <d v="2016-01-21T16:06:00Z"/>
        <d v="2016-01-26T10:50:00Z"/>
        <d v="2016-01-26T12:41:00Z"/>
        <d v="2016-01-26T16:32:00Z"/>
        <d v="2016-01-26T17:22:00Z"/>
        <d v="2016-01-26T17:29:00Z"/>
        <d v="2016-01-27T09:31:00Z"/>
        <d v="2016-01-27T10:48:00Z"/>
        <d v="2016-01-27T12:44:00Z"/>
        <d v="2016-01-27T14:13:00Z"/>
        <d v="2016-01-27T15:08:00Z"/>
        <d v="2016-01-28T13:00:00Z"/>
        <d v="2016-01-28T15:31:00Z"/>
        <d v="2016-01-28T16:51:00Z"/>
        <d v="2016-01-29T09:45:00Z"/>
        <d v="2016-01-29T11:07:00Z"/>
        <d v="2016-01-29T12:03:00Z"/>
        <d v="2016-01-29T13:47:00Z"/>
        <d v="2016-01-29T18:52:00Z"/>
        <d v="2016-01-29T21:40:00Z"/>
        <d v="2016-01-30T16:33:00Z"/>
        <d v="2016-01-30T18:24:00Z"/>
        <d v="2016-02-01T11:15:00Z"/>
        <d v="2016-02-01T12:43:00Z"/>
        <d v="2016-02-01T13:07:00Z"/>
        <d v="2016-02-02T13:23:00Z"/>
        <d v="2016-02-02T14:06:00Z"/>
        <d v="2016-02-02T14:42:00Z"/>
        <d v="2016-02-04T09:01:00Z"/>
        <d v="2016-02-04T10:09:00Z"/>
        <d v="2016-02-04T10:32:00Z"/>
        <d v="2016-02-04T16:03:00Z"/>
        <d v="2016-02-04T16:39:00Z"/>
        <d v="2016-02-04T18:31:00Z"/>
        <d v="2016-02-04T20:55:00Z"/>
        <d v="2016-02-05T12:07:00Z"/>
        <d v="2016-02-05T13:41:00Z"/>
        <d v="2016-02-06T16:53:00Z"/>
        <d v="2016-02-06T19:21:00Z"/>
        <d v="2016-02-06T19:37:00Z"/>
        <d v="2016-02-07T17:01:00Z"/>
        <d v="2016-02-07T18:17:00Z"/>
        <d v="2016-02-07T18:53:00Z"/>
        <d v="2016-02-07T20:40:00Z"/>
        <d v="2016-02-08T13:08:00Z"/>
        <d v="2016-02-08T14:10:00Z"/>
        <d v="2016-02-09T11:07:00Z"/>
        <d v="2016-02-09T11:50:00Z"/>
        <d v="2016-02-09T13:52:00Z"/>
        <d v="2016-02-09T14:02:00Z"/>
        <d v="2016-02-09T19:11:00Z"/>
        <d v="2016-02-09T20:40:00Z"/>
        <d v="2016-02-11T17:10:00Z"/>
        <d v="2016-02-11T18:10:00Z"/>
        <d v="2016-02-11T18:46:00Z"/>
        <d v="2016-02-11T20:51:00Z"/>
        <d v="2016-02-12T08:42:00Z"/>
        <d v="2016-02-12T10:52:00Z"/>
        <d v="2016-02-12T11:35:00Z"/>
        <d v="2016-02-12T13:36:00Z"/>
        <d v="2016-02-12T15:06:00Z"/>
        <d v="2016-02-12T16:06:00Z"/>
        <d v="2016-02-13T14:41:00Z"/>
        <d v="2016-02-14T00:01:00Z"/>
        <d v="2016-02-14T01:00:00Z"/>
        <d v="2016-02-14T14:40:00Z"/>
        <d v="2016-02-14T15:03:00Z"/>
        <d v="2016-02-14T17:02:00Z"/>
        <d v="2016-02-14T17:29:00Z"/>
        <d v="2016-02-16T04:13:00Z"/>
        <d v="2016-02-16T09:34:00Z"/>
        <d v="2016-02-16T10:41:00Z"/>
        <d v="2016-02-16T12:02:00Z"/>
        <d v="2016-02-16T12:42:00Z"/>
        <d v="2016-02-16T13:55:00Z"/>
        <d v="2016-02-16T17:10:00Z"/>
        <d v="2016-02-16T17:26:00Z"/>
        <d v="2016-02-16T17:44:00Z"/>
        <d v="2016-02-17T14:04:00Z"/>
        <d v="2016-02-17T15:22:00Z"/>
        <d v="2016-02-17T16:17:00Z"/>
        <d v="2016-02-17T16:43:00Z"/>
        <d v="2016-02-18T08:27:00Z"/>
        <d v="2016-02-18T14:45:00Z"/>
        <d v="2016-02-18T15:31:00Z"/>
        <d v="2016-02-18T18:58:00Z"/>
        <d v="2016-02-18T20:08:00Z"/>
        <d v="2016-02-19T09:14:00Z"/>
        <d v="2016-02-19T09:51:00Z"/>
        <d v="2016-02-19T10:48:00Z"/>
        <d v="2016-02-19T11:26:00Z"/>
        <d v="2016-02-19T11:50:00Z"/>
        <d v="2016-02-19T12:27:00Z"/>
        <d v="2016-02-19T16:45:00Z"/>
        <d v="2016-02-19T17:20:00Z"/>
        <d v="2016-02-19T20:30:00Z"/>
        <d v="2016-02-19T20:51:00Z"/>
        <d v="2016-02-20T08:32:00Z"/>
        <d v="2016-02-20T10:56:00Z"/>
        <d v="2016-02-20T11:53:00Z"/>
        <d v="2016-02-20T13:17:00Z"/>
        <d v="2016-02-20T15:54:00Z"/>
        <d v="2016-02-20T17:54:00Z"/>
        <d v="2016-02-20T18:03:00Z"/>
        <d v="2016-02-20T19:49:00Z"/>
        <d v="2016-02-21T09:46:00Z"/>
        <d v="2016-02-21T11:43:00Z"/>
        <d v="2016-02-21T12:01:00Z"/>
        <d v="2016-02-21T12:35:00Z"/>
        <d v="2016-02-21T13:12:00Z"/>
        <d v="2016-02-21T14:30:00Z"/>
        <d v="2016-02-21T15:03:00Z"/>
        <d v="2016-02-21T15:31:00Z"/>
        <d v="2016-02-21T15:41:00Z"/>
        <d v="2016-02-21T16:32:00Z"/>
        <d v="2016-02-21T23:52:00Z"/>
        <d v="2016-02-22T22:09:00Z"/>
        <d v="2016-02-24T14:35:00Z"/>
        <d v="2016-02-24T15:25:00Z"/>
        <d v="2016-02-25T16:35:00Z"/>
        <d v="2016-02-25T17:02:00Z"/>
        <d v="2016-02-25T17:36:00Z"/>
        <d v="2016-02-25T18:39:00Z"/>
        <d v="2016-02-26T09:29:00Z"/>
        <d v="2016-02-26T11:11:00Z"/>
        <d v="2016-02-26T11:59:00Z"/>
        <d v="2016-02-26T13:24:00Z"/>
        <d v="2016-02-26T14:46:00Z"/>
        <d v="2016-02-26T15:18:00Z"/>
        <d v="2016-02-26T17:12:00Z"/>
        <d v="2016-02-28T05:38:00Z"/>
        <d v="2016-02-28T09:42:00Z"/>
        <d v="2016-02-29T11:14:00Z"/>
        <d v="2016-02-29T11:40:00Z"/>
        <d v="2016-02-29T12:48:00Z"/>
        <d v="2016-02-29T15:03:00Z"/>
        <d v="2016-02-29T17:00:00Z"/>
        <d v="2016-03-01T19:10:00Z"/>
        <d v="2016-03-01T21:45:00Z"/>
        <d v="2016-03-03T09:52:00Z"/>
        <d v="2016-03-03T11:10:00Z"/>
        <d v="2016-03-03T14:58:00Z"/>
        <d v="2016-03-03T15:48:00Z"/>
        <d v="2016-03-03T16:42:00Z"/>
        <d v="2016-03-04T08:06:00Z"/>
        <d v="2016-03-04T10:03:00Z"/>
        <d v="2016-03-04T12:06:00Z"/>
        <d v="2016-03-04T13:25:00Z"/>
        <d v="2016-03-04T14:09:00Z"/>
        <d v="2016-03-04T16:08:00Z"/>
        <d v="2016-03-04T16:22:00Z"/>
        <d v="2016-03-04T17:12:00Z"/>
        <d v="2016-03-04T19:08:00Z"/>
        <d v="2016-03-04T19:25:00Z"/>
        <d v="2016-03-05T11:59:00Z"/>
        <d v="2016-03-05T13:12:00Z"/>
        <d v="2016-03-05T14:18:00Z"/>
        <d v="2016-03-05T15:01:00Z"/>
        <d v="2016-03-05T17:13:00Z"/>
        <d v="2016-03-05T17:34:00Z"/>
        <d v="2016-03-07T09:20:00Z"/>
        <d v="2016-03-07T09:47:00Z"/>
        <d v="2016-03-07T12:26:00Z"/>
        <d v="2016-03-07T14:18:00Z"/>
        <d v="2016-03-07T15:45:00Z"/>
        <d v="2016-03-08T14:55:00Z"/>
        <d v="2016-03-08T16:00:00Z"/>
        <d v="2016-03-08T16:25:00Z"/>
        <d v="2016-03-10T03:53:00Z"/>
        <d v="2016-03-10T10:37:00Z"/>
        <d v="2016-03-10T14:55:00Z"/>
        <d v="2016-03-10T16:28:00Z"/>
        <d v="2016-03-11T09:59:00Z"/>
        <d v="2016-03-11T10:36:00Z"/>
        <d v="2016-03-11T12:04:00Z"/>
        <d v="2016-03-11T13:51:00Z"/>
        <d v="2016-03-11T19:35:00Z"/>
        <d v="2016-03-12T09:22:00Z"/>
        <d v="2016-03-12T18:37:00Z"/>
        <d v="2016-03-13T09:37:00Z"/>
        <d v="2016-03-13T18:43:00Z"/>
        <d v="2016-03-13T20:28:00Z"/>
        <d v="2016-03-13T20:58:00Z"/>
        <d v="2016-03-13T21:23:00Z"/>
        <d v="2016-03-13T22:39:00Z"/>
        <d v="2016-03-14T08:49:00Z"/>
        <d v="2016-03-14T18:55:00Z"/>
        <d v="2016-03-15T08:57:00Z"/>
        <d v="2016-03-15T21:01:00Z"/>
        <d v="2016-03-16T11:45:00Z"/>
        <d v="2016-03-16T14:55:00Z"/>
        <d v="2016-03-16T18:56:00Z"/>
        <d v="2016-03-17T00:44:00Z"/>
        <d v="2016-03-17T15:11:00Z"/>
        <d v="2016-03-17T15:58:00Z"/>
        <d v="2016-03-17T18:02:00Z"/>
        <d v="2016-03-17T19:09:00Z"/>
        <d v="2016-03-17T21:28:00Z"/>
        <d v="2016-03-17T22:04:00Z"/>
        <d v="2016-03-18T07:21:00Z"/>
        <d v="2016-03-18T08:43:00Z"/>
        <d v="2016-03-18T19:08:00Z"/>
        <d v="2016-03-18T19:29:00Z"/>
        <d v="2016-03-18T21:15:00Z"/>
        <d v="2016-03-19T09:25:00Z"/>
        <d v="2016-03-19T13:13:00Z"/>
        <d v="2016-03-19T14:57:00Z"/>
        <d v="2016-03-19T16:38:00Z"/>
        <d v="2016-03-19T17:32:00Z"/>
        <d v="2016-03-19T17:47:00Z"/>
        <d v="2016-03-19T18:00:00Z"/>
        <d v="2016-03-19T19:29:00Z"/>
        <d v="2016-03-19T20:39:00Z"/>
        <d v="2016-03-20T07:48:00Z"/>
        <d v="2016-03-20T11:56:00Z"/>
        <d v="2016-03-20T17:34:00Z"/>
        <d v="2016-03-20T18:40:00Z"/>
        <d v="2016-03-20T19:06:00Z"/>
        <d v="2016-03-21T10:26:00Z"/>
        <d v="2016-03-21T16:13:00Z"/>
        <d v="2016-03-21T19:15:00Z"/>
        <d v="2016-03-21T20:55:00Z"/>
        <d v="2016-03-22T06:43:00Z"/>
        <d v="2016-03-22T12:24:00Z"/>
        <d v="2016-03-22T19:25:00Z"/>
        <d v="2016-03-23T14:42:00Z"/>
        <d v="2016-03-23T14:59:00Z"/>
        <d v="2016-03-24T19:54:00Z"/>
        <d v="2016-03-24T20:40:00Z"/>
        <d v="2016-03-25T16:22:00Z"/>
        <d v="2016-03-25T22:22:00Z"/>
        <d v="2016-03-26T01:39:00Z"/>
        <d v="2016-03-26T14:29:00Z"/>
        <d v="2016-03-26T15:49:00Z"/>
        <d v="2016-03-26T16:30:00Z"/>
        <d v="2016-03-27T00:40:00Z"/>
        <d v="2016-03-27T01:23:00Z"/>
        <d v="2016-03-27T15:56:00Z"/>
        <d v="2016-03-27T21:41:00Z"/>
        <d v="2016-03-27T23:18:00Z"/>
        <d v="2016-03-28T12:42:00Z"/>
        <d v="2016-03-28T20:23:00Z"/>
        <d v="2016-03-28T23:26:00Z"/>
        <d v="2016-03-29T16:11:00Z"/>
        <d v="2016-03-29T18:39:00Z"/>
        <d v="2016-03-29T20:44:00Z"/>
        <d v="2016-03-29T23:21:00Z"/>
        <d v="2016-03-30T22:55:00Z"/>
        <d v="2016-03-31T13:22:00Z"/>
        <d v="2016-03-31T15:09:00Z"/>
        <d v="2016-04-01T14:01:00Z"/>
        <d v="2016-04-01T15:24:00Z"/>
        <d v="2016-04-01T16:49:00Z"/>
        <d v="2016-04-01T16:57:00Z"/>
        <d v="2016-04-02T09:04:00Z"/>
        <d v="2016-04-02T11:16:00Z"/>
        <d v="2016-04-02T14:47:00Z"/>
        <d v="2016-04-02T18:09:00Z"/>
        <d v="2016-04-02T22:36:00Z"/>
        <d v="2016-04-03T01:34:00Z"/>
        <d v="2016-04-03T04:16:00Z"/>
        <d v="2016-04-05T21:55:00Z"/>
        <d v="2016-04-06T00:39:00Z"/>
        <d v="2016-04-07T18:39:00Z"/>
        <d v="2016-04-07T20:00:00Z"/>
        <d v="2016-04-08T12:48:00Z"/>
        <d v="2016-04-08T13:51:00Z"/>
        <d v="2016-04-08T14:03:00Z"/>
        <d v="2016-04-08T15:20:00Z"/>
        <d v="2016-04-08T16:47:00Z"/>
        <d v="2016-04-12T09:26:00Z"/>
        <d v="2016-04-12T09:53:00Z"/>
        <d v="2016-04-12T11:18:00Z"/>
        <d v="2016-04-12T12:44:00Z"/>
        <d v="2016-04-12T14:01:00Z"/>
        <d v="2016-04-14T08:09:00Z"/>
        <d v="2016-04-14T16:43:00Z"/>
        <d v="2016-04-15T12:07:00Z"/>
        <d v="2016-04-15T12:32:00Z"/>
        <d v="2016-04-15T15:01:00Z"/>
        <d v="2016-04-16T13:17:00Z"/>
        <d v="2016-04-16T15:26:00Z"/>
        <d v="2016-04-19T18:08:00Z"/>
        <d v="2016-04-19T20:19:00Z"/>
        <d v="2016-04-22T09:04:00Z"/>
        <d v="2016-04-22T10:40:00Z"/>
        <d v="2016-04-22T12:28:00Z"/>
        <d v="2016-04-22T13:26:00Z"/>
        <d v="2016-04-23T17:16:00Z"/>
        <d v="2016-04-23T19:05:00Z"/>
        <d v="2016-04-24T19:16:00Z"/>
        <d v="2016-04-24T19:52:00Z"/>
        <d v="2016-04-24T21:50:00Z"/>
        <d v="2016-04-27T13:40:00Z"/>
        <d v="2016-04-27T14:25:00Z"/>
        <d v="2016-04-28T12:34:00Z"/>
        <d v="2016-04-28T13:49:00Z"/>
        <d v="2016-04-28T22:28:00Z"/>
        <d v="2016-04-29T12:01:00Z"/>
        <d v="2016-04-29T13:34:00Z"/>
        <d v="2016-04-29T19:18:00Z"/>
        <d v="2016-04-29T23:19:00Z"/>
        <d v="2016-04-30T18:57:00Z"/>
        <d v="2016-04-30T22:34:00Z"/>
        <d v="2016-05-01T13:53:00Z"/>
        <d v="2016-05-01T14:31:00Z"/>
        <d v="2016-05-01T17:45:00Z"/>
        <d v="2016-05-01T18:10:00Z"/>
        <d v="2016-05-01T22:49:00Z"/>
        <d v="2016-05-02T14:21:00Z"/>
        <d v="2016-05-02T15:48:00Z"/>
        <d v="2016-05-03T22:28:00Z"/>
        <d v="2016-05-04T15:37:00Z"/>
        <d v="2016-05-04T21:14:00Z"/>
        <d v="2016-05-04T21:36:00Z"/>
        <d v="2016-05-04T22:27:00Z"/>
        <d v="2016-05-05T21:36:00Z"/>
        <d v="2016-05-05T22:40:00Z"/>
        <d v="2016-05-06T00:08:00Z"/>
        <d v="2016-05-06T06:02:00Z"/>
        <d v="2016-05-06T16:59:00Z"/>
        <d v="2016-05-06T17:44:00Z"/>
        <d v="2016-05-09T06:25:00Z"/>
        <d v="2016-05-09T15:06:00Z"/>
        <d v="2016-05-09T18:26:00Z"/>
        <d v="2016-05-09T19:59:00Z"/>
        <d v="2016-05-10T09:20:00Z"/>
        <d v="2016-05-10T17:31:00Z"/>
        <d v="2016-05-11T09:12:00Z"/>
        <d v="2016-05-11T22:04:00Z"/>
        <d v="2016-05-14T18:39:00Z"/>
        <d v="2016-05-14T23:05:00Z"/>
        <d v="2016-05-17T13:23:00Z"/>
        <d v="2016-05-17T14:08:00Z"/>
        <d v="2016-05-17T14:40:00Z"/>
        <d v="2016-05-18T09:41:00Z"/>
        <d v="2016-05-18T13:02:00Z"/>
        <d v="2016-05-19T15:01:00Z"/>
        <d v="2016-05-20T11:07:00Z"/>
        <d v="2016-05-20T16:12:00Z"/>
        <d v="2016-05-22T15:46:00Z"/>
        <d v="2016-05-22T18:53:00Z"/>
        <d v="2016-05-23T20:27:00Z"/>
        <d v="2016-05-23T21:21:00Z"/>
        <d v="2016-05-27T20:30:00Z"/>
        <d v="2016-05-27T20:53:00Z"/>
        <d v="2016-05-27T22:14:00Z"/>
        <d v="2016-05-28T00:21:00Z"/>
        <d v="2016-05-28T13:06:00Z"/>
        <d v="2016-05-28T15:04:00Z"/>
        <d v="2016-05-31T14:41:00Z"/>
        <d v="2016-05-31T16:39:00Z"/>
        <d v="2016-05-31T17:59:00Z"/>
        <d v="2016-06-01T10:47:00Z"/>
        <d v="2016-06-01T13:39:00Z"/>
        <d v="2016-06-03T11:49:00Z"/>
        <d v="2016-06-03T13:38:00Z"/>
        <d v="2016-06-03T15:54:00Z"/>
        <d v="2016-06-03T18:29:00Z"/>
        <d v="2016-06-03T18:53:00Z"/>
        <d v="2016-06-03T19:42:00Z"/>
        <d v="2016-06-03T23:06:00Z"/>
        <d v="2016-06-05T14:33:00Z"/>
        <d v="2016-06-05T15:22:00Z"/>
        <d v="2016-06-05T16:08:00Z"/>
        <d v="2016-06-05T18:14:00Z"/>
        <d v="2016-06-05T22:05:00Z"/>
        <d v="2016-06-06T00:08:00Z"/>
        <d v="2016-06-06T15:45:00Z"/>
        <d v="2016-06-06T16:24:00Z"/>
        <d v="2016-06-06T20:20:00Z"/>
        <d v="2016-06-06T21:37:00Z"/>
        <d v="2016-06-06T22:00:00Z"/>
        <d v="2016-06-06T23:48:00Z"/>
        <d v="2016-06-07T22:00:00Z"/>
        <d v="2016-06-08T00:04:00Z"/>
        <d v="2016-06-08T08:53:00Z"/>
        <d v="2016-06-08T13:01:00Z"/>
        <d v="2016-06-08T13:29:00Z"/>
        <d v="2016-06-08T14:37:00Z"/>
        <d v="2016-06-08T17:11:00Z"/>
        <d v="2016-06-08T17:18:00Z"/>
        <d v="2016-06-08T18:05:00Z"/>
        <d v="2016-06-08T20:25:00Z"/>
        <d v="2016-06-10T16:28:00Z"/>
        <d v="2016-06-10T22:04:00Z"/>
        <d v="2016-06-11T00:01:00Z"/>
        <d v="2016-06-11T17:16:00Z"/>
        <d v="2016-06-11T17:39:00Z"/>
        <d v="2016-06-11T17:56:00Z"/>
        <d v="2016-06-11T22:04:00Z"/>
        <d v="2016-06-12T00:05:00Z"/>
        <d v="2016-06-12T19:56:00Z"/>
        <d v="2016-06-12T20:16:00Z"/>
        <d v="2016-06-12T22:19:00Z"/>
        <d v="2016-06-13T05:42:00Z"/>
        <d v="2016-06-13T14:46:00Z"/>
        <d v="2016-06-13T18:47:00Z"/>
        <d v="2016-06-13T19:23:00Z"/>
        <d v="2016-06-13T20:05:00Z"/>
        <d v="2016-06-14T12:21:00Z"/>
        <d v="2016-06-14T16:39:00Z"/>
        <d v="2016-06-14T17:24:00Z"/>
        <d v="2016-06-14T17:57:00Z"/>
        <d v="2016-06-15T02:06:00Z"/>
        <d v="2016-06-15T15:34:00Z"/>
        <d v="2016-06-15T17:02:00Z"/>
        <d v="2016-06-15T17:49:00Z"/>
        <d v="2016-06-15T19:58:00Z"/>
        <d v="2016-06-16T14:30:00Z"/>
        <d v="2016-06-16T14:46:00Z"/>
        <d v="2016-06-16T15:41:00Z"/>
        <d v="2016-06-16T19:56:00Z"/>
        <d v="2016-06-16T21:56:00Z"/>
        <d v="2016-06-17T16:44:00Z"/>
        <d v="2016-06-18T00:51:00Z"/>
        <d v="2016-06-19T02:50:00Z"/>
        <d v="2016-06-19T06:00:00Z"/>
        <d v="2016-06-21T16:08:00Z"/>
        <d v="2016-06-21T18:02:00Z"/>
        <d v="2016-06-24T10:57:00Z"/>
        <d v="2016-06-24T12:01:00Z"/>
        <d v="2016-06-24T12:37:00Z"/>
        <d v="2016-06-24T13:12:00Z"/>
        <d v="2016-06-24T13:27:00Z"/>
        <d v="2016-06-24T14:20:00Z"/>
        <d v="2016-06-24T21:02:00Z"/>
        <d v="2016-06-25T09:12:00Z"/>
        <d v="2016-06-25T10:08:00Z"/>
        <d v="2016-06-25T10:25:00Z"/>
        <d v="2016-06-25T11:18:00Z"/>
        <d v="2016-06-25T11:34:00Z"/>
        <d v="2016-06-25T13:21:00Z"/>
        <d v="2016-06-25T19:58:00Z"/>
        <d v="2016-06-25T23:26:00Z"/>
        <d v="2016-06-26T18:18:00Z"/>
        <d v="2016-06-26T19:12:00Z"/>
        <d v="2016-06-26T19:50:00Z"/>
        <d v="2016-06-26T21:42:00Z"/>
        <d v="2016-06-27T08:48:00Z"/>
        <d v="2016-06-27T09:00:00Z"/>
        <d v="2016-06-27T09:33:00Z"/>
        <d v="2016-06-27T10:08:00Z"/>
        <d v="2016-06-27T10:39:00Z"/>
        <d v="2016-06-27T10:58:00Z"/>
        <d v="2016-06-27T11:24:00Z"/>
        <d v="2016-06-27T11:42:00Z"/>
        <d v="2016-06-27T13:02:00Z"/>
        <d v="2016-06-27T14:05:00Z"/>
        <d v="2016-06-27T21:19:00Z"/>
        <d v="2016-06-28T01:05:00Z"/>
        <d v="2016-06-28T20:33:00Z"/>
        <d v="2016-06-28T23:59:00Z"/>
        <d v="2016-06-29T09:24:00Z"/>
        <d v="2016-06-29T10:38:00Z"/>
        <d v="2016-06-29T11:51:00Z"/>
        <d v="2016-06-29T12:16:00Z"/>
        <d v="2016-06-29T20:29:00Z"/>
        <d v="2016-06-30T00:00:00Z"/>
        <d v="2016-06-30T20:26:00Z"/>
        <d v="2016-07-01T00:25:00Z"/>
        <d v="2016-07-01T09:57:00Z"/>
        <d v="2016-07-01T13:00:00Z"/>
        <d v="2016-07-01T20:24:00Z"/>
        <d v="2016-07-02T00:09:00Z"/>
        <d v="2016-07-02T20:36:00Z"/>
        <d v="2016-07-03T00:12:00Z"/>
        <d v="2016-07-03T00:38:00Z"/>
        <d v="2016-07-03T03:08:00Z"/>
        <d v="2016-07-03T20:18:00Z"/>
        <d v="2016-07-04T00:47:00Z"/>
        <d v="2016-07-04T17:49:00Z"/>
        <d v="2016-07-04T18:49:00Z"/>
        <d v="2016-07-04T20:17:00Z"/>
        <d v="2016-07-05T00:05:00Z"/>
        <d v="2016-07-05T00:28:00Z"/>
        <d v="2016-07-05T16:52:00Z"/>
        <d v="2016-07-05T20:26:00Z"/>
        <d v="2016-07-05T23:02:00Z"/>
        <d v="2016-07-06T00:53:00Z"/>
        <d v="2016-07-06T09:25:00Z"/>
        <d v="2016-07-06T13:08:00Z"/>
        <d v="2016-07-06T20:14:00Z"/>
        <d v="2016-07-06T23:59:00Z"/>
        <d v="2016-07-07T08:50:00Z"/>
        <d v="2016-07-07T10:33:00Z"/>
        <d v="2016-07-07T13:35:00Z"/>
        <d v="2016-07-08T10:13:00Z"/>
        <d v="2016-07-08T11:12:00Z"/>
        <d v="2016-07-08T14:11:00Z"/>
        <d v="2016-07-08T17:30:00Z"/>
        <d v="2016-07-09T09:46:00Z"/>
        <d v="2016-07-09T10:06:00Z"/>
        <d v="2016-07-09T10:33:00Z"/>
        <d v="2016-07-10T14:17:00Z"/>
        <d v="2016-07-10T16:15:00Z"/>
        <d v="2016-07-10T18:21:00Z"/>
        <d v="2016-07-10T20:08:00Z"/>
        <d v="2016-07-12T16:45:00Z"/>
        <d v="2016-07-12T19:26:00Z"/>
        <d v="2016-07-13T00:11:00Z"/>
        <d v="2016-07-13T13:20:00Z"/>
        <d v="2016-07-13T13:39:00Z"/>
        <d v="2016-07-13T13:54:00Z"/>
        <d v="2016-07-14T15:59:00Z"/>
        <d v="2016-07-14T16:34:00Z"/>
        <d v="2016-07-14T20:05:00Z"/>
        <d v="2016-07-15T11:53:00Z"/>
        <d v="2016-07-15T12:19:00Z"/>
        <d v="2016-07-15T13:15:00Z"/>
        <d v="2016-07-15T15:33:00Z"/>
        <d v="2016-07-15T15:52:00Z"/>
        <d v="2016-07-16T14:10:00Z"/>
        <d v="2016-07-16T14:30:00Z"/>
        <d v="2016-07-16T16:57:00Z"/>
        <d v="2016-07-16T20:35:00Z"/>
        <d v="2016-07-16T22:18:00Z"/>
        <d v="2016-07-16T23:03:00Z"/>
        <d v="2016-07-17T11:50:00Z"/>
        <d v="2016-07-17T15:25:00Z"/>
        <d v="2016-07-18T10:49:00Z"/>
        <d v="2016-07-18T11:15:00Z"/>
        <d v="2016-07-18T11:36:00Z"/>
        <d v="2016-07-18T11:56:00Z"/>
        <d v="2016-07-18T17:33:00Z"/>
        <d v="2016-07-18T18:47:00Z"/>
        <d v="2016-07-18T19:14:00Z"/>
        <d v="2016-07-18T20:32:00Z"/>
        <d v="2016-07-18T21:19:00Z"/>
        <d v="2016-07-19T10:51:00Z"/>
        <d v="2016-07-19T11:11:00Z"/>
        <d v="2016-07-19T12:00:00Z"/>
        <d v="2016-07-19T17:24:00Z"/>
        <d v="2016-07-19T18:08:00Z"/>
        <d v="2016-07-20T17:24:00Z"/>
        <d v="2016-07-20T17:57:00Z"/>
        <d v="2016-07-20T18:20:00Z"/>
        <d v="2016-07-21T17:23:00Z"/>
        <d v="2016-07-21T17:51:00Z"/>
        <d v="2016-07-21T18:42:00Z"/>
        <d v="2016-07-21T19:39:00Z"/>
        <d v="2016-07-22T10:53:00Z"/>
        <d v="2016-07-22T11:25:00Z"/>
        <d v="2016-07-22T12:00:00Z"/>
        <d v="2016-07-22T12:31:00Z"/>
        <d v="2016-07-22T13:42:00Z"/>
        <d v="2016-07-22T14:43:00Z"/>
        <d v="2016-07-22T16:22:00Z"/>
        <d v="2016-07-22T18:51:00Z"/>
        <d v="2016-07-23T14:44:00Z"/>
        <d v="2016-07-23T15:12:00Z"/>
        <d v="2016-07-23T15:27:00Z"/>
        <d v="2016-07-23T16:10:00Z"/>
        <d v="2016-07-23T20:33:00Z"/>
        <d v="2016-07-23T23:43:00Z"/>
        <d v="2016-07-25T10:41:00Z"/>
        <d v="2016-07-25T10:58:00Z"/>
        <d v="2016-07-25T11:33:00Z"/>
        <d v="2016-07-25T11:44:00Z"/>
        <d v="2016-07-26T15:49:00Z"/>
        <d v="2016-07-26T17:24:00Z"/>
        <d v="2016-07-26T21:00:00Z"/>
        <d v="2016-07-26T22:39:00Z"/>
        <d v="2016-07-27T19:20:00Z"/>
        <d v="2016-07-27T21:57:00Z"/>
        <d v="2016-07-27T22:26:00Z"/>
        <d v="2016-07-28T00:09:00Z"/>
        <d v="2016-07-29T15:47:00Z"/>
        <d v="2016-07-29T17:45:00Z"/>
        <d v="2016-07-30T17:27:00Z"/>
        <d v="2016-07-30T21:41:00Z"/>
        <d v="2016-07-31T17:37:00Z"/>
        <d v="2016-08-01T13:04:00Z"/>
        <d v="2016-08-01T13:19:00Z"/>
        <d v="2016-08-01T13:46:00Z"/>
        <d v="2016-08-01T14:14:00Z"/>
        <d v="2016-08-01T15:47:00Z"/>
        <d v="2016-08-01T16:25:00Z"/>
        <d v="2016-08-01T16:59:00Z"/>
        <d v="2016-08-01T17:55:00Z"/>
        <d v="2016-08-02T08:32:00Z"/>
        <d v="2016-08-02T12:15:00Z"/>
        <d v="2016-08-02T19:23:00Z"/>
        <d v="2016-08-02T21:29:00Z"/>
        <d v="2016-08-03T13:00:00Z"/>
        <d v="2016-08-03T15:03:00Z"/>
        <d v="2016-08-03T16:04:00Z"/>
        <d v="2016-08-05T17:30:00Z"/>
        <d v="2016-08-05T18:21:00Z"/>
        <d v="2016-08-05T19:27:00Z"/>
        <d v="2016-08-06T06:58:00Z"/>
        <d v="2016-08-06T09:53:00Z"/>
        <d v="2016-08-07T17:23:00Z"/>
        <d v="2016-08-07T17:43:00Z"/>
        <d v="2016-08-07T18:23:00Z"/>
        <d v="2016-08-07T20:23:00Z"/>
        <d v="2016-08-08T16:31:00Z"/>
        <d v="2016-08-08T16:50:00Z"/>
        <d v="2016-08-08T17:13:00Z"/>
        <d v="2016-08-08T22:15:00Z"/>
        <d v="2016-08-08T23:37:00Z"/>
        <d v="2016-08-09T14:38:00Z"/>
        <d v="2016-08-09T15:36:00Z"/>
        <d v="2016-08-09T16:37:00Z"/>
        <d v="2016-08-10T17:24:00Z"/>
        <d v="2016-08-10T18:28:00Z"/>
        <d v="2016-08-10T18:50:00Z"/>
        <d v="2016-08-10T20:02:00Z"/>
        <d v="2016-08-11T13:00:00Z"/>
        <d v="2016-08-11T13:28:00Z"/>
        <d v="2016-08-11T13:42:00Z"/>
        <d v="2016-08-11T19:29:00Z"/>
        <d v="2016-08-11T21:44:00Z"/>
        <d v="2016-08-12T18:52:00Z"/>
        <d v="2016-08-12T19:05:00Z"/>
        <d v="2016-08-13T15:58:00Z"/>
        <d v="2016-08-15T09:52:00Z"/>
        <d v="2016-08-15T15:47:00Z"/>
        <d v="2016-08-15T17:30:00Z"/>
        <d v="2016-08-15T20:30:00Z"/>
        <d v="2016-08-16T08:11:00Z"/>
        <d v="2016-08-16T08:23:00Z"/>
        <d v="2016-08-16T08:53:00Z"/>
        <d v="2016-08-16T10:27:00Z"/>
        <d v="2016-08-16T10:38:00Z"/>
        <d v="2016-08-16T12:03:00Z"/>
        <d v="2016-08-16T15:36:00Z"/>
        <d v="2016-08-17T10:41:00Z"/>
        <d v="2016-08-17T11:20:00Z"/>
        <d v="2016-08-17T14:50:00Z"/>
        <d v="2016-08-17T15:47:00Z"/>
        <d v="2016-08-17T16:50:00Z"/>
        <d v="2016-08-17T17:00:00Z"/>
        <d v="2016-08-17T17:34:00Z"/>
        <d v="2016-08-17T18:57:00Z"/>
        <d v="2016-08-18T19:07:00Z"/>
        <d v="2016-08-19T08:45:00Z"/>
        <d v="2016-08-19T09:07:00Z"/>
        <d v="2016-08-19T09:47:00Z"/>
        <d v="2016-08-19T11:06:00Z"/>
        <d v="2016-08-19T12:24:00Z"/>
        <d v="2016-08-19T16:06:00Z"/>
        <d v="2016-08-19T17:52:00Z"/>
        <d v="2016-08-21T10:29:00Z"/>
        <d v="2016-08-21T14:34:00Z"/>
        <d v="2016-08-21T17:02:00Z"/>
        <d v="2016-08-21T18:17:00Z"/>
        <d v="2016-08-21T19:24:00Z"/>
        <d v="2016-08-22T10:44:00Z"/>
        <d v="2016-08-22T11:23:00Z"/>
        <d v="2016-08-22T12:49:00Z"/>
        <d v="2016-08-22T13:11:00Z"/>
        <d v="2016-08-22T14:31:00Z"/>
        <d v="2016-08-22T15:49:00Z"/>
        <d v="2016-08-22T17:16:00Z"/>
        <d v="2016-08-22T20:50:00Z"/>
        <d v="2016-08-22T21:31:00Z"/>
        <d v="2016-08-22T23:00:00Z"/>
        <d v="2016-08-23T08:25:00Z"/>
        <d v="2016-08-23T10:09:00Z"/>
        <d v="2016-08-23T13:15:00Z"/>
        <d v="2016-08-23T13:30:00Z"/>
        <d v="2016-08-23T14:04:00Z"/>
        <d v="2016-08-23T15:12:00Z"/>
        <d v="2016-08-23T17:16:00Z"/>
        <d v="2016-08-23T18:31:00Z"/>
        <d v="2016-08-24T12:56:00Z"/>
        <d v="2016-08-24T15:25:00Z"/>
        <d v="2016-08-25T16:22:00Z"/>
        <d v="2016-08-25T16:56:00Z"/>
        <d v="2016-08-25T19:20:00Z"/>
        <d v="2016-08-25T19:57:00Z"/>
        <d v="2016-08-25T23:16:00Z"/>
        <d v="2016-08-26T09:20:00Z"/>
        <d v="2016-08-26T11:26:00Z"/>
        <d v="2016-08-26T12:20:00Z"/>
        <d v="2016-08-26T14:33:00Z"/>
        <d v="2016-08-26T15:35:00Z"/>
        <d v="2016-08-26T16:24:00Z"/>
        <d v="2016-08-26T17:12:00Z"/>
        <d v="2016-08-26T18:56:00Z"/>
        <d v="2016-08-26T19:54:00Z"/>
        <d v="2016-08-26T20:16:00Z"/>
        <d v="2016-08-27T10:11:00Z"/>
        <d v="2016-08-27T12:06:00Z"/>
        <d v="2016-08-27T12:17:00Z"/>
        <d v="2016-08-27T15:44:00Z"/>
        <d v="2016-08-27T19:13:00Z"/>
        <d v="2016-08-28T10:18:00Z"/>
        <d v="2016-08-28T16:55:00Z"/>
        <d v="2016-08-28T17:55:00Z"/>
        <d v="2016-08-28T21:59:00Z"/>
        <d v="2016-08-29T12:31:00Z"/>
        <d v="2016-08-29T13:48:00Z"/>
        <d v="2016-08-29T14:41:00Z"/>
        <d v="2016-08-29T15:04:00Z"/>
        <d v="2016-08-29T15:59:00Z"/>
        <d v="2016-08-29T16:21:00Z"/>
        <d v="2016-08-29T17:41:00Z"/>
        <d v="2016-08-29T18:36:00Z"/>
        <d v="2016-08-30T12:05:00Z"/>
        <d v="2016-08-30T13:09:00Z"/>
        <d v="2016-08-30T13:46:00Z"/>
        <d v="2016-08-30T14:20:00Z"/>
        <d v="2016-08-30T18:09:00Z"/>
        <d v="2016-09-01T12:24:00Z"/>
        <d v="2016-09-01T17:36:00Z"/>
        <d v="2016-09-01T19:08:00Z"/>
        <d v="2016-09-02T12:24:00Z"/>
        <d v="2016-09-02T19:37:00Z"/>
        <d v="2016-09-05T10:44:00Z"/>
        <d v="2016-09-10T10:45:00Z"/>
        <d v="2016-09-11T09:55:00Z"/>
        <d v="2016-09-11T21:42:00Z"/>
        <d v="2016-09-12T08:12:00Z"/>
        <d v="2016-09-12T11:24:00Z"/>
        <d v="2016-09-12T13:44:00Z"/>
        <d v="2016-09-13T17:02:00Z"/>
        <d v="2016-09-14T11:59:00Z"/>
        <d v="2016-09-15T20:38:00Z"/>
        <d v="2016-09-18T18:11:00Z"/>
        <d v="2016-09-19T06:49:00Z"/>
        <d v="2016-09-19T14:56:00Z"/>
        <d v="2016-09-19T16:31:00Z"/>
        <d v="2016-09-19T18:20:00Z"/>
        <d v="2016-09-19T19:49:00Z"/>
        <d v="2016-09-20T11:48:00Z"/>
        <d v="2016-09-20T22:47:00Z"/>
        <d v="2016-09-23T13:40:00Z"/>
        <d v="2016-09-24T15:15:00Z"/>
        <d v="2016-09-24T20:33:00Z"/>
        <d v="2016-09-27T08:35:00Z"/>
        <d v="2016-09-27T14:43:00Z"/>
        <d v="2016-09-27T20:34:00Z"/>
        <d v="2016-09-28T02:37:00Z"/>
        <d v="2016-09-28T19:36:00Z"/>
        <d v="2016-09-29T18:47:00Z"/>
        <d v="2016-09-30T20:20:00Z"/>
        <d v="2016-09-30T22:34:00Z"/>
        <d v="2016-10-03T17:12:00Z"/>
        <d v="2016-10-03T18:34:00Z"/>
        <d v="2016-10-03T19:01:00Z"/>
        <d v="2016-10-03T22:33:00Z"/>
        <d v="2016-10-04T10:52:00Z"/>
        <d v="2016-10-04T12:18:00Z"/>
        <d v="2016-10-06T11:36:00Z"/>
        <d v="2016-10-06T17:40:00Z"/>
        <d v="2016-10-06T18:39:00Z"/>
        <d v="2016-10-06T20:26:00Z"/>
        <d v="2016-10-07T10:59:00Z"/>
        <d v="2016-10-07T11:50:00Z"/>
        <d v="2016-10-07T14:08:00Z"/>
        <d v="2016-10-07T15:11:00Z"/>
        <d v="2016-10-07T16:02:00Z"/>
        <d v="2016-10-07T18:27:00Z"/>
        <d v="2016-10-07T19:01:00Z"/>
        <d v="2016-10-08T18:18:00Z"/>
        <d v="2016-10-09T14:23:00Z"/>
        <d v="2016-10-10T17:28:00Z"/>
        <d v="2016-10-10T18:13:00Z"/>
        <d v="2016-10-11T02:08:00Z"/>
        <d v="2016-10-12T19:21:00Z"/>
        <d v="2016-10-13T11:58:00Z"/>
        <d v="2016-10-13T12:14:00Z"/>
        <d v="2016-10-13T13:46:00Z"/>
        <d v="2016-10-13T16:53:00Z"/>
        <d v="2016-10-14T09:44:00Z"/>
        <d v="2016-10-14T10:52:00Z"/>
        <d v="2016-10-14T16:20:00Z"/>
        <d v="2016-10-15T02:06:00Z"/>
        <d v="2016-10-15T22:48:00Z"/>
        <d v="2016-10-16T00:14:00Z"/>
        <d v="2016-10-16T13:11:00Z"/>
        <d v="2016-10-16T15:01:00Z"/>
        <d v="2016-10-16T15:19:00Z"/>
        <d v="2016-10-16T19:33:00Z"/>
        <d v="2016-10-16T20:39:00Z"/>
        <d v="2016-10-16T21:41:00Z"/>
        <d v="2016-10-17T15:57:00Z"/>
        <d v="2016-10-17T17:11:00Z"/>
        <d v="2016-10-17T18:16:00Z"/>
        <d v="2016-10-17T18:45:00Z"/>
        <d v="2016-10-17T19:25:00Z"/>
        <d v="2016-10-18T08:22:00Z"/>
        <d v="2016-10-18T09:02:00Z"/>
        <d v="2016-10-18T11:09:00Z"/>
        <d v="2016-10-18T18:33:00Z"/>
        <d v="2016-10-18T19:13:00Z"/>
        <d v="2016-10-18T20:37:00Z"/>
        <d v="2016-10-19T09:47:00Z"/>
        <d v="2016-10-19T10:21:00Z"/>
        <d v="2016-10-19T13:56:00Z"/>
        <d v="2016-10-19T14:31:00Z"/>
        <d v="2016-10-19T16:02:00Z"/>
        <d v="2016-10-19T16:19:00Z"/>
        <d v="2016-10-19T17:01:00Z"/>
        <d v="2016-10-20T11:34:00Z"/>
        <d v="2016-10-20T13:17:00Z"/>
        <d v="2016-10-20T21:37:00Z"/>
        <d v="2016-10-21T10:21:00Z"/>
        <d v="2016-10-22T01:09:00Z"/>
        <d v="2016-10-22T14:03:00Z"/>
        <d v="2016-10-22T17:55:00Z"/>
        <d v="2016-10-23T10:05:00Z"/>
        <d v="2016-10-23T12:59:00Z"/>
        <d v="2016-10-23T19:14:00Z"/>
        <d v="2016-10-23T21:25:00Z"/>
        <d v="2016-10-24T15:26:00Z"/>
        <d v="2016-10-24T16:13:00Z"/>
        <d v="2016-10-24T16:41:00Z"/>
        <d v="2016-10-25T14:08:00Z"/>
        <d v="2016-10-25T15:11:00Z"/>
        <d v="2016-10-25T15:33:00Z"/>
        <d v="2016-10-25T20:11:00Z"/>
        <d v="2016-10-25T21:03:00Z"/>
        <d v="2016-10-25T22:45:00Z"/>
        <d v="2016-10-26T19:31:00Z"/>
        <d v="2016-10-26T21:03:00Z"/>
        <d v="2016-10-27T19:16:00Z"/>
        <d v="2016-10-27T19:35:00Z"/>
        <d v="2016-10-27T20:21:00Z"/>
        <d v="2016-10-27T20:54:00Z"/>
        <d v="2016-10-27T21:48:00Z"/>
        <d v="2016-10-28T11:52:00Z"/>
        <d v="2016-10-28T13:36:00Z"/>
        <d v="2016-10-28T17:59:00Z"/>
        <d v="2016-10-28T20:07:00Z"/>
        <d v="2016-10-28T22:00:00Z"/>
        <d v="2016-10-29T17:05:00Z"/>
        <d v="2016-10-29T19:19:00Z"/>
        <d v="2016-10-30T08:30:00Z"/>
        <d v="2016-10-30T10:09:00Z"/>
        <d v="2016-10-30T10:38:00Z"/>
        <d v="2016-10-30T11:21:00Z"/>
        <d v="2016-10-30T12:35:00Z"/>
        <d v="2016-10-30T13:18:00Z"/>
        <d v="2016-10-30T14:37:00Z"/>
        <d v="2016-10-30T18:23:00Z"/>
        <d v="2016-10-30T19:39:00Z"/>
        <d v="2016-10-31T18:20:00Z"/>
        <d v="2016-10-31T19:16:00Z"/>
        <d v="2016-10-31T20:44:00Z"/>
        <d v="2016-10-31T22:10:00Z"/>
        <d v="2016-11-01T12:27:00Z"/>
        <d v="2016-11-01T17:02:00Z"/>
        <d v="2016-11-01T17:42:00Z"/>
        <d v="2016-11-01T19:20:00Z"/>
        <d v="2016-11-01T20:12:00Z"/>
        <d v="2016-11-01T20:55:00Z"/>
        <d v="2016-11-02T15:18:00Z"/>
        <d v="2016-11-02T15:52:00Z"/>
        <d v="2016-11-02T17:11:00Z"/>
        <d v="2016-11-02T17:49:00Z"/>
        <d v="2016-11-02T18:00:00Z"/>
        <d v="2016-11-03T11:34:00Z"/>
        <d v="2016-11-03T12:49:00Z"/>
        <d v="2016-11-03T13:47:00Z"/>
        <d v="2016-11-03T14:26:00Z"/>
        <d v="2016-11-03T19:08:00Z"/>
        <d v="2016-11-03T22:58:00Z"/>
        <d v="2016-11-04T10:18:00Z"/>
        <d v="2016-11-04T18:21:00Z"/>
        <d v="2016-11-04T21:20:00Z"/>
        <d v="2016-11-04T22:25:00Z"/>
        <d v="2016-11-05T08:43:00Z"/>
        <d v="2016-11-05T17:40:00Z"/>
        <d v="2016-11-05T19:28:00Z"/>
        <d v="2016-11-06T11:04:00Z"/>
        <d v="2016-11-06T16:22:00Z"/>
        <d v="2016-11-06T17:28:00Z"/>
        <d v="2016-11-06T19:12:00Z"/>
        <d v="2016-11-06T20:21:00Z"/>
        <d v="2016-11-07T12:57:00Z"/>
        <d v="2016-11-07T19:57:00Z"/>
        <d v="2016-11-08T10:57:00Z"/>
        <d v="2016-11-08T12:49:00Z"/>
        <d v="2016-11-08T14:01:00Z"/>
        <d v="2016-11-08T16:34:00Z"/>
        <d v="2016-11-09T13:41:00Z"/>
        <d v="2016-11-09T16:04:00Z"/>
        <d v="2016-11-09T18:03:00Z"/>
        <d v="2016-11-09T18:14:00Z"/>
        <d v="2016-11-09T18:35:00Z"/>
        <d v="2016-11-09T19:17:00Z"/>
        <d v="2016-11-09T21:02:00Z"/>
        <d v="2016-11-09T22:02:00Z"/>
        <d v="2016-11-10T10:15:00Z"/>
        <d v="2016-11-10T10:31:00Z"/>
        <d v="2016-11-10T15:07:00Z"/>
        <d v="2016-11-10T15:22:00Z"/>
        <d v="2016-11-10T15:53:00Z"/>
        <d v="2016-11-10T19:21:00Z"/>
        <d v="2016-11-11T10:23:00Z"/>
        <d v="2016-11-11T13:13:00Z"/>
        <d v="2016-11-11T14:32:00Z"/>
        <d v="2016-11-11T15:46:00Z"/>
        <d v="2016-11-11T18:43:00Z"/>
        <d v="2016-11-11T21:18:00Z"/>
        <d v="2016-11-12T10:52:00Z"/>
        <d v="2016-11-12T11:25:00Z"/>
        <d v="2016-11-12T13:15:00Z"/>
        <d v="2016-11-12T13:50:00Z"/>
        <d v="2016-11-12T14:53:00Z"/>
        <d v="2016-11-12T15:21:00Z"/>
        <d v="2016-11-12T15:36:00Z"/>
        <d v="2016-11-12T15:59:00Z"/>
        <d v="2016-11-13T09:02:00Z"/>
        <d v="2016-11-13T09:53:00Z"/>
        <d v="2016-11-13T10:37:00Z"/>
        <d v="2016-11-13T11:16:00Z"/>
        <d v="2016-11-13T12:51:00Z"/>
        <d v="2016-11-13T13:11:00Z"/>
        <d v="2016-11-13T13:18:00Z"/>
        <d v="2016-11-13T14:46:00Z"/>
        <d v="2016-11-13T15:24:00Z"/>
        <d v="2016-11-13T15:59:00Z"/>
        <d v="2016-11-14T12:13:00Z"/>
        <d v="2016-11-14T14:33:00Z"/>
        <d v="2016-11-14T15:36:00Z"/>
        <d v="2016-11-14T20:30:00Z"/>
        <d v="2016-11-15T14:06:00Z"/>
        <d v="2016-11-15T14:26:00Z"/>
        <d v="2016-11-15T21:00:00Z"/>
        <d v="2016-11-16T20:27:00Z"/>
        <d v="2016-11-16T23:02:00Z"/>
        <d v="2016-11-17T10:44:00Z"/>
        <d v="2016-11-18T20:19:00Z"/>
        <d v="2016-11-18T21:34:00Z"/>
        <d v="2016-11-18T22:21:00Z"/>
        <d v="2016-11-19T14:10:00Z"/>
        <d v="2016-11-19T14:51:00Z"/>
        <d v="2016-11-19T16:06:00Z"/>
        <d v="2016-11-19T16:41:00Z"/>
        <d v="2016-11-19T17:54:00Z"/>
        <d v="2016-11-19T21:35:00Z"/>
        <d v="2016-11-20T11:32:00Z"/>
        <d v="2016-11-20T12:28:00Z"/>
        <d v="2016-11-20T15:07:00Z"/>
        <d v="2016-11-20T18:37:00Z"/>
        <d v="2016-11-21T13:49:00Z"/>
        <d v="2016-11-21T14:44:00Z"/>
        <d v="2016-11-21T18:04:00Z"/>
        <d v="2016-11-21T18:27:00Z"/>
        <d v="2016-11-21T18:51:00Z"/>
        <d v="2016-11-22T15:27:00Z"/>
        <d v="2016-11-22T15:44:00Z"/>
        <d v="2016-11-22T16:43:00Z"/>
        <d v="2016-11-22T18:28:00Z"/>
        <d v="2016-11-22T21:14:00Z"/>
        <d v="2016-11-23T15:50:00Z"/>
        <d v="2016-11-23T16:29:00Z"/>
        <d v="2016-11-23T17:00:00Z"/>
        <d v="2016-11-23T18:47:00Z"/>
        <d v="2016-11-25T12:04:00Z"/>
        <d v="2016-11-25T13:31:00Z"/>
        <d v="2016-11-26T15:59:00Z"/>
        <d v="2016-11-26T17:12:00Z"/>
        <d v="2016-11-26T17:56:00Z"/>
        <d v="2016-11-26T19:04:00Z"/>
        <d v="2016-11-26T19:54:00Z"/>
        <d v="2016-11-27T16:06:00Z"/>
        <d v="2016-11-27T19:09:00Z"/>
        <d v="2016-11-30T11:34:00Z"/>
        <d v="2016-11-30T12:35:00Z"/>
        <d v="2016-11-30T12:53:00Z"/>
        <d v="2016-12-01T07:59:00Z"/>
        <d v="2016-12-01T08:53:00Z"/>
        <d v="2016-12-01T18:12:00Z"/>
        <d v="2016-12-01T20:46:00Z"/>
        <d v="2016-12-02T12:23:00Z"/>
        <d v="2016-12-02T13:22:00Z"/>
        <d v="2016-12-02T20:48:00Z"/>
        <d v="2016-12-02T23:07:00Z"/>
        <d v="2016-12-03T18:56:00Z"/>
        <d v="2016-12-03T19:15:00Z"/>
        <d v="2016-12-03T20:41:00Z"/>
        <d v="2016-12-04T19:03:00Z"/>
        <d v="2016-12-04T20:34:00Z"/>
        <d v="2016-12-05T18:17:00Z"/>
        <d v="2016-12-05T19:37:00Z"/>
        <d v="2016-12-07T12:32:00Z"/>
        <d v="2016-12-07T12:46:00Z"/>
        <d v="2016-12-07T20:13:00Z"/>
        <d v="2016-12-07T21:50:00Z"/>
        <d v="2016-12-08T14:32:00Z"/>
        <d v="2016-12-08T15:02:00Z"/>
        <d v="2016-12-08T19:27:00Z"/>
        <d v="2016-12-08T21:31:00Z"/>
        <d v="2016-12-09T12:24:00Z"/>
        <d v="2016-12-09T13:43:00Z"/>
        <d v="2016-12-09T20:34:00Z"/>
        <d v="2016-12-09T22:57:00Z"/>
        <d v="2016-12-10T13:16:00Z"/>
        <d v="2016-12-10T15:18:00Z"/>
        <d v="2016-12-10T18:27:00Z"/>
        <d v="2016-12-10T22:21:00Z"/>
        <d v="2016-12-11T16:16:00Z"/>
        <d v="2016-12-11T19:15:00Z"/>
        <d v="2016-12-11T21:56:00Z"/>
        <d v="2016-12-12T13:32:00Z"/>
        <d v="2016-12-12T13:51:00Z"/>
        <d v="2016-12-12T14:39:00Z"/>
        <d v="2016-12-12T18:01:00Z"/>
        <d v="2016-12-12T20:57:00Z"/>
        <d v="2016-12-13T18:29:00Z"/>
        <d v="2016-12-13T20:29:00Z"/>
        <d v="2016-12-14T17:10:00Z"/>
        <d v="2016-12-14T17:34:00Z"/>
        <d v="2016-12-14T18:00:00Z"/>
        <d v="2016-12-14T20:40:00Z"/>
        <d v="2016-12-15T14:54:00Z"/>
        <d v="2016-12-17T16:12:00Z"/>
        <d v="2016-12-17T17:59:00Z"/>
        <d v="2016-12-18T13:41:00Z"/>
        <d v="2016-12-18T17:25:00Z"/>
        <d v="2016-12-18T21:04:00Z"/>
        <d v="2016-12-19T09:36:00Z"/>
        <d v="2016-12-19T10:34:00Z"/>
        <d v="2016-12-19T13:08:00Z"/>
        <d v="2016-12-19T13:35:00Z"/>
        <d v="2016-12-19T14:15:00Z"/>
        <d v="2016-12-19T14:32:00Z"/>
        <d v="2016-12-19T14:50:00Z"/>
        <d v="2016-12-19T15:38:00Z"/>
        <d v="2016-12-19T17:09:00Z"/>
        <d v="2016-12-19T19:17:00Z"/>
        <d v="2016-12-19T20:30:00Z"/>
        <d v="2016-12-20T09:24:00Z"/>
        <d v="2016-12-20T10:48:00Z"/>
        <d v="2016-12-20T12:17:00Z"/>
        <d v="2016-12-20T13:20:00Z"/>
        <d v="2016-12-20T14:17:00Z"/>
        <d v="2016-12-20T16:24:00Z"/>
        <d v="2016-12-20T17:07:00Z"/>
        <d v="2016-12-20T19:21:00Z"/>
        <d v="2016-12-21T08:10:00Z"/>
        <d v="2016-12-21T10:30:00Z"/>
        <d v="2016-12-21T11:49:00Z"/>
        <d v="2016-12-21T13:33:00Z"/>
        <d v="2016-12-21T15:49:00Z"/>
        <d v="2016-12-21T16:05:00Z"/>
        <d v="2016-12-21T17:54:00Z"/>
        <d v="2016-12-21T18:31:00Z"/>
        <d v="2016-12-21T20:35:00Z"/>
        <d v="2016-12-21T23:42:00Z"/>
        <d v="2016-12-22T16:38:00Z"/>
        <d v="2016-12-22T17:20:00Z"/>
        <d v="2016-12-22T17:53:00Z"/>
        <d v="2016-12-22T18:29:00Z"/>
        <d v="2016-12-22T18:37:00Z"/>
        <d v="2016-12-22T18:47:00Z"/>
        <d v="2016-12-22T19:50:00Z"/>
        <d v="2016-12-22T21:53:00Z"/>
        <d v="2016-12-22T23:32:00Z"/>
        <d v="2016-12-23T09:41:00Z"/>
        <d v="2016-12-23T11:58:00Z"/>
        <d v="2016-12-23T15:25:00Z"/>
        <d v="2016-12-23T16:34:00Z"/>
        <d v="2016-12-23T18:27:00Z"/>
        <d v="2016-12-24T08:04:00Z"/>
        <d v="2016-12-24T09:55:00Z"/>
        <d v="2016-12-24T10:53:00Z"/>
        <d v="2016-12-24T12:53:00Z"/>
        <d v="2016-12-24T13:29:00Z"/>
        <d v="2016-12-24T17:27:00Z"/>
        <d v="2016-12-24T19:27:00Z"/>
        <d v="2016-12-24T22:09:00Z"/>
        <d v="2016-12-25T00:14:00Z"/>
        <d v="2016-12-25T19:26:00Z"/>
        <d v="2016-12-25T22:04:00Z"/>
        <d v="2016-12-26T08:41:00Z"/>
        <d v="2016-12-26T09:19:00Z"/>
        <d v="2016-12-26T10:36:00Z"/>
        <d v="2016-12-26T11:42:00Z"/>
        <d v="2016-12-26T13:43:00Z"/>
        <d v="2016-12-27T07:14:00Z"/>
        <d v="2016-12-27T08:59:00Z"/>
        <d v="2016-12-27T12:57:00Z"/>
        <d v="2016-12-27T15:03:00Z"/>
        <d v="2016-12-27T16:58:00Z"/>
        <d v="2016-12-27T19:50:00Z"/>
        <d v="2016-12-28T09:06:00Z"/>
        <d v="2016-12-28T12:12:00Z"/>
        <d v="2016-12-28T14:01:00Z"/>
        <d v="2016-12-28T15:39:00Z"/>
        <d v="2016-12-28T17:16:00Z"/>
        <d v="2016-12-28T18:56:00Z"/>
        <d v="2016-12-28T23:18:00Z"/>
        <d v="2016-12-29T01:06:00Z"/>
        <d v="2016-12-29T10:07:00Z"/>
        <d v="2016-12-29T12:00:00Z"/>
        <d v="2016-12-29T12:33:00Z"/>
        <d v="2016-12-29T13:24:00Z"/>
        <d v="2016-12-29T14:11:00Z"/>
        <d v="2016-12-29T14:58:00Z"/>
        <d v="2016-12-29T15:16:00Z"/>
        <d v="2016-12-29T19:14:00Z"/>
        <d v="2016-12-29T20:10:00Z"/>
        <d v="2016-12-29T20:45:00Z"/>
        <d v="2016-12-29T21:42:00Z"/>
        <d v="2016-12-29T23:47:00Z"/>
        <d v="2016-12-30T10:33:00Z"/>
        <d v="2016-12-30T11:56:00Z"/>
        <d v="2016-12-30T16:03:00Z"/>
        <d v="2016-12-30T17:08:00Z"/>
        <d v="2016-12-30T23:10:00Z"/>
        <d v="2016-12-31T01:14:00Z"/>
        <d v="2016-12-31T13:42:00Z"/>
        <d v="2016-12-31T15:38:00Z"/>
        <d v="2016-12-31T21:50:00Z"/>
        <d v="2016-12-31T23:51:00Z"/>
      </sharedItems>
    </cacheField>
    <cacheField name="CATEGORY_ID" numFmtId="3">
      <sharedItems containsSemiMixedTypes="0" containsString="0" containsNumber="1" containsInteger="1">
        <n v="423.0"/>
        <n v="527.0"/>
      </sharedItems>
    </cacheField>
    <cacheField name="START_LOCATION" numFmtId="0">
      <sharedItems>
        <s v="Fort Pierce"/>
        <s v="West Palm Beach"/>
        <s v="Cary"/>
        <s v="Jamaica"/>
        <s v="New York"/>
        <s v="Elmhurst"/>
        <s v="Midtown"/>
        <s v="East Harlem"/>
        <s v="Flatiron District"/>
        <s v="Midtown East"/>
        <s v="Hudson Square"/>
        <s v="Lower Manhattan"/>
        <s v="Hell's Kitchen"/>
        <s v="Downtown"/>
        <s v="Gulfton"/>
        <s v="Houston"/>
        <s v="Eagan Park"/>
        <s v="Morrisville"/>
        <s v="Durham"/>
        <s v="Farmington Woods"/>
        <s v="Whitebridge"/>
        <s v="Lake Wellingborough"/>
        <s v="Fayetteville Street"/>
        <s v="Raleigh"/>
        <s v="Hazelwood"/>
        <s v="Fairmont"/>
        <s v="Meredith Townes"/>
        <s v="Apex"/>
        <s v="Chapel Hill"/>
        <s v="Northwoods"/>
        <s v="Edgehill Farms"/>
        <s v="Tanglewood"/>
        <s v="Preston"/>
        <s v="Eastgate"/>
        <s v="East Elmhurst"/>
        <s v="Jackson Heights"/>
        <s v="Long Island City"/>
        <s v="Katunayaka"/>
        <s v="Unknown Location"/>
        <s v="Colombo"/>
        <s v="Nugegoda"/>
        <s v="Islamabad"/>
        <s v="R?walpindi"/>
        <s v="Noorpur Shahan"/>
        <s v="Heritage Pines"/>
        <s v="Westpark Place"/>
        <s v="Waverly Place"/>
        <s v="Wayne Ridge"/>
        <s v="Weston"/>
        <s v="East Austin"/>
        <s v="West University"/>
        <s v="South Congress"/>
        <s v="The Drag"/>
        <s v="Congress Ave District"/>
        <s v="Red River District"/>
        <s v="Georgian Acres"/>
        <s v="North Austin"/>
        <s v="Coxville"/>
        <s v="Convention Center District"/>
        <s v="Austin"/>
        <s v="Katy"/>
        <s v="Sharpstown"/>
        <s v="Sugar Land"/>
        <s v="Galveston"/>
        <s v="Port Bolivar"/>
        <s v="Washington Avenue"/>
        <s v="Briar Meadow"/>
        <s v="Latta"/>
        <s v="Jacksonville"/>
        <s v="Couples Glen"/>
        <s v="Kissimmee"/>
        <s v="Lake Reams"/>
        <s v="Orlando"/>
        <s v="Sand Lake Commons"/>
        <s v="Sky Lake"/>
        <s v="Daytona Beach"/>
        <s v="Ridgeland"/>
        <s v="Florence"/>
        <s v="Meredith"/>
        <s v="Holly Springs"/>
        <s v="Chessington"/>
        <s v="Burtrose"/>
        <s v="Parkway"/>
        <s v="Mcvan"/>
        <s v="Capitol One"/>
        <s v="University District"/>
        <s v="Seattle"/>
        <s v="Redmond"/>
        <s v="Bellevue"/>
        <s v="San Francisco"/>
        <s v="Palo Alto"/>
        <s v="Sunnyvale"/>
        <s v="Newark"/>
        <s v="Menlo Park"/>
        <s v="Old City"/>
        <s v="Savon Height"/>
        <s v="Kilarney Woods"/>
        <s v="Townes at Everett Crossing"/>
        <s v="Huntington Woods"/>
        <s v="Seaport"/>
        <s v="Medical Centre"/>
        <s v="Rose Hill"/>
        <s v="Soho"/>
        <s v="Tribeca"/>
        <s v="Financial District"/>
        <s v="Oakland"/>
        <s v="Emeryville"/>
        <s v="Berkeley"/>
        <s v="Kenner"/>
        <s v="CBD"/>
        <s v="Lower Garden District"/>
        <s v="Lakeview"/>
        <s v="Storyville"/>
        <s v="New Orleans"/>
        <s v="Metairie"/>
        <s v="Chalmette"/>
        <s v="Arabi"/>
        <s v="Pontchartrain Shores"/>
        <s v="Marigny"/>
        <s v="Covington"/>
        <s v="Mandeville"/>
        <s v="Jamestown Court"/>
        <s v="Summerwinds"/>
        <s v="Parkwood"/>
        <s v="Pontchartrain Beach"/>
        <s v="St Thomas"/>
        <s v="Banner Elk"/>
        <s v="Elk Park"/>
        <s v="Newland"/>
        <s v="Boone"/>
        <s v="Stonewater"/>
        <s v="Lexington Park at Amberly"/>
        <s v="Arlington Park at Amberly"/>
        <s v="Arlington"/>
        <s v="Kalorama Triangle"/>
        <s v="K Street"/>
        <s v="West End"/>
        <s v="Connecticut Avenue"/>
        <s v="Columbia Heights"/>
        <s v="Washington"/>
        <s v="Wake Forest"/>
        <s v="Lahore"/>
        <s v="Karachi"/>
        <s v="SOMISSPO"/>
        <s v="West Berkeley"/>
        <s v="North Berkeley Hills"/>
        <s v="San Jose"/>
        <s v="Eagle Rock"/>
        <s v="Winston Salem"/>
        <s v="Asheville"/>
        <s v="Topton"/>
        <s v="Hayesville"/>
        <s v="Bryson City"/>
        <s v="Almond"/>
        <s v="Mebane"/>
        <s v="Agnew"/>
        <s v="Cory"/>
        <s v="Renaissance"/>
        <s v="Santa Clara"/>
        <s v="NOMA"/>
        <s v="Sunnyside"/>
        <s v="Ingleside"/>
        <s v="Central"/>
        <s v="Tenderloin"/>
        <s v="College Avenue"/>
        <s v="South"/>
        <s v="Southside"/>
        <s v="South Berkeley"/>
        <s v="Mountain View"/>
        <s v="El Cerrito"/>
        <s v="Krendle Woods"/>
        <s v="Wake Co."/>
        <s v="Fuquay-Varina"/>
        <s v="Rawalpindi"/>
        <s v="Kar?chi"/>
        <s v="Katunayake"/>
        <s v="Gampaha"/>
      </sharedItems>
    </cacheField>
    <cacheField name="STOP_LOCATION" numFmtId="0">
      <sharedItems>
        <s v="Fort Pierce"/>
        <s v="West Palm Beach"/>
        <s v="Palm Beach"/>
        <s v="Cary"/>
        <s v="Morrisville"/>
        <s v="New York"/>
        <s v="Queens"/>
        <s v="East Harlem"/>
        <s v="NoMad"/>
        <s v="Midtown"/>
        <s v="Midtown East"/>
        <s v="Hudson Square"/>
        <s v="Lower Manhattan"/>
        <s v="Hell's Kitchen"/>
        <s v="Queens County"/>
        <s v="Gulfton"/>
        <s v="Downtown"/>
        <s v="Houston"/>
        <s v="Jamestown Court"/>
        <s v="Durham"/>
        <s v="Whitebridge"/>
        <s v="Lake Wellingborough"/>
        <s v="Raleigh"/>
        <s v="Umstead"/>
        <s v="Hazelwood"/>
        <s v="Westpark Place"/>
        <s v="Meredith Townes"/>
        <s v="Leesville Hollow"/>
        <s v="Apex"/>
        <s v="Chapel Hill"/>
        <s v="Williamsburg Manor"/>
        <s v="Macgregor Downs"/>
        <s v="Edgehill Farms"/>
        <s v="Northwoods"/>
        <s v="Tanglewood"/>
        <s v="Preston"/>
        <s v="Walnut Terrace"/>
        <s v="Jackson Heights"/>
        <s v="East Elmhurst"/>
        <s v="Midtown West"/>
        <s v="Long Island City"/>
        <s v="Jamaica"/>
        <s v="Unknown Location"/>
        <s v="Colombo"/>
        <s v="Nugegoda"/>
        <s v="Katunayaka"/>
        <s v="Islamabad"/>
        <s v="R?walpindi"/>
        <s v="Noorpur Shahan"/>
        <s v="Heritage Pines"/>
        <s v="Waverly Place"/>
        <s v="Wayne Ridge"/>
        <s v="Depot Historic District"/>
        <s v="Weston"/>
        <s v="West University"/>
        <s v="South Congress"/>
        <s v="Arts District"/>
        <s v="Congress Ave District"/>
        <s v="Red River District"/>
        <s v="The Drag"/>
        <s v="Convention Center District"/>
        <s v="North Austin"/>
        <s v="Coxville"/>
        <s v="Katy"/>
        <s v="Alief"/>
        <s v="Sharpstown"/>
        <s v="Sugar Land"/>
        <s v="Galveston"/>
        <s v="Port Bolivar"/>
        <s v="Washington Avenue"/>
        <s v="Briar Meadow"/>
        <s v="Greater Greenspoint"/>
        <s v="Latta"/>
        <s v="Jacksonville"/>
        <s v="Kissimmee"/>
        <s v="Isles of Buena Vista"/>
        <s v="Orlando"/>
        <s v="Lake Reams"/>
        <s v="Vista East"/>
        <s v="Sky Lake"/>
        <s v="Sand Lake Commons"/>
        <s v="Daytona Beach"/>
        <s v="Ridgeland"/>
        <s v="Florence"/>
        <s v="Cedar Hill"/>
        <s v="Holly Springs"/>
        <s v="Harden Place"/>
        <s v="Chessington"/>
        <s v="Burtrose"/>
        <s v="Parkway"/>
        <s v="Capitol One"/>
        <s v="University District"/>
        <s v="Redmond"/>
        <s v="Bellevue"/>
        <s v="Seattle"/>
        <s v="Mcvan"/>
        <s v="Palo Alto"/>
        <s v="Sunnyvale"/>
        <s v="Newark"/>
        <s v="Menlo Park"/>
        <s v="San Francisco"/>
        <s v="Parkway Museums"/>
        <s v="Hog Island"/>
        <s v="Savon Height"/>
        <s v="Kildaire Farms"/>
        <s v="Kilarney Woods"/>
        <s v="Gramercy-Flatiron"/>
        <s v="Tudor City"/>
        <s v="Soho"/>
        <s v="Tribeca"/>
        <s v="Financial District"/>
        <s v="Kips Bay"/>
        <s v="Emeryville"/>
        <s v="Berkeley"/>
        <s v="Oakland"/>
        <s v="Bay Farm Island"/>
        <s v="New Orleans"/>
        <s v="Lower Garden District"/>
        <s v="Lakeview"/>
        <s v="Storyville"/>
        <s v="Faubourg Marigny"/>
        <s v="Metairie"/>
        <s v="Kenner"/>
        <s v="Bywater"/>
        <s v="Chalmette"/>
        <s v="Arabi"/>
        <s v="Pontchartrain Shores"/>
        <s v="Marigny"/>
        <s v="Covington"/>
        <s v="Mandeville"/>
        <s v="Summerwinds"/>
        <s v="Parkwood"/>
        <s v="Pontchartrain Beach"/>
        <s v="CBD"/>
        <s v="St Thomas"/>
        <s v="Banner Elk"/>
        <s v="Elk Park"/>
        <s v="Newland"/>
        <s v="Boone"/>
        <s v="Stonewater"/>
        <s v="Lexington Park at Amberly"/>
        <s v="Arlington Park at Amberly"/>
        <s v="Washington"/>
        <s v="K Street"/>
        <s v="Kalorama Triangle"/>
        <s v="Northwest Rectangle"/>
        <s v="Columbia Heights"/>
        <s v="Arlington"/>
        <s v="Farmington Woods"/>
        <s v="Wake Forest"/>
        <s v="Lahore"/>
        <s v="Karachi"/>
        <s v="French Quarter"/>
        <s v="North Berkeley Hills"/>
        <s v="Southside"/>
        <s v="San Jose"/>
        <s v="Eagle Rock"/>
        <s v="Huntington Woods"/>
        <s v="Winston Salem"/>
        <s v="Asheville"/>
        <s v="Topton"/>
        <s v="Hayesville"/>
        <s v="Bryson City"/>
        <s v="Almond"/>
        <s v="Mebane"/>
        <s v="Santa Clara"/>
        <s v="Cory"/>
        <s v="Agnew"/>
        <s v="Renaissance"/>
        <s v="West Berkeley"/>
        <s v="Central"/>
        <s v="Sunnyside"/>
        <s v="Ingleside"/>
        <s v="Potrero Flats"/>
        <s v="SOMISSPO"/>
        <s v="Tenderloin"/>
        <s v="College Avenue"/>
        <s v="South"/>
        <s v="Southwest Berkeley"/>
        <s v="South Berkeley"/>
        <s v="Mountain View"/>
        <s v="El Cerrito"/>
        <s v="Wake Co."/>
        <s v="Fuquay-Varina"/>
        <s v="Rawalpindi"/>
        <s v="Kar?chi"/>
        <s v="Gampaha"/>
        <s v="Ilukwatta"/>
      </sharedItems>
    </cacheField>
    <cacheField name="MILES" numFmtId="166">
      <sharedItems containsSemiMixedTypes="0" containsString="0" containsNumber="1">
        <n v="5.1"/>
        <n v="5.0"/>
        <n v="4.8"/>
        <n v="4.7"/>
        <n v="63.7"/>
        <n v="4.3"/>
        <n v="7.1"/>
        <n v="0.8"/>
        <n v="8.3"/>
        <n v="16.5"/>
        <n v="10.8"/>
        <n v="7.5"/>
        <n v="6.2"/>
        <n v="6.4"/>
        <n v="1.6"/>
        <n v="1.7"/>
        <n v="1.9"/>
        <n v="4.0"/>
        <n v="1.8"/>
        <n v="2.4"/>
        <n v="2.0"/>
        <n v="15.1"/>
        <n v="11.2"/>
        <n v="11.8"/>
        <n v="21.9"/>
        <n v="3.9"/>
        <n v="8.0"/>
        <n v="10.4"/>
        <n v="7.2"/>
        <n v="7.6"/>
        <n v="17.1"/>
        <n v="40.2"/>
        <n v="1.0"/>
        <n v="2.3"/>
        <n v="1.4"/>
        <n v="0.5"/>
        <n v="18.7"/>
        <n v="3.4"/>
        <n v="2.7"/>
        <n v="12.9"/>
        <n v="19.0"/>
        <n v="14.7"/>
        <n v="15.7"/>
        <n v="4.6"/>
        <n v="5.2"/>
        <n v="10.1"/>
        <n v="5.8"/>
        <n v="5.5"/>
        <n v="5.7"/>
        <n v="19.4"/>
        <n v="23.3"/>
        <n v="6.0"/>
        <n v="9.7"/>
        <n v="1.1"/>
        <n v="9.0"/>
        <n v="7.7"/>
        <n v="11.4"/>
        <n v="3.2"/>
        <n v="5.6"/>
        <n v="6.1"/>
        <n v="5.3"/>
        <n v="3.0"/>
        <n v="1.5"/>
        <n v="17.3"/>
        <n v="13.5"/>
        <n v="8.5"/>
        <n v="2.6"/>
        <n v="17.0"/>
        <n v="18.0"/>
        <n v="8.4"/>
        <n v="11.5"/>
        <n v="8.9"/>
        <n v="8.1"/>
        <n v="13.0"/>
        <n v="13.9"/>
        <n v="43.7"/>
        <n v="14.1"/>
        <n v="4.5"/>
        <n v="3.6"/>
        <n v="21.4"/>
        <n v="23.5"/>
        <n v="12.7"/>
        <n v="10.0"/>
        <n v="18.3"/>
        <n v="7.3"/>
        <n v="3.5"/>
        <n v="4.2"/>
        <n v="13.6"/>
        <n v="2.5"/>
        <n v="14.4"/>
        <n v="18.4"/>
        <n v="23.1"/>
        <n v="14.5"/>
        <n v="8.8"/>
        <n v="22.7"/>
        <n v="2.2"/>
        <n v="20.0"/>
        <n v="3.1"/>
        <n v="6.3"/>
        <n v="10.6"/>
        <n v="9.9"/>
        <n v="6.8"/>
        <n v="2.1"/>
        <n v="3.8"/>
        <n v="6.6"/>
        <n v="10.9"/>
        <n v="4.9"/>
        <n v="6.5"/>
        <n v="7.8"/>
        <n v="2.8"/>
        <n v="12.4"/>
        <n v="5.9"/>
        <n v="9.4"/>
        <n v="11.9"/>
        <n v="12.8"/>
        <n v="1.2"/>
        <n v="10.5"/>
        <n v="12.5"/>
        <n v="136.0"/>
        <n v="30.2"/>
        <n v="15.5"/>
        <n v="12.6"/>
        <n v="13.2"/>
        <n v="9.2"/>
        <n v="12.0"/>
        <n v="35.1"/>
        <n v="36.5"/>
        <n v="57.0"/>
        <n v="9.6"/>
        <n v="0.9"/>
        <n v="25.6"/>
        <n v="23.0"/>
        <n v="144.0"/>
        <n v="310.3"/>
        <n v="201.0"/>
        <n v="6.7"/>
        <n v="6.9"/>
        <n v="27.2"/>
        <n v="25.7"/>
        <n v="13.8"/>
        <n v="28.8"/>
        <n v="16.1"/>
        <n v="16.4"/>
        <n v="11.0"/>
        <n v="20.3"/>
        <n v="0.7"/>
        <n v="77.3"/>
        <n v="80.5"/>
        <n v="174.2"/>
        <n v="159.3"/>
        <n v="7.9"/>
        <n v="8.7"/>
        <n v="19.1"/>
        <n v="18.6"/>
        <n v="15.9"/>
        <n v="15.3"/>
        <n v="13.7"/>
        <n v="15.2"/>
        <n v="8.2"/>
        <n v="22.5"/>
        <n v="32.8"/>
        <n v="14.2"/>
        <n v="18.2"/>
        <n v="2.9"/>
        <n v="20.5"/>
        <n v="9.8"/>
        <n v="17.6"/>
        <n v="9.3"/>
        <n v="11.3"/>
        <n v="14.9"/>
        <n v="14.0"/>
        <n v="3.3"/>
        <n v="22.3"/>
        <n v="16.3"/>
        <n v="3.7"/>
        <n v="11.6"/>
        <n v="15.0"/>
        <n v="12.2"/>
        <n v="19.3"/>
        <n v="16.6"/>
        <n v="8.6"/>
        <n v="46.9"/>
        <n v="30.0"/>
        <n v="4.4"/>
        <n v="7.4"/>
        <n v="13.3"/>
        <n v="0.6"/>
        <n v="7.0"/>
        <n v="1.3"/>
        <n v="13.4"/>
        <n v="12.3"/>
        <n v="195.3"/>
        <n v="22.4"/>
        <n v="28.1"/>
        <n v="41.9"/>
        <n v="23.8"/>
        <n v="180.2"/>
        <n v="4.1"/>
        <n v="9.1"/>
        <n v="9.5"/>
        <n v="14.6"/>
        <n v="17.4"/>
        <n v="31.7"/>
        <n v="31.9"/>
        <n v="15.6"/>
        <n v="25.9"/>
        <n v="16.2"/>
        <n v="12.1"/>
        <n v="20.2"/>
        <n v="17.7"/>
        <n v="25.2"/>
        <n v="96.2"/>
        <n v="35.0"/>
        <n v="50.4"/>
        <n v="86.6"/>
        <n v="156.9"/>
        <n v="17.2"/>
        <n v="195.6"/>
        <n v="37.7"/>
        <n v="16.7"/>
        <n v="28.6"/>
        <n v="17.9"/>
        <n v="112.6"/>
        <n v="33.2"/>
        <n v="20.6"/>
        <n v="47.7"/>
        <n v="44.6"/>
        <n v="28.2"/>
        <n v="15.4"/>
        <n v="107.0"/>
        <n v="133.6"/>
        <n v="91.8"/>
        <n v="40.7"/>
        <n v="75.7"/>
        <n v="29.8"/>
        <n v="68.4"/>
        <n v="195.9"/>
        <n v="45.2"/>
        <n v="10.3"/>
        <n v="13.1"/>
        <n v="43.9"/>
        <n v="45.9"/>
        <n v="36.6"/>
        <n v="43.6"/>
        <n v="5.4"/>
        <n v="39.2"/>
        <n v="18.5"/>
        <n v="11.1"/>
        <n v="18.9"/>
        <n v="10.2"/>
        <n v="103.0"/>
        <n v="32.3"/>
        <n v="23.2"/>
        <n v="10.7"/>
        <n v="48.2"/>
      </sharedItems>
    </cacheField>
    <cacheField name="PURPOSE_ID" numFmtId="3">
      <sharedItems containsSemiMixedTypes="0" containsString="0" containsNumber="1" containsInteger="1">
        <n v="1.0"/>
        <n v="123.0"/>
        <n v="2.0"/>
        <n v="3.0"/>
        <n v="4.0"/>
        <n v="5.0"/>
        <n v="6.0"/>
        <n v="7.0"/>
        <n v="8.0"/>
        <n v="9.0"/>
        <n v="10.0"/>
      </sharedItems>
    </cacheField>
    <cacheField name="START_TIME" numFmtId="165">
      <sharedItems containsSemiMixedTypes="0" containsDate="1" containsString="0">
        <d v="1899-12-30T21:11:00Z"/>
        <d v="1899-12-30T01:25:00Z"/>
        <d v="1899-12-30T20:25:00Z"/>
        <d v="1899-12-30T17:31:00Z"/>
        <d v="1899-12-30T14:42:00Z"/>
        <d v="1899-12-30T17:15:00Z"/>
        <d v="1899-12-30T17:30:00Z"/>
        <d v="1899-12-30T13:27:00Z"/>
        <d v="1899-12-30T08:05:00Z"/>
        <d v="1899-12-30T12:17:00Z"/>
        <d v="1899-12-30T15:08:00Z"/>
        <d v="1899-12-30T18:18:00Z"/>
        <d v="1899-12-30T19:12:00Z"/>
        <d v="1899-12-30T08:55:00Z"/>
        <d v="1899-12-30T11:56:00Z"/>
        <d v="1899-12-30T13:32:00Z"/>
        <d v="1899-12-30T14:30:00Z"/>
        <d v="1899-12-30T12:33:00Z"/>
        <d v="1899-12-30T12:53:00Z"/>
        <d v="1899-12-30T15:13:00Z"/>
        <d v="1899-12-30T15:42:00Z"/>
        <d v="1899-12-30T16:02:00Z"/>
        <d v="1899-12-30T13:54:00Z"/>
        <d v="1899-12-30T15:00:00Z"/>
        <d v="1899-12-30T16:29:00Z"/>
        <d v="1899-12-30T21:39:00Z"/>
        <d v="1899-12-30T00:41:00Z"/>
        <d v="1899-12-30T11:43:00Z"/>
        <d v="1899-12-30T13:26:00Z"/>
        <d v="1899-12-30T14:55:00Z"/>
        <d v="1899-12-30T16:13:00Z"/>
        <d v="1899-12-30T09:09:00Z"/>
        <d v="1899-12-30T10:55:00Z"/>
        <d v="1899-12-30T10:36:00Z"/>
        <d v="1899-12-30T11:48:00Z"/>
        <d v="1899-12-30T13:25:00Z"/>
        <d v="1899-12-30T14:25:00Z"/>
        <d v="1899-12-30T14:43:00Z"/>
        <d v="1899-12-30T16:01:00Z"/>
        <d v="1899-12-30T10:41:00Z"/>
        <d v="1899-12-30T16:24:00Z"/>
        <d v="1899-12-30T17:17:00Z"/>
        <d v="1899-12-30T17:27:00Z"/>
        <d v="1899-12-30T09:24:00Z"/>
        <d v="1899-12-30T10:19:00Z"/>
        <d v="1899-12-30T12:34:00Z"/>
        <d v="1899-12-30T14:05:00Z"/>
        <d v="1899-12-30T14:46:00Z"/>
        <d v="1899-12-30T12:28:00Z"/>
        <d v="1899-12-30T15:11:00Z"/>
        <d v="1899-12-30T16:21:00Z"/>
        <d v="1899-12-30T09:31:00Z"/>
        <d v="1899-12-30T10:56:00Z"/>
        <d v="1899-12-30T13:24:00Z"/>
        <d v="1899-12-30T18:31:00Z"/>
        <d v="1899-12-30T21:21:00Z"/>
        <d v="1899-12-30T18:09:00Z"/>
        <d v="1899-12-30T10:35:00Z"/>
        <d v="1899-12-30T12:10:00Z"/>
        <d v="1899-12-30T12:56:00Z"/>
        <d v="1899-12-30T13:04:00Z"/>
        <d v="1899-12-30T13:51:00Z"/>
        <d v="1899-12-30T14:38:00Z"/>
        <d v="1899-12-30T08:40:00Z"/>
        <d v="1899-12-30T09:37:00Z"/>
        <d v="1899-12-30T10:26:00Z"/>
        <d v="1899-12-30T15:59:00Z"/>
        <d v="1899-12-30T16:35:00Z"/>
        <d v="1899-12-30T18:04:00Z"/>
        <d v="1899-12-30T20:36:00Z"/>
        <d v="1899-12-30T11:47:00Z"/>
        <d v="1899-12-30T13:22:00Z"/>
        <d v="1899-12-30T16:20:00Z"/>
        <d v="1899-12-30T18:57:00Z"/>
        <d v="1899-12-30T19:28:00Z"/>
        <d v="1899-12-30T16:49:00Z"/>
        <d v="1899-12-30T18:03:00Z"/>
        <d v="1899-12-30T18:39:00Z"/>
        <d v="1899-12-30T20:22:00Z"/>
        <d v="1899-12-30T12:57:00Z"/>
        <d v="1899-12-30T14:00:00Z"/>
        <d v="1899-12-30T10:54:00Z"/>
        <d v="1899-12-30T13:36:00Z"/>
        <d v="1899-12-30T13:58:00Z"/>
        <d v="1899-12-30T18:55:00Z"/>
        <d v="1899-12-30T20:24:00Z"/>
        <d v="1899-12-30T16:28:00Z"/>
        <d v="1899-12-30T17:49:00Z"/>
        <d v="1899-12-30T18:24:00Z"/>
        <d v="1899-12-30T08:21:00Z"/>
        <d v="1899-12-30T10:45:00Z"/>
        <d v="1899-12-30T11:14:00Z"/>
        <d v="1899-12-30T13:02:00Z"/>
        <d v="1899-12-30T14:49:00Z"/>
        <d v="1899-12-30T15:33:00Z"/>
        <d v="1899-12-30T14:21:00Z"/>
        <d v="1899-12-30T23:45:00Z"/>
        <d v="1899-12-30T00:50:00Z"/>
        <d v="1899-12-30T14:07:00Z"/>
        <d v="1899-12-30T17:06:00Z"/>
        <d v="1899-12-30T03:21:00Z"/>
        <d v="1899-12-30T08:29:00Z"/>
        <d v="1899-12-30T10:31:00Z"/>
        <d v="1899-12-30T11:32:00Z"/>
        <d v="1899-12-30T12:39:00Z"/>
        <d v="1899-12-30T13:43:00Z"/>
        <d v="1899-12-30T16:34:00Z"/>
        <d v="1899-12-30T17:40:00Z"/>
        <d v="1899-12-30T13:18:00Z"/>
        <d v="1899-12-30T15:17:00Z"/>
        <d v="1899-12-30T16:38:00Z"/>
        <d v="1899-12-30T08:19:00Z"/>
        <d v="1899-12-30T14:03:00Z"/>
        <d v="1899-12-30T15:16:00Z"/>
        <d v="1899-12-30T18:44:00Z"/>
        <d v="1899-12-30T19:27:00Z"/>
        <d v="1899-12-30T09:02:00Z"/>
        <d v="1899-12-30T09:21:00Z"/>
        <d v="1899-12-30T10:21:00Z"/>
        <d v="1899-12-30T11:20:00Z"/>
        <d v="1899-12-30T11:45:00Z"/>
        <d v="1899-12-30T12:09:00Z"/>
        <d v="1899-12-30T16:26:00Z"/>
        <d v="1899-12-30T17:09:00Z"/>
        <d v="1899-12-30T20:08:00Z"/>
        <d v="1899-12-30T20:34:00Z"/>
        <d v="1899-12-30T07:59:00Z"/>
        <d v="1899-12-30T10:48:00Z"/>
        <d v="1899-12-30T12:41:00Z"/>
        <d v="1899-12-30T14:50:00Z"/>
        <d v="1899-12-30T16:59:00Z"/>
        <d v="1899-12-30T18:00:00Z"/>
        <d v="1899-12-30T09:07:00Z"/>
        <d v="1899-12-30T11:39:00Z"/>
        <d v="1899-12-30T12:13:00Z"/>
        <d v="1899-12-30T12:51:00Z"/>
        <d v="1899-12-30T13:33:00Z"/>
        <d v="1899-12-30T14:36:00Z"/>
        <d v="1899-12-30T15:14:00Z"/>
        <d v="1899-12-30T15:36:00Z"/>
        <d v="1899-12-30T16:04:00Z"/>
        <d v="1899-12-30T23:15:00Z"/>
        <d v="1899-12-30T21:54:00Z"/>
        <d v="1899-12-30T15:19:00Z"/>
        <d v="1899-12-30T16:27:00Z"/>
        <d v="1899-12-30T16:47:00Z"/>
        <d v="1899-12-30T17:16:00Z"/>
        <d v="1899-12-30T18:22:00Z"/>
        <d v="1899-12-30T09:06:00Z"/>
        <d v="1899-12-30T11:05:00Z"/>
        <d v="1899-12-30T11:35:00Z"/>
        <d v="1899-12-30T13:01:00Z"/>
        <d v="1899-12-30T17:01:00Z"/>
        <d v="1899-12-30T05:22:00Z"/>
        <d v="1899-12-30T09:26:00Z"/>
        <d v="1899-12-30T11:07:00Z"/>
        <d v="1899-12-30T11:30:00Z"/>
        <d v="1899-12-30T12:36:00Z"/>
        <d v="1899-12-30T16:40:00Z"/>
        <d v="1899-12-30T18:47:00Z"/>
        <d v="1899-12-30T21:27:00Z"/>
        <d v="1899-12-30T09:45:00Z"/>
        <d v="1899-12-30T11:04:00Z"/>
        <d v="1899-12-30T14:44:00Z"/>
        <d v="1899-12-30T15:27:00Z"/>
        <d v="1899-12-30T07:47:00Z"/>
        <d v="1899-12-30T09:46:00Z"/>
        <d v="1899-12-30T11:46:00Z"/>
        <d v="1899-12-30T13:03:00Z"/>
        <d v="1899-12-30T13:40:00Z"/>
        <d v="1899-12-30T15:56:00Z"/>
        <d v="1899-12-30T16:16:00Z"/>
        <d v="1899-12-30T16:43:00Z"/>
        <d v="1899-12-30T19:02:00Z"/>
        <d v="1899-12-30T19:16:00Z"/>
        <d v="1899-12-30T11:44:00Z"/>
        <d v="1899-12-30T14:08:00Z"/>
        <d v="1899-12-30T14:39:00Z"/>
        <d v="1899-12-30T16:52:00Z"/>
        <d v="1899-12-30T17:23:00Z"/>
        <d v="1899-12-30T09:10:00Z"/>
        <d v="1899-12-30T09:23:00Z"/>
        <d v="1899-12-30T13:57:00Z"/>
        <d v="1899-12-30T15:35:00Z"/>
        <d v="1899-12-30T03:36:00Z"/>
        <d v="1899-12-30T10:08:00Z"/>
        <d v="1899-12-30T16:18:00Z"/>
        <d v="1899-12-30T09:47:00Z"/>
        <d v="1899-12-30T10:29:00Z"/>
        <d v="1899-12-30T11:57:00Z"/>
        <d v="1899-12-30T19:21:00Z"/>
        <d v="1899-12-30T09:13:00Z"/>
        <d v="1899-12-30T18:27:00Z"/>
        <d v="1899-12-30T18:23:00Z"/>
        <d v="1899-12-30T20:07:00Z"/>
        <d v="1899-12-30T20:39:00Z"/>
        <d v="1899-12-30T22:19:00Z"/>
        <d v="1899-12-30T08:34:00Z"/>
        <d v="1899-12-30T08:45:00Z"/>
        <d v="1899-12-30T20:48:00Z"/>
        <d v="1899-12-30T11:34:00Z"/>
        <d v="1899-12-30T18:43:00Z"/>
        <d v="1899-12-30T00:33:00Z"/>
        <d v="1899-12-30T12:52:00Z"/>
        <d v="1899-12-30T17:20:00Z"/>
        <d v="1899-12-30T20:57:00Z"/>
        <d v="1899-12-30T21:48:00Z"/>
        <d v="1899-12-30T07:15:00Z"/>
        <d v="1899-12-30T08:35:00Z"/>
        <d v="1899-12-30T19:23:00Z"/>
        <d v="1899-12-30T21:01:00Z"/>
        <d v="1899-12-30T12:50:00Z"/>
        <d v="1899-12-30T14:01:00Z"/>
        <d v="1899-12-30T15:34:00Z"/>
        <d v="1899-12-30T17:37:00Z"/>
        <d v="1899-12-30T17:52:00Z"/>
        <d v="1899-12-30T18:53:00Z"/>
        <d v="1899-12-30T19:33:00Z"/>
        <d v="1899-12-30T07:37:00Z"/>
        <d v="1899-12-30T11:42:00Z"/>
        <d v="1899-12-30T17:08:00Z"/>
        <d v="1899-12-30T18:34:00Z"/>
        <d v="1899-12-30T18:45:00Z"/>
        <d v="1899-12-30T16:05:00Z"/>
        <d v="1899-12-30T18:59:00Z"/>
        <d v="1899-12-30T20:18:00Z"/>
        <d v="1899-12-30T06:17:00Z"/>
        <d v="1899-12-30T12:06:00Z"/>
        <d v="1899-12-30T14:37:00Z"/>
        <d v="1899-12-30T14:53:00Z"/>
        <d v="1899-12-30T19:47:00Z"/>
        <d v="1899-12-30T22:54:00Z"/>
        <d v="1899-12-30T00:31:00Z"/>
        <d v="1899-12-30T01:11:00Z"/>
        <d v="1899-12-30T15:31:00Z"/>
        <d v="1899-12-30T21:26:00Z"/>
        <d v="1899-12-30T23:04:00Z"/>
        <d v="1899-12-30T12:29:00Z"/>
        <d v="1899-12-30T19:30:00Z"/>
        <d v="1899-12-30T22:55:00Z"/>
        <d v="1899-12-30T18:20:00Z"/>
        <d v="1899-12-30T20:29:00Z"/>
        <d v="1899-12-30T22:05:00Z"/>
        <d v="1899-12-30T12:47:00Z"/>
        <d v="1899-12-30T08:48:00Z"/>
        <d v="1899-12-30T11:01:00Z"/>
        <d v="1899-12-30T12:21:00Z"/>
        <d v="1899-12-30T16:57:00Z"/>
        <d v="1899-12-30T19:38:00Z"/>
        <d v="1899-12-30T23:11:00Z"/>
        <d v="1899-12-30T02:00:00Z"/>
        <d v="1899-12-30T00:19:00Z"/>
        <d v="1899-12-30T19:45:00Z"/>
        <d v="1899-12-30T12:30:00Z"/>
        <d v="1899-12-30T13:34:00Z"/>
        <d v="1899-12-30T13:55:00Z"/>
        <d v="1899-12-30T09:15:00Z"/>
        <d v="1899-12-30T09:34:00Z"/>
        <d v="1899-12-30T10:58:00Z"/>
        <d v="1899-12-30T12:22:00Z"/>
        <d v="1899-12-30T13:42:00Z"/>
        <d v="1899-12-30T07:29:00Z"/>
        <d v="1899-12-30T16:00:00Z"/>
        <d v="1899-12-30T11:36:00Z"/>
        <d v="1899-12-30T14:31:00Z"/>
        <d v="1899-12-30T12:59:00Z"/>
        <d v="1899-12-30T15:10:00Z"/>
        <d v="1899-12-30T17:44:00Z"/>
        <d v="1899-12-30T19:57:00Z"/>
        <d v="1899-12-30T08:25:00Z"/>
        <d v="1899-12-30T10:10:00Z"/>
        <d v="1899-12-30T12:08:00Z"/>
        <d v="1899-12-30T17:03:00Z"/>
        <d v="1899-12-30T18:49:00Z"/>
        <d v="1899-12-30T19:07:00Z"/>
        <d v="1899-12-30T19:46:00Z"/>
        <d v="1899-12-30T21:41:00Z"/>
        <d v="1899-12-30T13:30:00Z"/>
        <d v="1899-12-30T14:13:00Z"/>
        <d v="1899-12-30T22:10:00Z"/>
        <d v="1899-12-30T13:13:00Z"/>
        <d v="1899-12-30T18:46:00Z"/>
        <d v="1899-12-30T22:44:00Z"/>
        <d v="1899-12-30T18:42:00Z"/>
        <d v="1899-12-30T22:16:00Z"/>
        <d v="1899-12-30T13:45:00Z"/>
        <d v="1899-12-30T14:26:00Z"/>
        <d v="1899-12-30T17:33:00Z"/>
        <d v="1899-12-30T17:54:00Z"/>
        <d v="1899-12-30T22:38:00Z"/>
        <d v="1899-12-30T14:14:00Z"/>
        <d v="1899-12-30T15:37:00Z"/>
        <d v="1899-12-30T22:20:00Z"/>
        <d v="1899-12-30T20:55:00Z"/>
        <d v="1899-12-30T21:30:00Z"/>
        <d v="1899-12-30T21:24:00Z"/>
        <d v="1899-12-30T22:34:00Z"/>
        <d v="1899-12-30T23:55:00Z"/>
        <d v="1899-12-30T05:47:00Z"/>
        <d v="1899-12-30T16:45:00Z"/>
        <d v="1899-12-30T17:18:00Z"/>
        <d v="1899-12-30T06:08:00Z"/>
        <d v="1899-12-30T17:58:00Z"/>
        <d v="1899-12-30T19:35:00Z"/>
        <d v="1899-12-30T09:03:00Z"/>
        <d v="1899-12-30T17:19:00Z"/>
        <d v="1899-12-30T21:47:00Z"/>
        <d v="1899-12-30T18:35:00Z"/>
        <d v="1899-12-30T23:01:00Z"/>
        <d v="1899-12-30T13:15:00Z"/>
        <d v="1899-12-30T13:56:00Z"/>
        <d v="1899-12-30T14:34:00Z"/>
        <d v="1899-12-30T09:11:00Z"/>
        <d v="1899-12-30T13:00:00Z"/>
        <d v="1899-12-30T15:43:00Z"/>
        <d v="1899-12-30T15:39:00Z"/>
        <d v="1899-12-30T20:19:00Z"/>
        <d v="1899-12-30T21:09:00Z"/>
        <d v="1899-12-30T20:26:00Z"/>
        <d v="1899-12-30T20:47:00Z"/>
        <d v="1899-12-30T22:11:00Z"/>
        <d v="1899-12-30T00:15:00Z"/>
        <d v="1899-12-30T14:35:00Z"/>
        <d v="1899-12-30T17:50:00Z"/>
        <d v="1899-12-30T13:10:00Z"/>
        <d v="1899-12-30T11:29:00Z"/>
        <d v="1899-12-30T13:08:00Z"/>
        <d v="1899-12-30T18:14:00Z"/>
        <d v="1899-12-30T18:41:00Z"/>
        <d v="1899-12-30T19:36:00Z"/>
        <d v="1899-12-30T22:47:00Z"/>
        <d v="1899-12-30T15:06:00Z"/>
        <d v="1899-12-30T15:57:00Z"/>
        <d v="1899-12-30T18:05:00Z"/>
        <d v="1899-12-30T21:53:00Z"/>
        <d v="1899-12-30T23:52:00Z"/>
        <d v="1899-12-30T20:06:00Z"/>
        <d v="1899-12-30T21:08:00Z"/>
        <d v="1899-12-30T23:34:00Z"/>
        <d v="1899-12-30T21:42:00Z"/>
        <d v="1899-12-30T23:41:00Z"/>
        <d v="1899-12-30T08:23:00Z"/>
        <d v="1899-12-30T12:04:00Z"/>
        <d v="1899-12-30T13:12:00Z"/>
        <d v="1899-12-30T16:55:00Z"/>
        <d v="1899-12-30T17:59:00Z"/>
        <d v="1899-12-30T20:11:00Z"/>
        <d v="1899-12-30T23:53:00Z"/>
        <d v="1899-12-30T17:34:00Z"/>
        <d v="1899-12-30T21:45:00Z"/>
        <d v="1899-12-30T23:39:00Z"/>
        <d v="1899-12-30T19:53:00Z"/>
        <d v="1899-12-30T20:05:00Z"/>
        <d v="1899-12-30T21:58:00Z"/>
        <d v="1899-12-30T05:23:00Z"/>
        <d v="1899-12-30T14:17:00Z"/>
        <d v="1899-12-30T18:08:00Z"/>
        <d v="1899-12-30T18:54:00Z"/>
        <d v="1899-12-30T20:00:00Z"/>
        <d v="1899-12-30T12:03:00Z"/>
        <d v="1899-12-30T16:09:00Z"/>
        <d v="1899-12-30T01:46:00Z"/>
        <d v="1899-12-30T15:26:00Z"/>
        <d v="1899-12-30T16:37:00Z"/>
        <d v="1899-12-30T17:29:00Z"/>
        <d v="1899-12-30T19:52:00Z"/>
        <d v="1899-12-30T19:39:00Z"/>
        <d v="1899-12-30T21:43:00Z"/>
        <d v="1899-12-30T16:11:00Z"/>
        <d v="1899-12-30T00:29:00Z"/>
        <d v="1899-12-30T02:39:00Z"/>
        <d v="1899-12-30T05:51:00Z"/>
        <d v="1899-12-30T17:11:00Z"/>
        <d v="1899-12-30T11:54:00Z"/>
        <d v="1899-12-30T12:19:00Z"/>
        <d v="1899-12-30T20:44:00Z"/>
        <d v="1899-12-30T10:18:00Z"/>
        <d v="1899-12-30T10:50:00Z"/>
        <d v="1899-12-30T11:25:00Z"/>
        <d v="1899-12-30T11:53:00Z"/>
        <d v="1899-12-30T23:19:00Z"/>
        <d v="1899-12-30T17:43:00Z"/>
        <d v="1899-12-30T19:41:00Z"/>
        <d v="1899-12-30T21:14:00Z"/>
        <d v="1899-12-30T08:51:00Z"/>
        <d v="1899-12-30T09:05:00Z"/>
        <d v="1899-12-30T09:43:00Z"/>
        <d v="1899-12-30T10:22:00Z"/>
        <d v="1899-12-30T10:51:00Z"/>
        <d v="1899-12-30T11:06:00Z"/>
        <d v="1899-12-30T00:48:00Z"/>
        <d v="1899-12-30T20:13:00Z"/>
        <d v="1899-12-30T08:56:00Z"/>
        <d v="1899-12-30T11:49:00Z"/>
        <d v="1899-12-30T12:11:00Z"/>
        <d v="1899-12-30T23:38:00Z"/>
        <d v="1899-12-30T20:09:00Z"/>
        <d v="1899-12-30T00:00:00Z"/>
        <d v="1899-12-30T23:48:00Z"/>
        <d v="1899-12-30T00:28:00Z"/>
        <d v="1899-12-30T03:02:00Z"/>
        <d v="1899-12-30T00:32:00Z"/>
        <d v="1899-12-30T00:08:00Z"/>
        <d v="1899-12-30T16:48:00Z"/>
        <d v="1899-12-30T22:41:00Z"/>
        <d v="1899-12-30T12:48:00Z"/>
        <d v="1899-12-30T20:04:00Z"/>
        <d v="1899-12-30T23:46:00Z"/>
        <d v="1899-12-30T08:22:00Z"/>
        <d v="1899-12-30T10:27:00Z"/>
        <d v="1899-12-30T09:50:00Z"/>
        <d v="1899-12-30T13:48:00Z"/>
        <d v="1899-12-30T09:52:00Z"/>
        <d v="1899-12-30T10:15:00Z"/>
        <d v="1899-12-30T14:10:00Z"/>
        <d v="1899-12-30T19:51:00Z"/>
        <d v="1899-12-30T16:10:00Z"/>
        <d v="1899-12-30T23:47:00Z"/>
        <d v="1899-12-30T15:51:00Z"/>
        <d v="1899-12-30T16:03:00Z"/>
        <d v="1899-12-30T16:39:00Z"/>
        <d v="1899-12-30T12:35:00Z"/>
        <d v="1899-12-30T15:03:00Z"/>
        <d v="1899-12-30T15:40:00Z"/>
        <d v="1899-12-30T13:14:00Z"/>
        <d v="1899-12-30T15:29:00Z"/>
        <d v="1899-12-30T19:42:00Z"/>
        <d v="1899-12-30T22:50:00Z"/>
        <d v="1899-12-30T11:23:00Z"/>
        <d v="1899-12-30T12:20:00Z"/>
        <d v="1899-12-30T10:37:00Z"/>
        <d v="1899-12-30T11:40:00Z"/>
        <d v="1899-12-30T17:12:00Z"/>
        <d v="1899-12-30T18:32:00Z"/>
        <d v="1899-12-30T20:28:00Z"/>
        <d v="1899-12-30T17:14:00Z"/>
        <d v="1899-12-30T18:16:00Z"/>
        <d v="1899-12-30T17:42:00Z"/>
        <d v="1899-12-30T10:42:00Z"/>
        <d v="1899-12-30T11:11:00Z"/>
        <d v="1899-12-30T11:37:00Z"/>
        <d v="1899-12-30T12:14:00Z"/>
        <d v="1899-12-30T13:21:00Z"/>
        <d v="1899-12-30T14:27:00Z"/>
        <d v="1899-12-30T15:49:00Z"/>
        <d v="1899-12-30T18:33:00Z"/>
        <d v="1899-12-30T14:48:00Z"/>
        <d v="1899-12-30T15:15:00Z"/>
        <d v="1899-12-30T15:50:00Z"/>
        <d v="1899-12-30T20:17:00Z"/>
        <d v="1899-12-30T23:18:00Z"/>
        <d v="1899-12-30T10:47:00Z"/>
        <d v="1899-12-30T20:52:00Z"/>
        <d v="1899-12-30T22:31:00Z"/>
        <d v="1899-12-30T19:08:00Z"/>
        <d v="1899-12-30T21:34:00Z"/>
        <d v="1899-12-30T22:00:00Z"/>
        <d v="1899-12-30T00:04:00Z"/>
        <d v="1899-12-30T15:45:00Z"/>
        <d v="1899-12-30T17:02:00Z"/>
        <d v="1899-12-30T21:16:00Z"/>
        <d v="1899-12-30T13:28:00Z"/>
        <d v="1899-12-30T13:52:00Z"/>
        <d v="1899-12-30T08:11:00Z"/>
        <d v="1899-12-30T11:51:00Z"/>
        <d v="1899-12-30T19:15:00Z"/>
        <d v="1899-12-30T21:23:00Z"/>
        <d v="1899-12-30T12:46:00Z"/>
        <d v="1899-12-30T14:59:00Z"/>
        <d v="1899-12-30T18:17:00Z"/>
        <d v="1899-12-30T19:17:00Z"/>
        <d v="1899-12-30T06:40:00Z"/>
        <d v="1899-12-30T17:28:00Z"/>
        <d v="1899-12-30T20:15:00Z"/>
        <d v="1899-12-30T16:17:00Z"/>
        <d v="1899-12-30T21:50:00Z"/>
        <d v="1899-12-30T23:28:00Z"/>
        <d v="1899-12-30T14:20:00Z"/>
        <d v="1899-12-30T16:56:00Z"/>
        <d v="1899-12-30T17:53:00Z"/>
        <d v="1899-12-30T18:37:00Z"/>
        <d v="1899-12-30T20:59:00Z"/>
        <d v="1899-12-30T18:56:00Z"/>
        <d v="1899-12-30T15:20:00Z"/>
        <d v="1899-12-30T07:58:00Z"/>
        <d v="1899-12-30T08:16:00Z"/>
        <d v="1899-12-30T08:46:00Z"/>
        <d v="1899-12-30T10:06:00Z"/>
        <d v="1899-12-30T10:17:00Z"/>
        <d v="1899-12-30T10:57:00Z"/>
        <d v="1899-12-30T14:45:00Z"/>
        <d v="1899-12-30T15:32:00Z"/>
        <d v="1899-12-30T16:54:00Z"/>
        <d v="1899-12-30T17:05:00Z"/>
        <d v="1899-12-30T18:38:00Z"/>
        <d v="1899-12-30T18:40:00Z"/>
        <d v="1899-12-30T08:24:00Z"/>
        <d v="1899-12-30T08:54:00Z"/>
        <d v="1899-12-30T09:27:00Z"/>
        <d v="1899-12-30T12:07:00Z"/>
        <d v="1899-12-30T10:00:00Z"/>
        <d v="1899-12-30T16:30:00Z"/>
        <d v="1899-12-30T18:10:00Z"/>
        <d v="1899-12-30T18:48:00Z"/>
        <d v="1899-12-30T19:58:00Z"/>
        <d v="1899-12-30T20:53:00Z"/>
        <d v="1899-12-30T08:10:00Z"/>
        <d v="1899-12-30T09:35:00Z"/>
        <d v="1899-12-30T13:19:00Z"/>
        <d v="1899-12-30T13:49:00Z"/>
        <d v="1899-12-30T15:07:00Z"/>
        <d v="1899-12-30T12:05:00Z"/>
        <d v="1899-12-30T16:36:00Z"/>
        <d v="1899-12-30T19:25:00Z"/>
        <d v="1899-12-30T22:58:00Z"/>
        <d v="1899-12-30T15:23:00Z"/>
        <d v="1899-12-30T19:31:00Z"/>
        <d v="1899-12-30T12:12:00Z"/>
        <d v="1899-12-30T16:15:00Z"/>
        <d v="1899-12-30T09:57:00Z"/>
        <d v="1899-12-30T21:15:00Z"/>
        <d v="1899-12-30T12:02:00Z"/>
        <d v="1899-12-30T13:38:00Z"/>
        <d v="1899-12-30T16:06:00Z"/>
        <d v="1899-12-30T17:24:00Z"/>
        <d v="1899-12-30T17:21:00Z"/>
        <d v="1899-12-30T10:25:00Z"/>
        <d v="1899-12-30T10:28:00Z"/>
        <d v="1899-12-30T09:51:00Z"/>
        <d v="1899-12-30T21:40:00Z"/>
        <d v="1899-12-30T08:07:00Z"/>
        <d v="1899-12-30T11:15:00Z"/>
        <d v="1899-12-30T11:55:00Z"/>
        <d v="1899-12-30T20:33:00Z"/>
        <d v="1899-12-30T18:07:00Z"/>
        <d v="1899-12-30T06:18:00Z"/>
        <d v="1899-12-30T14:40:00Z"/>
        <d v="1899-12-30T16:23:00Z"/>
        <d v="1899-12-30T17:36:00Z"/>
        <d v="1899-12-30T19:10:00Z"/>
        <d v="1899-12-30T08:33:00Z"/>
        <d v="1899-12-30T19:14:00Z"/>
        <d v="1899-12-30T17:39:00Z"/>
        <d v="1899-12-30T18:51:00Z"/>
        <d v="1899-12-30T22:04:00Z"/>
        <d v="1899-12-30T08:49:00Z"/>
        <d v="1899-12-30T11:27:00Z"/>
        <d v="1899-12-30T14:29:00Z"/>
        <d v="1899-12-30T15:47:00Z"/>
        <d v="1899-12-30T18:15:00Z"/>
        <d v="1899-12-30T14:04:00Z"/>
        <d v="1899-12-30T17:22:00Z"/>
        <d v="1899-12-30T01:27:00Z"/>
        <d v="1899-12-30T19:18:00Z"/>
        <d v="1899-12-30T13:37:00Z"/>
        <d v="1899-12-30T16:08:00Z"/>
        <d v="1899-12-30T08:50:00Z"/>
        <d v="1899-12-30T10:16:00Z"/>
        <d v="1899-12-30T23:54:00Z"/>
        <d v="1899-12-30T22:28:00Z"/>
        <d v="1899-12-30T00:01:00Z"/>
        <d v="1899-12-30T20:30:00Z"/>
        <d v="1899-12-30T18:02:00Z"/>
        <d v="1899-12-30T08:12:00Z"/>
        <d v="1899-12-30T08:53:00Z"/>
        <d v="1899-12-30T18:12:00Z"/>
        <d v="1899-12-30T19:03:00Z"/>
        <d v="1899-12-30T20:31:00Z"/>
        <d v="1899-12-30T09:33:00Z"/>
        <d v="1899-12-30T09:54:00Z"/>
        <d v="1899-12-30T14:02:00Z"/>
        <d v="1899-12-30T15:44:00Z"/>
        <d v="1899-12-30T16:33:00Z"/>
        <d v="1899-12-30T11:26:00Z"/>
        <d v="1899-12-30T00:54:00Z"/>
        <d v="1899-12-30T19:04:00Z"/>
        <d v="1899-12-30T21:10:00Z"/>
        <d v="1899-12-30T14:57:00Z"/>
        <d v="1899-12-30T15:04:00Z"/>
        <d v="1899-12-30T20:54:00Z"/>
        <d v="1899-12-30T22:24:00Z"/>
        <d v="1899-12-30T19:20:00Z"/>
        <d v="1899-12-30T13:06:00Z"/>
        <d v="1899-12-30T15:53:00Z"/>
        <d v="1899-12-30T18:13:00Z"/>
        <d v="1899-12-30T15:22:00Z"/>
        <d v="1899-12-30T17:13:00Z"/>
        <d v="1899-12-30T07:49:00Z"/>
        <d v="1899-12-30T10:11:00Z"/>
        <d v="1899-12-30T12:24:00Z"/>
        <d v="1899-12-30T12:58:00Z"/>
        <d v="1899-12-30T18:26:00Z"/>
        <d v="1899-12-30T18:11:00Z"/>
        <d v="1899-12-30T11:50:00Z"/>
        <d v="1899-12-30T17:35:00Z"/>
        <d v="1899-12-30T19:59:00Z"/>
        <d v="1899-12-30T20:41:00Z"/>
        <d v="1899-12-30T16:46:00Z"/>
        <d v="1899-12-30T11:28:00Z"/>
        <d v="1899-12-30T12:43:00Z"/>
        <d v="1899-12-30T22:46:00Z"/>
        <d v="1899-12-30T10:02:00Z"/>
        <d v="1899-12-30T21:04:00Z"/>
        <d v="1899-12-30T22:12:00Z"/>
        <d v="1899-12-30T12:16:00Z"/>
        <d v="1899-12-30T13:41:00Z"/>
        <d v="1899-12-30T15:58:00Z"/>
        <d v="1899-12-30T18:21:00Z"/>
        <d v="1899-12-30T21:56:00Z"/>
        <d v="1899-12-30T10:20:00Z"/>
        <d v="1899-12-30T15:30:00Z"/>
        <d v="1899-12-30T18:30:00Z"/>
        <d v="1899-12-30T10:32:00Z"/>
        <d v="1899-12-30T13:07:00Z"/>
        <d v="1899-12-30T13:46:00Z"/>
        <d v="1899-12-30T14:22:00Z"/>
        <d v="1899-12-30T15:25:00Z"/>
        <d v="1899-12-30T13:05:00Z"/>
        <d v="1899-12-30T11:24:00Z"/>
        <d v="1899-12-30T13:59:00Z"/>
        <d v="1899-12-30T14:09:00Z"/>
        <d v="1899-12-30T20:21:00Z"/>
        <d v="1899-12-30T22:52:00Z"/>
        <d v="1899-12-30T10:13:00Z"/>
        <d v="1899-12-30T17:41:00Z"/>
        <d v="1899-12-30T11:58:00Z"/>
        <d v="1899-12-30T14:58:00Z"/>
        <d v="1899-12-30T17:45:00Z"/>
        <d v="1899-12-30T15:12:00Z"/>
        <d v="1899-12-30T21:02:00Z"/>
        <d v="1899-12-30T15:54:00Z"/>
        <d v="1899-12-30T17:00:00Z"/>
        <d v="1899-12-30T18:29:00Z"/>
        <d v="1899-12-30T11:03:00Z"/>
        <d v="1899-12-30T07:44:00Z"/>
        <d v="1899-12-30T08:37:00Z"/>
        <d v="1899-12-30T22:59:00Z"/>
        <d v="1899-12-30T20:23:00Z"/>
        <d v="1899-12-30T19:22:00Z"/>
        <d v="1899-12-30T21:13:00Z"/>
        <d v="1899-12-30T14:19:00Z"/>
        <d v="1899-12-30T22:03:00Z"/>
        <d v="1899-12-30T22:09:00Z"/>
        <d v="1899-12-30T19:05:00Z"/>
        <d v="1899-12-30T17:51:00Z"/>
        <d v="1899-12-30T18:19:00Z"/>
        <d v="1899-12-30T20:20:00Z"/>
        <d v="1899-12-30T15:38:00Z"/>
        <d v="1899-12-30T20:35:00Z"/>
        <d v="1899-12-30T09:08:00Z"/>
        <d v="1899-12-30T14:18:00Z"/>
        <d v="1899-12-30T15:09:00Z"/>
        <d v="1899-12-30T16:50:00Z"/>
        <d v="1899-12-30T19:55:00Z"/>
        <d v="1899-12-30T10:30:00Z"/>
        <d v="1899-12-30T16:14:00Z"/>
        <d v="1899-12-30T07:42:00Z"/>
        <d v="1899-12-30T10:14:00Z"/>
        <d v="1899-12-30T15:55:00Z"/>
        <d v="1899-12-30T19:49:00Z"/>
        <d v="1899-12-30T20:56:00Z"/>
        <d v="1899-12-30T17:04:00Z"/>
        <d v="1899-12-30T17:56:00Z"/>
        <d v="1899-12-30T23:27:00Z"/>
        <d v="1899-12-30T11:33:00Z"/>
        <d v="1899-12-30T14:15:00Z"/>
        <d v="1899-12-30T07:43:00Z"/>
        <d v="1899-12-30T09:19:00Z"/>
        <d v="1899-12-30T10:34:00Z"/>
        <d v="1899-12-30T00:10:00Z"/>
        <d v="1899-12-30T08:30:00Z"/>
        <d v="1899-12-30T13:09:00Z"/>
        <d v="1899-12-30T07:02:00Z"/>
        <d v="1899-12-30T19:19:00Z"/>
        <d v="1899-12-30T13:53:00Z"/>
        <d v="1899-12-30T00:49:00Z"/>
        <d v="1899-12-30T09:44:00Z"/>
        <d v="1899-12-30T12:25:00Z"/>
        <d v="1899-12-30T13:17:00Z"/>
        <d v="1899-12-30T15:05:00Z"/>
        <d v="1899-12-30T19:50:00Z"/>
        <d v="1899-12-30T23:14:00Z"/>
        <d v="1899-12-30T11:31:00Z"/>
        <d v="1899-12-30T15:41:00Z"/>
        <d v="1899-12-30T23:06:00Z"/>
        <d v="1899-12-30T01:07:00Z"/>
        <d v="1899-12-30T21:32:00Z"/>
        <d v="1899-12-30T22:08:00Z"/>
      </sharedItems>
    </cacheField>
    <cacheField name="END_TIME" numFmtId="165">
      <sharedItems containsSemiMixedTypes="0" containsDate="1" containsString="0">
        <d v="1899-12-30T21:17:00Z"/>
        <d v="1899-12-30T01:37:00Z"/>
        <d v="1899-12-30T20:38:00Z"/>
        <d v="1899-12-30T17:45:00Z"/>
        <d v="1899-12-30T15:49:00Z"/>
        <d v="1899-12-30T17:19:00Z"/>
        <d v="1899-12-30T17:35:00Z"/>
        <d v="1899-12-30T13:33:00Z"/>
        <d v="1899-12-30T08:25:00Z"/>
        <d v="1899-12-30T12:44:00Z"/>
        <d v="1899-12-30T15:51:00Z"/>
        <d v="1899-12-30T18:53:00Z"/>
        <d v="1899-12-30T19:32:00Z"/>
        <d v="1899-12-30T09:21:00Z"/>
        <d v="1899-12-30T12:03:00Z"/>
        <d v="1899-12-30T13:46:00Z"/>
        <d v="1899-12-30T14:43:00Z"/>
        <d v="1899-12-30T12:49:00Z"/>
        <d v="1899-12-30T13:09:00Z"/>
        <d v="1899-12-30T14:56:00Z"/>
        <d v="1899-12-30T15:28:00Z"/>
        <d v="1899-12-30T15:54:00Z"/>
        <d v="1899-12-30T17:00:00Z"/>
        <d v="1899-12-30T14:07:00Z"/>
        <d v="1899-12-30T17:05:00Z"/>
        <d v="1899-12-30T21:45:00Z"/>
        <d v="1899-12-30T01:01:00Z"/>
        <d v="1899-12-30T13:44:00Z"/>
        <d v="1899-12-30T15:06:00Z"/>
        <d v="1899-12-30T16:24:00Z"/>
        <d v="1899-12-30T09:23:00Z"/>
        <d v="1899-12-30T11:09:00Z"/>
        <d v="1899-12-30T11:11:00Z"/>
        <d v="1899-12-30T12:19:00Z"/>
        <d v="1899-12-30T14:19:00Z"/>
        <d v="1899-12-30T14:29:00Z"/>
        <d v="1899-12-30T14:51:00Z"/>
        <d v="1899-12-30T16:06:00Z"/>
        <d v="1899-12-30T10:50:00Z"/>
        <d v="1899-12-30T12:41:00Z"/>
        <d v="1899-12-30T16:32:00Z"/>
        <d v="1899-12-30T17:22:00Z"/>
        <d v="1899-12-30T17:29:00Z"/>
        <d v="1899-12-30T09:31:00Z"/>
        <d v="1899-12-30T10:48:00Z"/>
        <d v="1899-12-30T14:13:00Z"/>
        <d v="1899-12-30T15:08:00Z"/>
        <d v="1899-12-30T13:00:00Z"/>
        <d v="1899-12-30T15:31:00Z"/>
        <d v="1899-12-30T16:51:00Z"/>
        <d v="1899-12-30T09:45:00Z"/>
        <d v="1899-12-30T11:07:00Z"/>
        <d v="1899-12-30T13:47:00Z"/>
        <d v="1899-12-30T18:52:00Z"/>
        <d v="1899-12-30T21:40:00Z"/>
        <d v="1899-12-30T16:33:00Z"/>
        <d v="1899-12-30T18:24:00Z"/>
        <d v="1899-12-30T11:15:00Z"/>
        <d v="1899-12-30T12:43:00Z"/>
        <d v="1899-12-30T13:07:00Z"/>
        <d v="1899-12-30T13:23:00Z"/>
        <d v="1899-12-30T14:06:00Z"/>
        <d v="1899-12-30T14:42:00Z"/>
        <d v="1899-12-30T09:01:00Z"/>
        <d v="1899-12-30T10:09:00Z"/>
        <d v="1899-12-30T10:32:00Z"/>
        <d v="1899-12-30T16:03:00Z"/>
        <d v="1899-12-30T16:39:00Z"/>
        <d v="1899-12-30T18:31:00Z"/>
        <d v="1899-12-30T20:55:00Z"/>
        <d v="1899-12-30T12:07:00Z"/>
        <d v="1899-12-30T13:41:00Z"/>
        <d v="1899-12-30T16:53:00Z"/>
        <d v="1899-12-30T19:21:00Z"/>
        <d v="1899-12-30T19:37:00Z"/>
        <d v="1899-12-30T17:01:00Z"/>
        <d v="1899-12-30T18:17:00Z"/>
        <d v="1899-12-30T20:40:00Z"/>
        <d v="1899-12-30T13:08:00Z"/>
        <d v="1899-12-30T14:10:00Z"/>
        <d v="1899-12-30T11:50:00Z"/>
        <d v="1899-12-30T13:52:00Z"/>
        <d v="1899-12-30T14:02:00Z"/>
        <d v="1899-12-30T19:11:00Z"/>
        <d v="1899-12-30T17:10:00Z"/>
        <d v="1899-12-30T18:10:00Z"/>
        <d v="1899-12-30T18:46:00Z"/>
        <d v="1899-12-30T20:51:00Z"/>
        <d v="1899-12-30T08:42:00Z"/>
        <d v="1899-12-30T10:52:00Z"/>
        <d v="1899-12-30T11:35:00Z"/>
        <d v="1899-12-30T13:36:00Z"/>
        <d v="1899-12-30T14:41:00Z"/>
        <d v="1899-12-30T00:01:00Z"/>
        <d v="1899-12-30T01:00:00Z"/>
        <d v="1899-12-30T14:40:00Z"/>
        <d v="1899-12-30T15:03:00Z"/>
        <d v="1899-12-30T17:02:00Z"/>
        <d v="1899-12-30T04:13:00Z"/>
        <d v="1899-12-30T09:34:00Z"/>
        <d v="1899-12-30T10:41:00Z"/>
        <d v="1899-12-30T12:02:00Z"/>
        <d v="1899-12-30T12:42:00Z"/>
        <d v="1899-12-30T13:55:00Z"/>
        <d v="1899-12-30T17:26:00Z"/>
        <d v="1899-12-30T17:44:00Z"/>
        <d v="1899-12-30T14:04:00Z"/>
        <d v="1899-12-30T15:22:00Z"/>
        <d v="1899-12-30T16:17:00Z"/>
        <d v="1899-12-30T16:43:00Z"/>
        <d v="1899-12-30T08:27:00Z"/>
        <d v="1899-12-30T14:45:00Z"/>
        <d v="1899-12-30T18:58:00Z"/>
        <d v="1899-12-30T20:08:00Z"/>
        <d v="1899-12-30T09:14:00Z"/>
        <d v="1899-12-30T09:51:00Z"/>
        <d v="1899-12-30T11:26:00Z"/>
        <d v="1899-12-30T12:27:00Z"/>
        <d v="1899-12-30T16:45:00Z"/>
        <d v="1899-12-30T17:20:00Z"/>
        <d v="1899-12-30T20:30:00Z"/>
        <d v="1899-12-30T08:32:00Z"/>
        <d v="1899-12-30T10:56:00Z"/>
        <d v="1899-12-30T11:53:00Z"/>
        <d v="1899-12-30T13:17:00Z"/>
        <d v="1899-12-30T17:54:00Z"/>
        <d v="1899-12-30T18:03:00Z"/>
        <d v="1899-12-30T19:49:00Z"/>
        <d v="1899-12-30T09:46:00Z"/>
        <d v="1899-12-30T11:43:00Z"/>
        <d v="1899-12-30T12:01:00Z"/>
        <d v="1899-12-30T12:35:00Z"/>
        <d v="1899-12-30T13:12:00Z"/>
        <d v="1899-12-30T14:30:00Z"/>
        <d v="1899-12-30T15:41:00Z"/>
        <d v="1899-12-30T23:52:00Z"/>
        <d v="1899-12-30T22:09:00Z"/>
        <d v="1899-12-30T14:35:00Z"/>
        <d v="1899-12-30T15:25:00Z"/>
        <d v="1899-12-30T16:35:00Z"/>
        <d v="1899-12-30T17:36:00Z"/>
        <d v="1899-12-30T18:39:00Z"/>
        <d v="1899-12-30T09:29:00Z"/>
        <d v="1899-12-30T11:59:00Z"/>
        <d v="1899-12-30T13:24:00Z"/>
        <d v="1899-12-30T14:46:00Z"/>
        <d v="1899-12-30T15:18:00Z"/>
        <d v="1899-12-30T17:12:00Z"/>
        <d v="1899-12-30T05:38:00Z"/>
        <d v="1899-12-30T09:42:00Z"/>
        <d v="1899-12-30T11:14:00Z"/>
        <d v="1899-12-30T11:40:00Z"/>
        <d v="1899-12-30T12:48:00Z"/>
        <d v="1899-12-30T19:10:00Z"/>
        <d v="1899-12-30T09:52:00Z"/>
        <d v="1899-12-30T11:10:00Z"/>
        <d v="1899-12-30T14:58:00Z"/>
        <d v="1899-12-30T15:48:00Z"/>
        <d v="1899-12-30T16:42:00Z"/>
        <d v="1899-12-30T08:06:00Z"/>
        <d v="1899-12-30T10:03:00Z"/>
        <d v="1899-12-30T12:06:00Z"/>
        <d v="1899-12-30T13:25:00Z"/>
        <d v="1899-12-30T14:09:00Z"/>
        <d v="1899-12-30T16:08:00Z"/>
        <d v="1899-12-30T16:22:00Z"/>
        <d v="1899-12-30T19:08:00Z"/>
        <d v="1899-12-30T19:25:00Z"/>
        <d v="1899-12-30T14:18:00Z"/>
        <d v="1899-12-30T15:01:00Z"/>
        <d v="1899-12-30T17:13:00Z"/>
        <d v="1899-12-30T17:34:00Z"/>
        <d v="1899-12-30T09:20:00Z"/>
        <d v="1899-12-30T09:47:00Z"/>
        <d v="1899-12-30T12:26:00Z"/>
        <d v="1899-12-30T15:45:00Z"/>
        <d v="1899-12-30T14:55:00Z"/>
        <d v="1899-12-30T16:00:00Z"/>
        <d v="1899-12-30T16:25:00Z"/>
        <d v="1899-12-30T03:53:00Z"/>
        <d v="1899-12-30T10:37:00Z"/>
        <d v="1899-12-30T16:28:00Z"/>
        <d v="1899-12-30T09:59:00Z"/>
        <d v="1899-12-30T10:36:00Z"/>
        <d v="1899-12-30T12:04:00Z"/>
        <d v="1899-12-30T13:51:00Z"/>
        <d v="1899-12-30T19:35:00Z"/>
        <d v="1899-12-30T09:22:00Z"/>
        <d v="1899-12-30T18:37:00Z"/>
        <d v="1899-12-30T09:37:00Z"/>
        <d v="1899-12-30T18:43:00Z"/>
        <d v="1899-12-30T20:28:00Z"/>
        <d v="1899-12-30T20:58:00Z"/>
        <d v="1899-12-30T21:23:00Z"/>
        <d v="1899-12-30T22:39:00Z"/>
        <d v="1899-12-30T08:49:00Z"/>
        <d v="1899-12-30T18:55:00Z"/>
        <d v="1899-12-30T08:57:00Z"/>
        <d v="1899-12-30T21:01:00Z"/>
        <d v="1899-12-30T11:45:00Z"/>
        <d v="1899-12-30T18:56:00Z"/>
        <d v="1899-12-30T00:44:00Z"/>
        <d v="1899-12-30T15:11:00Z"/>
        <d v="1899-12-30T15:58:00Z"/>
        <d v="1899-12-30T18:02:00Z"/>
        <d v="1899-12-30T19:09:00Z"/>
        <d v="1899-12-30T21:28:00Z"/>
        <d v="1899-12-30T22:04:00Z"/>
        <d v="1899-12-30T07:21:00Z"/>
        <d v="1899-12-30T08:43:00Z"/>
        <d v="1899-12-30T19:29:00Z"/>
        <d v="1899-12-30T21:15:00Z"/>
        <d v="1899-12-30T09:25:00Z"/>
        <d v="1899-12-30T13:13:00Z"/>
        <d v="1899-12-30T14:57:00Z"/>
        <d v="1899-12-30T16:38:00Z"/>
        <d v="1899-12-30T17:32:00Z"/>
        <d v="1899-12-30T17:47:00Z"/>
        <d v="1899-12-30T18:00:00Z"/>
        <d v="1899-12-30T20:39:00Z"/>
        <d v="1899-12-30T07:48:00Z"/>
        <d v="1899-12-30T11:56:00Z"/>
        <d v="1899-12-30T18:40:00Z"/>
        <d v="1899-12-30T19:06:00Z"/>
        <d v="1899-12-30T10:26:00Z"/>
        <d v="1899-12-30T16:13:00Z"/>
        <d v="1899-12-30T19:15:00Z"/>
        <d v="1899-12-30T06:43:00Z"/>
        <d v="1899-12-30T12:24:00Z"/>
        <d v="1899-12-30T14:59:00Z"/>
        <d v="1899-12-30T19:54:00Z"/>
        <d v="1899-12-30T22:22:00Z"/>
        <d v="1899-12-30T01:39:00Z"/>
        <d v="1899-12-30T16:30:00Z"/>
        <d v="1899-12-30T00:40:00Z"/>
        <d v="1899-12-30T01:23:00Z"/>
        <d v="1899-12-30T15:56:00Z"/>
        <d v="1899-12-30T21:41:00Z"/>
        <d v="1899-12-30T23:18:00Z"/>
        <d v="1899-12-30T20:23:00Z"/>
        <d v="1899-12-30T23:26:00Z"/>
        <d v="1899-12-30T16:11:00Z"/>
        <d v="1899-12-30T20:44:00Z"/>
        <d v="1899-12-30T23:21:00Z"/>
        <d v="1899-12-30T22:55:00Z"/>
        <d v="1899-12-30T13:22:00Z"/>
        <d v="1899-12-30T15:09:00Z"/>
        <d v="1899-12-30T14:01:00Z"/>
        <d v="1899-12-30T15:24:00Z"/>
        <d v="1899-12-30T16:49:00Z"/>
        <d v="1899-12-30T16:57:00Z"/>
        <d v="1899-12-30T09:04:00Z"/>
        <d v="1899-12-30T11:16:00Z"/>
        <d v="1899-12-30T14:47:00Z"/>
        <d v="1899-12-30T18:09:00Z"/>
        <d v="1899-12-30T22:36:00Z"/>
        <d v="1899-12-30T01:34:00Z"/>
        <d v="1899-12-30T04:16:00Z"/>
        <d v="1899-12-30T21:55:00Z"/>
        <d v="1899-12-30T00:39:00Z"/>
        <d v="1899-12-30T20:00:00Z"/>
        <d v="1899-12-30T14:03:00Z"/>
        <d v="1899-12-30T15:20:00Z"/>
        <d v="1899-12-30T16:47:00Z"/>
        <d v="1899-12-30T09:26:00Z"/>
        <d v="1899-12-30T09:53:00Z"/>
        <d v="1899-12-30T11:18:00Z"/>
        <d v="1899-12-30T08:09:00Z"/>
        <d v="1899-12-30T12:32:00Z"/>
        <d v="1899-12-30T15:26:00Z"/>
        <d v="1899-12-30T18:08:00Z"/>
        <d v="1899-12-30T20:19:00Z"/>
        <d v="1899-12-30T10:40:00Z"/>
        <d v="1899-12-30T12:28:00Z"/>
        <d v="1899-12-30T13:26:00Z"/>
        <d v="1899-12-30T17:16:00Z"/>
        <d v="1899-12-30T19:05:00Z"/>
        <d v="1899-12-30T19:16:00Z"/>
        <d v="1899-12-30T19:52:00Z"/>
        <d v="1899-12-30T21:50:00Z"/>
        <d v="1899-12-30T13:40:00Z"/>
        <d v="1899-12-30T14:25:00Z"/>
        <d v="1899-12-30T12:34:00Z"/>
        <d v="1899-12-30T13:49:00Z"/>
        <d v="1899-12-30T22:28:00Z"/>
        <d v="1899-12-30T13:34:00Z"/>
        <d v="1899-12-30T19:18:00Z"/>
        <d v="1899-12-30T23:19:00Z"/>
        <d v="1899-12-30T18:57:00Z"/>
        <d v="1899-12-30T22:34:00Z"/>
        <d v="1899-12-30T13:53:00Z"/>
        <d v="1899-12-30T14:31:00Z"/>
        <d v="1899-12-30T22:49:00Z"/>
        <d v="1899-12-30T14:21:00Z"/>
        <d v="1899-12-30T15:37:00Z"/>
        <d v="1899-12-30T21:14:00Z"/>
        <d v="1899-12-30T21:36:00Z"/>
        <d v="1899-12-30T22:27:00Z"/>
        <d v="1899-12-30T22:40:00Z"/>
        <d v="1899-12-30T00:08:00Z"/>
        <d v="1899-12-30T06:02:00Z"/>
        <d v="1899-12-30T16:59:00Z"/>
        <d v="1899-12-30T06:25:00Z"/>
        <d v="1899-12-30T18:26:00Z"/>
        <d v="1899-12-30T19:59:00Z"/>
        <d v="1899-12-30T17:31:00Z"/>
        <d v="1899-12-30T09:12:00Z"/>
        <d v="1899-12-30T23:05:00Z"/>
        <d v="1899-12-30T14:08:00Z"/>
        <d v="1899-12-30T09:41:00Z"/>
        <d v="1899-12-30T13:02:00Z"/>
        <d v="1899-12-30T16:12:00Z"/>
        <d v="1899-12-30T15:46:00Z"/>
        <d v="1899-12-30T20:27:00Z"/>
        <d v="1899-12-30T21:21:00Z"/>
        <d v="1899-12-30T20:53:00Z"/>
        <d v="1899-12-30T22:14:00Z"/>
        <d v="1899-12-30T00:21:00Z"/>
        <d v="1899-12-30T13:06:00Z"/>
        <d v="1899-12-30T15:04:00Z"/>
        <d v="1899-12-30T17:59:00Z"/>
        <d v="1899-12-30T10:47:00Z"/>
        <d v="1899-12-30T13:39:00Z"/>
        <d v="1899-12-30T11:49:00Z"/>
        <d v="1899-12-30T13:38:00Z"/>
        <d v="1899-12-30T18:29:00Z"/>
        <d v="1899-12-30T19:42:00Z"/>
        <d v="1899-12-30T23:06:00Z"/>
        <d v="1899-12-30T14:33:00Z"/>
        <d v="1899-12-30T18:14:00Z"/>
        <d v="1899-12-30T22:05:00Z"/>
        <d v="1899-12-30T20:20:00Z"/>
        <d v="1899-12-30T21:37:00Z"/>
        <d v="1899-12-30T22:00:00Z"/>
        <d v="1899-12-30T23:48:00Z"/>
        <d v="1899-12-30T00:04:00Z"/>
        <d v="1899-12-30T08:53:00Z"/>
        <d v="1899-12-30T13:01:00Z"/>
        <d v="1899-12-30T13:29:00Z"/>
        <d v="1899-12-30T14:37:00Z"/>
        <d v="1899-12-30T17:11:00Z"/>
        <d v="1899-12-30T17:18:00Z"/>
        <d v="1899-12-30T18:05:00Z"/>
        <d v="1899-12-30T20:25:00Z"/>
        <d v="1899-12-30T17:39:00Z"/>
        <d v="1899-12-30T17:56:00Z"/>
        <d v="1899-12-30T00:05:00Z"/>
        <d v="1899-12-30T19:56:00Z"/>
        <d v="1899-12-30T20:16:00Z"/>
        <d v="1899-12-30T22:19:00Z"/>
        <d v="1899-12-30T05:42:00Z"/>
        <d v="1899-12-30T18:47:00Z"/>
        <d v="1899-12-30T19:23:00Z"/>
        <d v="1899-12-30T20:05:00Z"/>
        <d v="1899-12-30T12:21:00Z"/>
        <d v="1899-12-30T17:24:00Z"/>
        <d v="1899-12-30T17:57:00Z"/>
        <d v="1899-12-30T02:06:00Z"/>
        <d v="1899-12-30T15:34:00Z"/>
        <d v="1899-12-30T17:49:00Z"/>
        <d v="1899-12-30T19:58:00Z"/>
        <d v="1899-12-30T21:56:00Z"/>
        <d v="1899-12-30T16:44:00Z"/>
        <d v="1899-12-30T00:51:00Z"/>
        <d v="1899-12-30T02:50:00Z"/>
        <d v="1899-12-30T06:00:00Z"/>
        <d v="1899-12-30T10:57:00Z"/>
        <d v="1899-12-30T12:37:00Z"/>
        <d v="1899-12-30T13:27:00Z"/>
        <d v="1899-12-30T14:20:00Z"/>
        <d v="1899-12-30T21:02:00Z"/>
        <d v="1899-12-30T10:08:00Z"/>
        <d v="1899-12-30T10:25:00Z"/>
        <d v="1899-12-30T11:34:00Z"/>
        <d v="1899-12-30T13:21:00Z"/>
        <d v="1899-12-30T18:18:00Z"/>
        <d v="1899-12-30T19:12:00Z"/>
        <d v="1899-12-30T19:50:00Z"/>
        <d v="1899-12-30T21:42:00Z"/>
        <d v="1899-12-30T08:48:00Z"/>
        <d v="1899-12-30T09:00:00Z"/>
        <d v="1899-12-30T09:33:00Z"/>
        <d v="1899-12-30T10:39:00Z"/>
        <d v="1899-12-30T10:58:00Z"/>
        <d v="1899-12-30T11:24:00Z"/>
        <d v="1899-12-30T11:42:00Z"/>
        <d v="1899-12-30T14:05:00Z"/>
        <d v="1899-12-30T21:19:00Z"/>
        <d v="1899-12-30T01:05:00Z"/>
        <d v="1899-12-30T20:33:00Z"/>
        <d v="1899-12-30T23:59:00Z"/>
        <d v="1899-12-30T09:24:00Z"/>
        <d v="1899-12-30T10:38:00Z"/>
        <d v="1899-12-30T11:51:00Z"/>
        <d v="1899-12-30T12:16:00Z"/>
        <d v="1899-12-30T20:29:00Z"/>
        <d v="1899-12-30T00:00:00Z"/>
        <d v="1899-12-30T20:26:00Z"/>
        <d v="1899-12-30T00:25:00Z"/>
        <d v="1899-12-30T09:57:00Z"/>
        <d v="1899-12-30T20:24:00Z"/>
        <d v="1899-12-30T00:09:00Z"/>
        <d v="1899-12-30T20:36:00Z"/>
        <d v="1899-12-30T00:12:00Z"/>
        <d v="1899-12-30T00:38:00Z"/>
        <d v="1899-12-30T03:08:00Z"/>
        <d v="1899-12-30T20:18:00Z"/>
        <d v="1899-12-30T00:47:00Z"/>
        <d v="1899-12-30T18:49:00Z"/>
        <d v="1899-12-30T20:17:00Z"/>
        <d v="1899-12-30T00:28:00Z"/>
        <d v="1899-12-30T16:52:00Z"/>
        <d v="1899-12-30T23:02:00Z"/>
        <d v="1899-12-30T00:53:00Z"/>
        <d v="1899-12-30T20:14:00Z"/>
        <d v="1899-12-30T08:50:00Z"/>
        <d v="1899-12-30T10:33:00Z"/>
        <d v="1899-12-30T13:35:00Z"/>
        <d v="1899-12-30T10:13:00Z"/>
        <d v="1899-12-30T11:12:00Z"/>
        <d v="1899-12-30T14:11:00Z"/>
        <d v="1899-12-30T17:30:00Z"/>
        <d v="1899-12-30T10:06:00Z"/>
        <d v="1899-12-30T14:17:00Z"/>
        <d v="1899-12-30T16:15:00Z"/>
        <d v="1899-12-30T18:21:00Z"/>
        <d v="1899-12-30T19:26:00Z"/>
        <d v="1899-12-30T00:11:00Z"/>
        <d v="1899-12-30T13:20:00Z"/>
        <d v="1899-12-30T13:54:00Z"/>
        <d v="1899-12-30T15:59:00Z"/>
        <d v="1899-12-30T16:34:00Z"/>
        <d v="1899-12-30T13:15:00Z"/>
        <d v="1899-12-30T15:33:00Z"/>
        <d v="1899-12-30T15:52:00Z"/>
        <d v="1899-12-30T20:35:00Z"/>
        <d v="1899-12-30T22:18:00Z"/>
        <d v="1899-12-30T23:03:00Z"/>
        <d v="1899-12-30T10:49:00Z"/>
        <d v="1899-12-30T11:36:00Z"/>
        <d v="1899-12-30T17:33:00Z"/>
        <d v="1899-12-30T19:14:00Z"/>
        <d v="1899-12-30T20:32:00Z"/>
        <d v="1899-12-30T10:51:00Z"/>
        <d v="1899-12-30T12:00:00Z"/>
        <d v="1899-12-30T18:20:00Z"/>
        <d v="1899-12-30T17:23:00Z"/>
        <d v="1899-12-30T17:51:00Z"/>
        <d v="1899-12-30T18:42:00Z"/>
        <d v="1899-12-30T19:39:00Z"/>
        <d v="1899-12-30T10:53:00Z"/>
        <d v="1899-12-30T11:25:00Z"/>
        <d v="1899-12-30T12:31:00Z"/>
        <d v="1899-12-30T13:42:00Z"/>
        <d v="1899-12-30T18:51:00Z"/>
        <d v="1899-12-30T14:44:00Z"/>
        <d v="1899-12-30T15:12:00Z"/>
        <d v="1899-12-30T15:27:00Z"/>
        <d v="1899-12-30T16:10:00Z"/>
        <d v="1899-12-30T23:43:00Z"/>
        <d v="1899-12-30T11:33:00Z"/>
        <d v="1899-12-30T11:44:00Z"/>
        <d v="1899-12-30T21:00:00Z"/>
        <d v="1899-12-30T19:20:00Z"/>
        <d v="1899-12-30T21:57:00Z"/>
        <d v="1899-12-30T22:26:00Z"/>
        <d v="1899-12-30T15:47:00Z"/>
        <d v="1899-12-30T17:27:00Z"/>
        <d v="1899-12-30T17:37:00Z"/>
        <d v="1899-12-30T13:04:00Z"/>
        <d v="1899-12-30T13:19:00Z"/>
        <d v="1899-12-30T14:14:00Z"/>
        <d v="1899-12-30T17:55:00Z"/>
        <d v="1899-12-30T12:15:00Z"/>
        <d v="1899-12-30T21:29:00Z"/>
        <d v="1899-12-30T16:04:00Z"/>
        <d v="1899-12-30T19:27:00Z"/>
        <d v="1899-12-30T06:58:00Z"/>
        <d v="1899-12-30T17:43:00Z"/>
        <d v="1899-12-30T18:23:00Z"/>
        <d v="1899-12-30T16:31:00Z"/>
        <d v="1899-12-30T16:50:00Z"/>
        <d v="1899-12-30T22:15:00Z"/>
        <d v="1899-12-30T23:37:00Z"/>
        <d v="1899-12-30T14:38:00Z"/>
        <d v="1899-12-30T15:36:00Z"/>
        <d v="1899-12-30T16:37:00Z"/>
        <d v="1899-12-30T18:28:00Z"/>
        <d v="1899-12-30T18:50:00Z"/>
        <d v="1899-12-30T20:02:00Z"/>
        <d v="1899-12-30T13:28:00Z"/>
        <d v="1899-12-30T21:44:00Z"/>
        <d v="1899-12-30T08:11:00Z"/>
        <d v="1899-12-30T08:23:00Z"/>
        <d v="1899-12-30T10:27:00Z"/>
        <d v="1899-12-30T11:20:00Z"/>
        <d v="1899-12-30T14:50:00Z"/>
        <d v="1899-12-30T19:07:00Z"/>
        <d v="1899-12-30T08:45:00Z"/>
        <d v="1899-12-30T09:07:00Z"/>
        <d v="1899-12-30T11:06:00Z"/>
        <d v="1899-12-30T17:52:00Z"/>
        <d v="1899-12-30T10:29:00Z"/>
        <d v="1899-12-30T14:34:00Z"/>
        <d v="1899-12-30T19:24:00Z"/>
        <d v="1899-12-30T10:44:00Z"/>
        <d v="1899-12-30T11:23:00Z"/>
        <d v="1899-12-30T13:11:00Z"/>
        <d v="1899-12-30T20:50:00Z"/>
        <d v="1899-12-30T21:31:00Z"/>
        <d v="1899-12-30T23:00:00Z"/>
        <d v="1899-12-30T13:30:00Z"/>
        <d v="1899-12-30T12:56:00Z"/>
        <d v="1899-12-30T16:56:00Z"/>
        <d v="1899-12-30T19:57:00Z"/>
        <d v="1899-12-30T23:16:00Z"/>
        <d v="1899-12-30T12:20:00Z"/>
        <d v="1899-12-30T15:35:00Z"/>
        <d v="1899-12-30T10:11:00Z"/>
        <d v="1899-12-30T12:17:00Z"/>
        <d v="1899-12-30T15:44:00Z"/>
        <d v="1899-12-30T19:13:00Z"/>
        <d v="1899-12-30T10:18:00Z"/>
        <d v="1899-12-30T16:55:00Z"/>
        <d v="1899-12-30T21:59:00Z"/>
        <d v="1899-12-30T13:48:00Z"/>
        <d v="1899-12-30T16:21:00Z"/>
        <d v="1899-12-30T17:41:00Z"/>
        <d v="1899-12-30T18:36:00Z"/>
        <d v="1899-12-30T12:05:00Z"/>
        <d v="1899-12-30T10:45:00Z"/>
        <d v="1899-12-30T09:55:00Z"/>
        <d v="1899-12-30T08:12:00Z"/>
        <d v="1899-12-30T18:11:00Z"/>
        <d v="1899-12-30T06:49:00Z"/>
        <d v="1899-12-30T11:48:00Z"/>
        <d v="1899-12-30T22:47:00Z"/>
        <d v="1899-12-30T15:15:00Z"/>
        <d v="1899-12-30T08:35:00Z"/>
        <d v="1899-12-30T20:34:00Z"/>
        <d v="1899-12-30T02:37:00Z"/>
        <d v="1899-12-30T19:36:00Z"/>
        <d v="1899-12-30T18:34:00Z"/>
        <d v="1899-12-30T19:01:00Z"/>
        <d v="1899-12-30T22:33:00Z"/>
        <d v="1899-12-30T12:18:00Z"/>
        <d v="1899-12-30T17:40:00Z"/>
        <d v="1899-12-30T10:59:00Z"/>
        <d v="1899-12-30T16:02:00Z"/>
        <d v="1899-12-30T18:27:00Z"/>
        <d v="1899-12-30T14:23:00Z"/>
        <d v="1899-12-30T17:28:00Z"/>
        <d v="1899-12-30T18:13:00Z"/>
        <d v="1899-12-30T02:08:00Z"/>
        <d v="1899-12-30T11:58:00Z"/>
        <d v="1899-12-30T12:14:00Z"/>
        <d v="1899-12-30T09:44:00Z"/>
        <d v="1899-12-30T16:20:00Z"/>
        <d v="1899-12-30T22:48:00Z"/>
        <d v="1899-12-30T00:14:00Z"/>
        <d v="1899-12-30T15:19:00Z"/>
        <d v="1899-12-30T19:33:00Z"/>
        <d v="1899-12-30T15:57:00Z"/>
        <d v="1899-12-30T18:16:00Z"/>
        <d v="1899-12-30T18:45:00Z"/>
        <d v="1899-12-30T08:22:00Z"/>
        <d v="1899-12-30T09:02:00Z"/>
        <d v="1899-12-30T18:33:00Z"/>
        <d v="1899-12-30T20:37:00Z"/>
        <d v="1899-12-30T10:21:00Z"/>
        <d v="1899-12-30T13:56:00Z"/>
        <d v="1899-12-30T16:19:00Z"/>
        <d v="1899-12-30T01:09:00Z"/>
        <d v="1899-12-30T10:05:00Z"/>
        <d v="1899-12-30T12:59:00Z"/>
        <d v="1899-12-30T21:25:00Z"/>
        <d v="1899-12-30T16:41:00Z"/>
        <d v="1899-12-30T20:11:00Z"/>
        <d v="1899-12-30T21:03:00Z"/>
        <d v="1899-12-30T22:45:00Z"/>
        <d v="1899-12-30T19:31:00Z"/>
        <d v="1899-12-30T20:21:00Z"/>
        <d v="1899-12-30T20:54:00Z"/>
        <d v="1899-12-30T21:48:00Z"/>
        <d v="1899-12-30T11:52:00Z"/>
        <d v="1899-12-30T20:07:00Z"/>
        <d v="1899-12-30T19:19:00Z"/>
        <d v="1899-12-30T08:30:00Z"/>
        <d v="1899-12-30T11:21:00Z"/>
        <d v="1899-12-30T13:18:00Z"/>
        <d v="1899-12-30T22:10:00Z"/>
        <d v="1899-12-30T17:42:00Z"/>
        <d v="1899-12-30T20:12:00Z"/>
        <d v="1899-12-30T14:26:00Z"/>
        <d v="1899-12-30T22:58:00Z"/>
        <d v="1899-12-30T21:20:00Z"/>
        <d v="1899-12-30T22:25:00Z"/>
        <d v="1899-12-30T19:28:00Z"/>
        <d v="1899-12-30T11:04:00Z"/>
        <d v="1899-12-30T12:57:00Z"/>
        <d v="1899-12-30T18:35:00Z"/>
        <d v="1899-12-30T19:17:00Z"/>
        <d v="1899-12-30T22:02:00Z"/>
        <d v="1899-12-30T10:15:00Z"/>
        <d v="1899-12-30T10:31:00Z"/>
        <d v="1899-12-30T15:07:00Z"/>
        <d v="1899-12-30T15:53:00Z"/>
        <d v="1899-12-30T10:23:00Z"/>
        <d v="1899-12-30T14:32:00Z"/>
        <d v="1899-12-30T21:18:00Z"/>
        <d v="1899-12-30T13:50:00Z"/>
        <d v="1899-12-30T14:53:00Z"/>
        <d v="1899-12-30T15:21:00Z"/>
        <d v="1899-12-30T12:51:00Z"/>
        <d v="1899-12-30T12:13:00Z"/>
        <d v="1899-12-30T21:34:00Z"/>
        <d v="1899-12-30T22:21:00Z"/>
        <d v="1899-12-30T21:35:00Z"/>
        <d v="1899-12-30T11:32:00Z"/>
        <d v="1899-12-30T18:04:00Z"/>
        <d v="1899-12-30T15:50:00Z"/>
        <d v="1899-12-30T16:29:00Z"/>
        <d v="1899-12-30T13:31:00Z"/>
        <d v="1899-12-30T19:04:00Z"/>
        <d v="1899-12-30T12:53:00Z"/>
        <d v="1899-12-30T07:59:00Z"/>
        <d v="1899-12-30T18:12:00Z"/>
        <d v="1899-12-30T20:46:00Z"/>
        <d v="1899-12-30T12:23:00Z"/>
        <d v="1899-12-30T20:48:00Z"/>
        <d v="1899-12-30T23:07:00Z"/>
        <d v="1899-12-30T20:41:00Z"/>
        <d v="1899-12-30T19:03:00Z"/>
        <d v="1899-12-30T12:46:00Z"/>
        <d v="1899-12-30T20:13:00Z"/>
        <d v="1899-12-30T15:02:00Z"/>
        <d v="1899-12-30T13:43:00Z"/>
        <d v="1899-12-30T22:57:00Z"/>
        <d v="1899-12-30T13:16:00Z"/>
        <d v="1899-12-30T16:16:00Z"/>
        <d v="1899-12-30T13:32:00Z"/>
        <d v="1899-12-30T14:39:00Z"/>
        <d v="1899-12-30T18:01:00Z"/>
        <d v="1899-12-30T20:57:00Z"/>
        <d v="1899-12-30T14:54:00Z"/>
        <d v="1899-12-30T17:25:00Z"/>
        <d v="1899-12-30T21:04:00Z"/>
        <d v="1899-12-30T09:36:00Z"/>
        <d v="1899-12-30T10:34:00Z"/>
        <d v="1899-12-30T14:15:00Z"/>
        <d v="1899-12-30T15:38:00Z"/>
        <d v="1899-12-30T17:09:00Z"/>
        <d v="1899-12-30T17:07:00Z"/>
        <d v="1899-12-30T08:10:00Z"/>
        <d v="1899-12-30T10:30:00Z"/>
        <d v="1899-12-30T16:05:00Z"/>
        <d v="1899-12-30T23:42:00Z"/>
        <d v="1899-12-30T17:53:00Z"/>
        <d v="1899-12-30T21:53:00Z"/>
        <d v="1899-12-30T23:32:00Z"/>
        <d v="1899-12-30T08:04:00Z"/>
        <d v="1899-12-30T08:41:00Z"/>
        <d v="1899-12-30T09:19:00Z"/>
        <d v="1899-12-30T07:14:00Z"/>
        <d v="1899-12-30T08:59:00Z"/>
        <d v="1899-12-30T16:58:00Z"/>
        <d v="1899-12-30T09:06:00Z"/>
        <d v="1899-12-30T12:12:00Z"/>
        <d v="1899-12-30T15:39:00Z"/>
        <d v="1899-12-30T01:06:00Z"/>
        <d v="1899-12-30T10:07:00Z"/>
        <d v="1899-12-30T12:33:00Z"/>
        <d v="1899-12-30T15:16:00Z"/>
        <d v="1899-12-30T20:10:00Z"/>
        <d v="1899-12-30T20:45:00Z"/>
        <d v="1899-12-30T23:47:00Z"/>
        <d v="1899-12-30T17:08:00Z"/>
        <d v="1899-12-30T23:10:00Z"/>
        <d v="1899-12-30T01:14:00Z"/>
        <d v="1899-12-30T23:51:00Z"/>
      </sharedItems>
    </cacheField>
    <cacheField name="DURATION" numFmtId="46">
      <sharedItems containsSemiMixedTypes="0" containsDate="1" containsString="0">
        <d v="1899-12-30T00:06:00Z"/>
        <d v="1899-12-30T00:12:00Z"/>
        <d v="1899-12-30T00:13:00Z"/>
        <d v="1899-12-30T00:14:00Z"/>
        <d v="1899-12-30T01:07:00Z"/>
        <d v="1899-12-30T00:04:00Z"/>
        <d v="1899-12-30T00:05:00Z"/>
        <d v="1899-12-30T00:20:00Z"/>
        <d v="1899-12-30T00:27:00Z"/>
        <d v="1899-12-30T00:43:00Z"/>
        <d v="1899-12-30T00:35:00Z"/>
        <d v="1899-12-30T00:26:00Z"/>
        <d v="1899-12-30T00:07:00Z"/>
        <d v="1899-12-30T00:16:00Z"/>
        <d v="1899-12-30T00:15:00Z"/>
        <d v="1899-12-30T00:58:00Z"/>
        <d v="1899-12-30T00:28:00Z"/>
        <d v="1899-12-30T00:36:00Z"/>
        <d v="1899-12-30T00:18:00Z"/>
        <d v="1899-12-30T00:11:00Z"/>
        <d v="1899-12-30T00:31:00Z"/>
        <d v="1899-12-30T00:54:00Z"/>
        <d v="1899-12-30T00:08:00Z"/>
        <d v="1899-12-30T00:09:00Z"/>
        <d v="1899-12-30T00:02:00Z"/>
        <d v="1899-12-30T00:29:00Z"/>
        <d v="1899-12-30T00:10:00Z"/>
        <d v="1899-12-30T00:22:00Z"/>
        <d v="1899-12-30T00:32:00Z"/>
        <d v="1899-12-30T00:30:00Z"/>
        <d v="1899-12-30T00:23:00Z"/>
        <d v="1899-12-30T00:21:00Z"/>
        <d v="1899-12-30T00:19:00Z"/>
        <d v="1899-12-30T00:40:00Z"/>
        <d v="1899-12-30T00:33:00Z"/>
        <d v="1899-12-30T00:24:00Z"/>
        <d v="1899-12-30T00:42:00Z"/>
        <d v="1899-12-30T00:34:00Z"/>
        <d v="1899-12-30T00:17:00Z"/>
        <d v="1899-12-30T00:52:00Z"/>
        <d v="1899-12-30T01:05:00Z"/>
        <d v="1899-12-30T00:03:00Z"/>
        <d v="1899-12-30T00:46:00Z"/>
        <d v="1899-12-30T00:44:00Z"/>
        <d v="1899-12-30T00:41:00Z"/>
        <d v="1899-12-30T01:04:00Z"/>
        <d v="1899-12-30T00:55:00Z"/>
        <d v="1899-12-30T00:39:00Z"/>
        <d v="1899-12-30T00:57:00Z"/>
        <d v="1899-12-30T00:37:00Z"/>
        <d v="1899-12-30T00:25:00Z"/>
        <d v="1899-12-30T02:19:00Z"/>
        <d v="1899-12-30T00:56:00Z"/>
        <d v="1899-12-30T01:06:00Z"/>
        <d v="1899-12-30T02:58:00Z"/>
        <d v="1899-12-30T05:30:00Z"/>
        <d v="1899-12-30T02:45:00Z"/>
        <d v="1899-12-30T00:53:00Z"/>
        <d v="1899-12-30T00:50:00Z"/>
        <d v="1899-12-30T00:48:00Z"/>
        <d v="1899-12-30T02:26:00Z"/>
        <d v="1899-12-30T01:12:00Z"/>
        <d v="1899-12-30T02:23:00Z"/>
        <d v="1899-12-30T02:16:00Z"/>
        <d v="1899-12-30T00:47:00Z"/>
        <d v="1899-12-30T01:09:00Z"/>
        <d v="1899-12-30T00:51:00Z"/>
        <d v="1899-12-30T01:28:00Z"/>
        <d v="1899-12-30T01:11:00Z"/>
        <d v="1899-12-30T03:26:00Z"/>
        <d v="1899-12-30T03:05:00Z"/>
        <d v="1899-12-30T00:01:00Z"/>
        <d v="1899-12-30T00:45:00Z"/>
        <d v="1899-12-30T00:38:00Z"/>
        <d v="1899-12-30T01:22:00Z"/>
        <d v="1899-12-30T01:17:00Z"/>
        <d v="1899-12-30T02:01:00Z"/>
        <d v="1899-12-30T00:49:00Z"/>
        <d v="1899-12-30T02:24:00Z"/>
        <d v="1899-12-30T01:43:00Z"/>
        <d v="1899-12-30T02:00:00Z"/>
        <d v="1899-12-30T01:20:00Z"/>
        <d v="1899-12-30T05:36:00Z"/>
        <d v="1899-12-30T02:15:00Z"/>
        <d v="1899-12-30T02:34:00Z"/>
        <d v="1899-12-30T02:41:00Z"/>
        <d v="1899-12-30T01:35:00Z"/>
        <d v="1899-12-30T01:02:00Z"/>
        <d v="1899-12-30T02:47:00Z"/>
        <d v="1899-12-30T02:12:00Z"/>
        <d v="1899-12-30T02:06:00Z"/>
        <d v="1899-12-30T01:54:00Z"/>
        <d v="1899-12-30T01:47:00Z"/>
        <d v="1899-12-30T01:13:00Z"/>
        <d v="1899-12-30T03:01:00Z"/>
        <d v="1899-12-30T01:01:00Z"/>
        <d v="1899-12-30T02:46:00Z"/>
        <d v="1899-12-30T01:10:00Z"/>
      </sharedItems>
    </cacheField>
    <cacheField name="START_TIME_DAYPART" numFmtId="0">
      <sharedItems>
        <s v="Evening"/>
        <s v="Night"/>
        <s v="Day"/>
        <s v="Morning"/>
      </sharedItems>
    </cacheField>
    <cacheField name="CATEGORY" numFmtId="0">
      <sharedItems>
        <s v="Business"/>
        <s v="Personal"/>
      </sharedItems>
    </cacheField>
    <cacheField name="PURPOSE" numFmtId="0">
      <sharedItems>
        <s v="Meal/Entertain"/>
        <s v="NOT DEFINED"/>
        <s v="Errand/Supplies"/>
        <s v="Meeting"/>
        <s v="Customer Visit"/>
        <s v="Temporary Site"/>
        <s v="Between Offices"/>
        <s v="Charity ($)"/>
        <s v="Commute"/>
        <s v="Moving"/>
        <s v="Airport/Travel"/>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N1152" sheet="Uber Drives"/>
  </cacheSource>
  <cacheFields>
    <cacheField name="TRAVEL_ID" numFmtId="0">
      <sharedItems>
        <s v="id_237"/>
        <s v="id_238"/>
        <s v="id_239"/>
        <s v="id_240"/>
        <s v="id_241"/>
        <s v="id_242"/>
        <s v="id_243"/>
        <s v="id_244"/>
        <s v="id_245"/>
        <s v="id_246"/>
        <s v="id_247"/>
        <s v="id_248"/>
        <s v="id_249"/>
        <s v="id_250"/>
        <s v="id_251"/>
        <s v="id_252"/>
        <s v="id_253"/>
        <s v="id_254"/>
        <s v="id_255"/>
        <s v="id_256"/>
        <s v="id_257"/>
        <s v="id_258"/>
        <s v="id_259"/>
        <s v="id_260"/>
        <s v="id_261"/>
        <s v="id_262"/>
        <s v="id_263"/>
        <s v="id_264"/>
        <s v="id_265"/>
        <s v="id_266"/>
        <s v="id_267"/>
        <s v="id_268"/>
        <s v="id_269"/>
        <s v="id_270"/>
        <s v="id_271"/>
        <s v="id_272"/>
        <s v="id_273"/>
        <s v="id_274"/>
        <s v="id_275"/>
        <s v="id_276"/>
        <s v="id_277"/>
        <s v="id_278"/>
        <s v="id_279"/>
        <s v="id_280"/>
        <s v="id_281"/>
        <s v="id_282"/>
        <s v="id_283"/>
        <s v="id_284"/>
        <s v="id_285"/>
        <s v="id_286"/>
        <s v="id_287"/>
        <s v="id_288"/>
        <s v="id_289"/>
        <s v="id_290"/>
        <s v="id_291"/>
        <s v="id_292"/>
        <s v="id_293"/>
        <s v="id_294"/>
        <s v="id_295"/>
        <s v="id_296"/>
        <s v="id_297"/>
        <s v="id_298"/>
        <s v="id_299"/>
        <s v="id_300"/>
        <s v="id_301"/>
        <s v="id_302"/>
        <s v="id_303"/>
        <s v="id_304"/>
        <s v="id_305"/>
        <s v="id_306"/>
        <s v="id_307"/>
        <s v="id_308"/>
        <s v="id_309"/>
        <s v="id_310"/>
        <s v="id_311"/>
        <s v="id_312"/>
        <s v="id_313"/>
        <s v="id_314"/>
        <s v="id_315"/>
        <s v="id_316"/>
        <s v="id_317"/>
        <s v="id_318"/>
        <s v="id_319"/>
        <s v="id_320"/>
        <s v="id_321"/>
        <s v="id_322"/>
        <s v="id_323"/>
        <s v="id_324"/>
        <s v="id_325"/>
        <s v="id_326"/>
        <s v="id_327"/>
        <s v="id_328"/>
        <s v="id_329"/>
        <s v="id_330"/>
        <s v="id_331"/>
        <s v="id_332"/>
        <s v="id_333"/>
        <s v="id_334"/>
        <s v="id_335"/>
        <s v="id_336"/>
        <s v="id_337"/>
        <s v="id_338"/>
        <s v="id_339"/>
        <s v="id_340"/>
        <s v="id_341"/>
        <s v="id_342"/>
        <s v="id_343"/>
        <s v="id_344"/>
        <s v="id_345"/>
        <s v="id_346"/>
        <s v="id_347"/>
        <s v="id_348"/>
        <s v="id_349"/>
        <s v="id_350"/>
        <s v="id_351"/>
        <s v="id_352"/>
        <s v="id_353"/>
        <s v="id_354"/>
        <s v="id_355"/>
        <s v="id_356"/>
        <s v="id_357"/>
        <s v="id_358"/>
        <s v="id_359"/>
        <s v="id_360"/>
        <s v="id_361"/>
        <s v="id_362"/>
        <s v="id_363"/>
        <s v="id_364"/>
        <s v="id_365"/>
        <s v="id_366"/>
        <s v="id_367"/>
        <s v="id_368"/>
        <s v="id_369"/>
        <s v="id_370"/>
        <s v="id_371"/>
        <s v="id_372"/>
        <s v="id_373"/>
        <s v="id_374"/>
        <s v="id_375"/>
        <s v="id_376"/>
        <s v="id_377"/>
        <s v="id_378"/>
        <s v="id_379"/>
        <s v="id_380"/>
        <s v="id_381"/>
        <s v="id_382"/>
        <s v="id_383"/>
        <s v="id_384"/>
        <s v="id_385"/>
        <s v="id_386"/>
        <s v="id_387"/>
        <s v="id_388"/>
        <s v="id_389"/>
        <s v="id_390"/>
        <s v="id_391"/>
        <s v="id_392"/>
        <s v="id_393"/>
        <s v="id_394"/>
        <s v="id_395"/>
        <s v="id_396"/>
        <s v="id_397"/>
        <s v="id_398"/>
        <s v="id_399"/>
        <s v="id_400"/>
        <s v="id_401"/>
        <s v="id_402"/>
        <s v="id_403"/>
        <s v="id_404"/>
        <s v="id_405"/>
        <s v="id_406"/>
        <s v="id_407"/>
        <s v="id_408"/>
        <s v="id_409"/>
        <s v="id_410"/>
        <s v="id_411"/>
        <s v="id_412"/>
        <s v="id_413"/>
        <s v="id_414"/>
        <s v="id_415"/>
        <s v="id_416"/>
        <s v="id_417"/>
        <s v="id_418"/>
        <s v="id_419"/>
        <s v="id_420"/>
        <s v="id_421"/>
        <s v="id_422"/>
        <s v="id_423"/>
        <s v="id_424"/>
        <s v="id_425"/>
        <s v="id_426"/>
        <s v="id_427"/>
        <s v="id_428"/>
        <s v="id_429"/>
        <s v="id_430"/>
        <s v="id_431"/>
        <s v="id_432"/>
        <s v="id_433"/>
        <s v="id_434"/>
        <s v="id_435"/>
        <s v="id_436"/>
        <s v="id_437"/>
        <s v="id_438"/>
        <s v="id_439"/>
        <s v="id_440"/>
        <s v="id_441"/>
        <s v="id_442"/>
        <s v="id_443"/>
        <s v="id_444"/>
        <s v="id_445"/>
        <s v="id_446"/>
        <s v="id_447"/>
        <s v="id_448"/>
        <s v="id_449"/>
        <s v="id_450"/>
        <s v="id_451"/>
        <s v="id_452"/>
        <s v="id_453"/>
        <s v="id_454"/>
        <s v="id_455"/>
        <s v="id_456"/>
        <s v="id_457"/>
        <s v="id_458"/>
        <s v="id_459"/>
        <s v="id_460"/>
        <s v="id_461"/>
        <s v="id_462"/>
        <s v="id_463"/>
        <s v="id_464"/>
        <s v="id_465"/>
        <s v="id_466"/>
        <s v="id_467"/>
        <s v="id_468"/>
        <s v="id_469"/>
        <s v="id_470"/>
        <s v="id_471"/>
        <s v="id_472"/>
        <s v="id_473"/>
        <s v="id_474"/>
        <s v="id_475"/>
        <s v="id_476"/>
        <s v="id_477"/>
        <s v="id_478"/>
        <s v="id_479"/>
        <s v="id_480"/>
        <s v="id_481"/>
        <s v="id_482"/>
        <s v="id_483"/>
        <s v="id_484"/>
        <s v="id_485"/>
        <s v="id_486"/>
        <s v="id_487"/>
        <s v="id_488"/>
        <s v="id_489"/>
        <s v="id_490"/>
        <s v="id_491"/>
        <s v="id_492"/>
        <s v="id_493"/>
        <s v="id_494"/>
        <s v="id_495"/>
        <s v="id_496"/>
        <s v="id_497"/>
        <s v="id_498"/>
        <s v="id_499"/>
        <s v="id_500"/>
        <s v="id_501"/>
        <s v="id_502"/>
        <s v="id_503"/>
        <s v="id_504"/>
        <s v="id_505"/>
        <s v="id_506"/>
        <s v="id_507"/>
        <s v="id_508"/>
        <s v="id_509"/>
        <s v="id_510"/>
        <s v="id_511"/>
        <s v="id_512"/>
        <s v="id_513"/>
        <s v="id_514"/>
        <s v="id_515"/>
        <s v="id_516"/>
        <s v="id_517"/>
        <s v="id_518"/>
        <s v="id_519"/>
        <s v="id_520"/>
        <s v="id_521"/>
        <s v="id_522"/>
        <s v="id_523"/>
        <s v="id_524"/>
        <s v="id_525"/>
        <s v="id_526"/>
        <s v="id_527"/>
        <s v="id_528"/>
        <s v="id_529"/>
        <s v="id_530"/>
        <s v="id_531"/>
        <s v="id_532"/>
        <s v="id_533"/>
        <s v="id_534"/>
        <s v="id_535"/>
        <s v="id_536"/>
        <s v="id_537"/>
        <s v="id_538"/>
        <s v="id_539"/>
        <s v="id_540"/>
        <s v="id_541"/>
        <s v="id_542"/>
        <s v="id_543"/>
        <s v="id_544"/>
        <s v="id_545"/>
        <s v="id_546"/>
        <s v="id_547"/>
        <s v="id_548"/>
        <s v="id_549"/>
        <s v="id_550"/>
        <s v="id_551"/>
        <s v="id_552"/>
        <s v="id_553"/>
        <s v="id_554"/>
        <s v="id_555"/>
        <s v="id_556"/>
        <s v="id_557"/>
        <s v="id_558"/>
        <s v="id_559"/>
        <s v="id_560"/>
        <s v="id_561"/>
        <s v="id_562"/>
        <s v="id_563"/>
        <s v="id_564"/>
        <s v="id_565"/>
        <s v="id_566"/>
        <s v="id_567"/>
        <s v="id_568"/>
        <s v="id_569"/>
        <s v="id_570"/>
        <s v="id_571"/>
        <s v="id_572"/>
        <s v="id_573"/>
        <s v="id_574"/>
        <s v="id_575"/>
        <s v="id_576"/>
        <s v="id_577"/>
        <s v="id_578"/>
        <s v="id_579"/>
        <s v="id_580"/>
        <s v="id_581"/>
        <s v="id_582"/>
        <s v="id_583"/>
        <s v="id_584"/>
        <s v="id_585"/>
        <s v="id_586"/>
        <s v="id_587"/>
        <s v="id_588"/>
        <s v="id_589"/>
        <s v="id_590"/>
        <s v="id_591"/>
        <s v="id_592"/>
        <s v="id_593"/>
        <s v="id_594"/>
        <s v="id_595"/>
        <s v="id_596"/>
        <s v="id_597"/>
        <s v="id_598"/>
        <s v="id_599"/>
        <s v="id_600"/>
        <s v="id_601"/>
        <s v="id_602"/>
        <s v="id_603"/>
        <s v="id_604"/>
        <s v="id_605"/>
        <s v="id_606"/>
        <s v="id_607"/>
        <s v="id_608"/>
        <s v="id_609"/>
        <s v="id_610"/>
        <s v="id_611"/>
        <s v="id_612"/>
        <s v="id_613"/>
        <s v="id_614"/>
        <s v="id_615"/>
        <s v="id_616"/>
        <s v="id_617"/>
        <s v="id_618"/>
        <s v="id_619"/>
        <s v="id_620"/>
        <s v="id_621"/>
        <s v="id_622"/>
        <s v="id_623"/>
        <s v="id_624"/>
        <s v="id_625"/>
        <s v="id_626"/>
        <s v="id_627"/>
        <s v="id_628"/>
        <s v="id_629"/>
        <s v="id_630"/>
        <s v="id_631"/>
        <s v="id_632"/>
        <s v="id_633"/>
        <s v="id_634"/>
        <s v="id_635"/>
        <s v="id_636"/>
        <s v="id_637"/>
        <s v="id_638"/>
        <s v="id_639"/>
        <s v="id_640"/>
        <s v="id_641"/>
        <s v="id_642"/>
        <s v="id_643"/>
        <s v="id_644"/>
        <s v="id_645"/>
        <s v="id_646"/>
        <s v="id_647"/>
        <s v="id_648"/>
        <s v="id_649"/>
        <s v="id_650"/>
        <s v="id_651"/>
        <s v="id_652"/>
        <s v="id_653"/>
        <s v="id_654"/>
        <s v="id_655"/>
        <s v="id_656"/>
        <s v="id_657"/>
        <s v="id_658"/>
        <s v="id_659"/>
        <s v="id_660"/>
        <s v="id_661"/>
        <s v="id_662"/>
        <s v="id_663"/>
        <s v="id_664"/>
        <s v="id_665"/>
        <s v="id_666"/>
        <s v="id_667"/>
        <s v="id_668"/>
        <s v="id_669"/>
        <s v="id_670"/>
        <s v="id_671"/>
        <s v="id_672"/>
        <s v="id_673"/>
        <s v="id_674"/>
        <s v="id_675"/>
        <s v="id_676"/>
        <s v="id_677"/>
        <s v="id_678"/>
        <s v="id_679"/>
        <s v="id_680"/>
        <s v="id_681"/>
        <s v="id_682"/>
        <s v="id_683"/>
        <s v="id_684"/>
        <s v="id_685"/>
        <s v="id_686"/>
        <s v="id_687"/>
        <s v="id_688"/>
        <s v="id_689"/>
        <s v="id_690"/>
        <s v="id_691"/>
        <s v="id_692"/>
        <s v="id_693"/>
        <s v="id_694"/>
        <s v="id_695"/>
        <s v="id_696"/>
        <s v="id_697"/>
        <s v="id_698"/>
        <s v="id_699"/>
        <s v="id_700"/>
        <s v="id_701"/>
        <s v="id_702"/>
        <s v="id_703"/>
        <s v="id_704"/>
        <s v="id_705"/>
        <s v="id_706"/>
        <s v="id_707"/>
        <s v="id_708"/>
        <s v="id_709"/>
        <s v="id_710"/>
        <s v="id_711"/>
        <s v="id_712"/>
        <s v="id_713"/>
        <s v="id_714"/>
        <s v="id_715"/>
        <s v="id_716"/>
        <s v="id_717"/>
        <s v="id_718"/>
        <s v="id_719"/>
        <s v="id_720"/>
        <s v="id_721"/>
        <s v="id_722"/>
        <s v="id_723"/>
        <s v="id_724"/>
        <s v="id_725"/>
        <s v="id_726"/>
        <s v="id_727"/>
        <s v="id_728"/>
        <s v="id_729"/>
        <s v="id_730"/>
        <s v="id_731"/>
        <s v="id_732"/>
        <s v="id_733"/>
        <s v="id_734"/>
        <s v="id_735"/>
        <s v="id_736"/>
        <s v="id_737"/>
        <s v="id_738"/>
        <s v="id_739"/>
        <s v="id_740"/>
        <s v="id_741"/>
        <s v="id_742"/>
        <s v="id_743"/>
        <s v="id_744"/>
        <s v="id_745"/>
        <s v="id_746"/>
        <s v="id_747"/>
        <s v="id_748"/>
        <s v="id_749"/>
        <s v="id_750"/>
        <s v="id_751"/>
        <s v="id_752"/>
        <s v="id_753"/>
        <s v="id_754"/>
        <s v="id_755"/>
        <s v="id_756"/>
        <s v="id_757"/>
        <s v="id_758"/>
        <s v="id_759"/>
        <s v="id_760"/>
        <s v="id_761"/>
        <s v="id_762"/>
        <s v="id_763"/>
        <s v="id_764"/>
        <s v="id_765"/>
        <s v="id_766"/>
        <s v="id_767"/>
        <s v="id_768"/>
        <s v="id_769"/>
        <s v="id_770"/>
        <s v="id_771"/>
        <s v="id_772"/>
        <s v="id_773"/>
        <s v="id_774"/>
        <s v="id_775"/>
        <s v="id_776"/>
        <s v="id_777"/>
        <s v="id_778"/>
        <s v="id_779"/>
        <s v="id_780"/>
        <s v="id_781"/>
        <s v="id_782"/>
        <s v="id_783"/>
        <s v="id_784"/>
        <s v="id_785"/>
        <s v="id_786"/>
        <s v="id_787"/>
        <s v="id_788"/>
        <s v="id_789"/>
        <s v="id_790"/>
        <s v="id_791"/>
        <s v="id_792"/>
        <s v="id_793"/>
        <s v="id_794"/>
        <s v="id_795"/>
        <s v="id_796"/>
        <s v="id_797"/>
        <s v="id_798"/>
        <s v="id_799"/>
        <s v="id_800"/>
        <s v="id_801"/>
        <s v="id_802"/>
        <s v="id_803"/>
        <s v="id_804"/>
        <s v="id_805"/>
        <s v="id_806"/>
        <s v="id_807"/>
        <s v="id_808"/>
        <s v="id_809"/>
        <s v="id_810"/>
        <s v="id_811"/>
        <s v="id_812"/>
        <s v="id_813"/>
        <s v="id_814"/>
        <s v="id_815"/>
        <s v="id_816"/>
        <s v="id_817"/>
        <s v="id_818"/>
        <s v="id_819"/>
        <s v="id_820"/>
        <s v="id_821"/>
        <s v="id_822"/>
        <s v="id_823"/>
        <s v="id_824"/>
        <s v="id_825"/>
        <s v="id_826"/>
        <s v="id_827"/>
        <s v="id_828"/>
        <s v="id_829"/>
        <s v="id_830"/>
        <s v="id_831"/>
        <s v="id_832"/>
        <s v="id_833"/>
        <s v="id_834"/>
        <s v="id_835"/>
        <s v="id_836"/>
        <s v="id_837"/>
        <s v="id_838"/>
        <s v="id_839"/>
        <s v="id_840"/>
        <s v="id_841"/>
        <s v="id_842"/>
        <s v="id_843"/>
        <s v="id_844"/>
        <s v="id_845"/>
        <s v="id_846"/>
        <s v="id_847"/>
        <s v="id_848"/>
        <s v="id_849"/>
        <s v="id_850"/>
        <s v="id_851"/>
        <s v="id_852"/>
        <s v="id_853"/>
        <s v="id_854"/>
        <s v="id_855"/>
        <s v="id_856"/>
        <s v="id_857"/>
        <s v="id_858"/>
        <s v="id_859"/>
        <s v="id_860"/>
        <s v="id_861"/>
        <s v="id_862"/>
        <s v="id_863"/>
        <s v="id_864"/>
        <s v="id_865"/>
        <s v="id_866"/>
        <s v="id_867"/>
        <s v="id_868"/>
        <s v="id_869"/>
        <s v="id_870"/>
        <s v="id_871"/>
        <s v="id_872"/>
        <s v="id_873"/>
        <s v="id_874"/>
        <s v="id_875"/>
        <s v="id_876"/>
        <s v="id_877"/>
        <s v="id_878"/>
        <s v="id_879"/>
        <s v="id_880"/>
        <s v="id_881"/>
        <s v="id_882"/>
        <s v="id_883"/>
        <s v="id_884"/>
        <s v="id_885"/>
        <s v="id_886"/>
        <s v="id_887"/>
        <s v="id_888"/>
        <s v="id_889"/>
        <s v="id_890"/>
        <s v="id_891"/>
        <s v="id_892"/>
        <s v="id_893"/>
        <s v="id_894"/>
        <s v="id_895"/>
        <s v="id_896"/>
        <s v="id_897"/>
        <s v="id_898"/>
        <s v="id_899"/>
        <s v="id_900"/>
        <s v="id_901"/>
        <s v="id_902"/>
        <s v="id_903"/>
        <s v="id_904"/>
        <s v="id_905"/>
        <s v="id_906"/>
        <s v="id_907"/>
        <s v="id_908"/>
        <s v="id_909"/>
        <s v="id_910"/>
        <s v="id_911"/>
        <s v="id_912"/>
        <s v="id_913"/>
        <s v="id_914"/>
        <s v="id_915"/>
        <s v="id_916"/>
        <s v="id_917"/>
        <s v="id_918"/>
        <s v="id_919"/>
        <s v="id_920"/>
        <s v="id_921"/>
        <s v="id_922"/>
        <s v="id_923"/>
        <s v="id_924"/>
        <s v="id_925"/>
        <s v="id_926"/>
        <s v="id_927"/>
        <s v="id_928"/>
        <s v="id_929"/>
        <s v="id_930"/>
        <s v="id_931"/>
        <s v="id_932"/>
        <s v="id_933"/>
        <s v="id_934"/>
        <s v="id_935"/>
        <s v="id_936"/>
        <s v="id_937"/>
        <s v="id_938"/>
        <s v="id_939"/>
        <s v="id_940"/>
        <s v="id_941"/>
        <s v="id_942"/>
        <s v="id_943"/>
        <s v="id_944"/>
        <s v="id_945"/>
        <s v="id_946"/>
        <s v="id_947"/>
        <s v="id_948"/>
        <s v="id_949"/>
        <s v="id_950"/>
        <s v="id_951"/>
        <s v="id_952"/>
        <s v="id_953"/>
        <s v="id_954"/>
        <s v="id_955"/>
        <s v="id_956"/>
        <s v="id_957"/>
        <s v="id_958"/>
        <s v="id_959"/>
        <s v="id_960"/>
        <s v="id_961"/>
        <s v="id_962"/>
        <s v="id_963"/>
        <s v="id_964"/>
        <s v="id_965"/>
        <s v="id_966"/>
        <s v="id_967"/>
        <s v="id_968"/>
        <s v="id_969"/>
        <s v="id_970"/>
        <s v="id_971"/>
        <s v="id_972"/>
        <s v="id_973"/>
        <s v="id_974"/>
        <s v="id_975"/>
        <s v="id_976"/>
        <s v="id_977"/>
        <s v="id_978"/>
        <s v="id_979"/>
        <s v="id_980"/>
        <s v="id_981"/>
        <s v="id_982"/>
        <s v="id_983"/>
        <s v="id_984"/>
        <s v="id_985"/>
        <s v="id_986"/>
        <s v="id_987"/>
        <s v="id_989"/>
        <s v="id_990"/>
        <s v="id_991"/>
        <s v="id_992"/>
        <s v="id_993"/>
        <s v="id_994"/>
        <s v="id_995"/>
        <s v="id_996"/>
        <s v="id_997"/>
        <s v="id_999"/>
        <s v="id_1000"/>
        <s v="id_1001"/>
        <s v="id_1002"/>
        <s v="id_1003"/>
        <s v="id_1004"/>
        <s v="id_1005"/>
        <s v="id_1006"/>
        <s v="id_1007"/>
        <s v="id_1008"/>
        <s v="id_1009"/>
        <s v="id_1010"/>
        <s v="id_1011"/>
        <s v="id_1012"/>
        <s v="id_1013"/>
        <s v="id_1014"/>
        <s v="id_1015"/>
        <s v="id_1016"/>
        <s v="id_1017"/>
        <s v="id_1018"/>
        <s v="id_1019"/>
        <s v="id_1020"/>
        <s v="id_1021"/>
        <s v="id_1022"/>
        <s v="id_1023"/>
        <s v="id_1024"/>
        <s v="id_1025"/>
        <s v="id_1026"/>
        <s v="id_1027"/>
        <s v="id_1028"/>
        <s v="id_1029"/>
        <s v="id_1030"/>
        <s v="id_1031"/>
        <s v="id_1032"/>
        <s v="id_1033"/>
        <s v="id_1034"/>
        <s v="id_1036"/>
        <s v="id_1037"/>
        <s v="id_1038"/>
        <s v="id_1039"/>
        <s v="id_1040"/>
        <s v="id_1041"/>
        <s v="id_1042"/>
        <s v="id_1043"/>
        <s v="id_1045"/>
        <s v="id_1046"/>
        <s v="id_1047"/>
        <s v="id_1048"/>
        <s v="id_1049"/>
        <s v="id_1050"/>
        <s v="id_1051"/>
        <s v="id_1052"/>
        <s v="id_1053"/>
        <s v="id_1054"/>
        <s v="id_1055"/>
        <s v="id_1056"/>
        <s v="id_1057"/>
        <s v="id_1058"/>
        <s v="id_1059"/>
        <s v="id_1060"/>
        <s v="id_1061"/>
        <s v="id_1062"/>
        <s v="id_1063"/>
        <s v="id_1064"/>
        <s v="id_1065"/>
        <s v="id_1066"/>
        <s v="id_1067"/>
        <s v="id_1068"/>
        <s v="id_1069"/>
        <s v="id_1070"/>
        <s v="id_1071"/>
        <s v="id_1072"/>
        <s v="id_1073"/>
        <s v="id_1074"/>
        <s v="id_1075"/>
        <s v="id_1076"/>
        <s v="id_1077"/>
        <s v="id_1078"/>
        <s v="id_1079"/>
        <s v="id_1080"/>
        <s v="id_1081"/>
        <s v="id_1082"/>
        <s v="id_1083"/>
        <s v="id_1084"/>
        <s v="id_1085"/>
        <s v="id_1086"/>
        <s v="id_1087"/>
        <s v="id_1088"/>
        <s v="id_1089"/>
        <s v="id_1090"/>
        <s v="id_1091"/>
        <s v="id_1092"/>
        <s v="id_1093"/>
        <s v="id_1094"/>
        <s v="id_1095"/>
        <s v="id_1096"/>
        <s v="id_1097"/>
        <s v="id_1098"/>
        <s v="id_1099"/>
        <s v="id_1100"/>
        <s v="id_1101"/>
        <s v="id_1102"/>
        <s v="id_1103"/>
        <s v="id_1104"/>
        <s v="id_1105"/>
        <s v="id_1106"/>
        <s v="id_1107"/>
        <s v="id_1108"/>
        <s v="id_1109"/>
        <s v="id_1110"/>
        <s v="id_1111"/>
        <s v="id_1112"/>
        <s v="id_1113"/>
        <s v="id_1114"/>
        <s v="id_1115"/>
        <s v="id_1116"/>
        <s v="id_1117"/>
        <s v="id_1118"/>
        <s v="id_1119"/>
        <s v="id_1120"/>
        <s v="id_1121"/>
        <s v="id_1122"/>
        <s v="id_1123"/>
        <s v="id_1124"/>
        <s v="id_1125"/>
        <s v="id_1126"/>
        <s v="id_1127"/>
        <s v="id_1128"/>
        <s v="id_1129"/>
        <s v="id_1130"/>
        <s v="id_1131"/>
        <s v="id_1132"/>
        <s v="id_1133"/>
        <s v="id_1134"/>
        <s v="id_1135"/>
        <s v="id_1136"/>
        <s v="id_1137"/>
        <s v="id_1138"/>
        <s v="id_1139"/>
        <s v="id_1140"/>
        <s v="id_1141"/>
        <s v="id_1142"/>
        <s v="id_1143"/>
        <s v="id_1144"/>
        <s v="id_1145"/>
        <s v="id_1146"/>
        <s v="id_1147"/>
        <s v="id_1148"/>
        <s v="id_1149"/>
        <s v="id_1150"/>
        <s v="id_1151"/>
        <s v="id_1152"/>
        <s v="id_1153"/>
        <s v="id_1154"/>
        <s v="id_1155"/>
        <s v="id_1156"/>
        <s v="id_1157"/>
        <s v="id_1158"/>
        <s v="id_1159"/>
        <s v="id_1160"/>
        <s v="id_1161"/>
        <s v="id_1162"/>
        <s v="id_1163"/>
        <s v="id_1164"/>
        <s v="id_1165"/>
        <s v="id_1166"/>
        <s v="id_1167"/>
        <s v="id_1168"/>
        <s v="id_1169"/>
        <s v="id_1170"/>
        <s v="id_1171"/>
        <s v="id_1172"/>
        <s v="id_1173"/>
        <s v="id_1174"/>
        <s v="id_1175"/>
        <s v="id_1176"/>
        <s v="id_1177"/>
        <s v="id_1178"/>
        <s v="id_1179"/>
        <s v="id_1180"/>
        <s v="id_1181"/>
        <s v="id_1182"/>
        <s v="id_1183"/>
        <s v="id_1184"/>
        <s v="id_1185"/>
        <s v="id_1186"/>
        <s v="id_1187"/>
        <s v="id_1188"/>
        <s v="id_1189"/>
        <s v="id_1190"/>
        <s v="id_1191"/>
        <s v="id_1192"/>
        <s v="id_1193"/>
        <s v="id_1194"/>
        <s v="id_1195"/>
        <s v="id_1196"/>
        <s v="id_1197"/>
        <s v="id_1198"/>
        <s v="id_1199"/>
        <s v="id_1200"/>
        <s v="id_1201"/>
        <s v="id_1202"/>
        <s v="id_1203"/>
        <s v="id_1204"/>
        <s v="id_1205"/>
        <s v="id_1206"/>
        <s v="id_1207"/>
        <s v="id_1208"/>
        <s v="id_1209"/>
        <s v="id_1210"/>
        <s v="id_1211"/>
        <s v="id_1212"/>
        <s v="id_1213"/>
        <s v="id_1214"/>
        <s v="id_1215"/>
        <s v="id_1216"/>
        <s v="id_1217"/>
        <s v="id_1218"/>
        <s v="id_1219"/>
        <s v="id_1220"/>
        <s v="id_1221"/>
        <s v="id_1222"/>
        <s v="id_1223"/>
        <s v="id_1224"/>
        <s v="id_1225"/>
        <s v="id_1226"/>
        <s v="id_1227"/>
        <s v="id_1228"/>
        <s v="id_1229"/>
        <s v="id_1230"/>
        <s v="id_1231"/>
        <s v="id_1232"/>
        <s v="id_1233"/>
        <s v="id_1234"/>
        <s v="id_1235"/>
        <s v="id_1236"/>
        <s v="id_1237"/>
        <s v="id_1238"/>
        <s v="id_1239"/>
        <s v="id_1240"/>
        <s v="id_1241"/>
        <s v="id_1242"/>
        <s v="id_1243"/>
        <s v="id_1244"/>
        <s v="id_1245"/>
        <s v="id_1246"/>
        <s v="id_1247"/>
        <s v="id_1248"/>
        <s v="id_1249"/>
        <s v="id_1250"/>
        <s v="id_1251"/>
        <s v="id_1252"/>
        <s v="id_1253"/>
        <s v="id_1254"/>
        <s v="id_1255"/>
        <s v="id_1256"/>
        <s v="id_1257"/>
        <s v="id_1258"/>
        <s v="id_1259"/>
        <s v="id_1260"/>
        <s v="id_1261"/>
        <s v="id_1262"/>
        <s v="id_1263"/>
        <s v="id_1264"/>
        <s v="id_1265"/>
        <s v="id_1266"/>
        <s v="id_1267"/>
        <s v="id_1268"/>
        <s v="id_1269"/>
        <s v="id_1270"/>
        <s v="id_1271"/>
        <s v="id_1272"/>
        <s v="id_1273"/>
        <s v="id_1274"/>
        <s v="id_1275"/>
        <s v="id_1276"/>
        <s v="id_1277"/>
        <s v="id_1278"/>
        <s v="id_1279"/>
        <s v="id_1280"/>
        <s v="id_1281"/>
        <s v="id_1282"/>
        <s v="id_1283"/>
        <s v="id_1284"/>
        <s v="id_1285"/>
        <s v="id_1286"/>
        <s v="id_1287"/>
        <s v="id_1288"/>
        <s v="id_1289"/>
        <s v="id_1290"/>
        <s v="id_1291"/>
        <s v="id_1292"/>
        <s v="id_1293"/>
        <s v="id_1294"/>
        <s v="id_1295"/>
        <s v="id_1296"/>
        <s v="id_1297"/>
        <s v="id_1298"/>
        <s v="id_1299"/>
        <s v="id_1300"/>
        <s v="id_1301"/>
        <s v="id_1302"/>
        <s v="id_1303"/>
        <s v="id_1304"/>
        <s v="id_1305"/>
        <s v="id_1306"/>
        <s v="id_1307"/>
        <s v="id_1308"/>
        <s v="id_1309"/>
        <s v="id_1310"/>
        <s v="id_1311"/>
        <s v="id_1312"/>
        <s v="id_1313"/>
        <s v="id_1314"/>
        <s v="id_1315"/>
        <s v="id_1316"/>
        <s v="id_1317"/>
        <s v="id_1318"/>
        <s v="id_1319"/>
        <s v="id_1320"/>
        <s v="id_1321"/>
        <s v="id_1322"/>
        <s v="id_1323"/>
        <s v="id_1324"/>
        <s v="id_1325"/>
        <s v="id_1326"/>
        <s v="id_1327"/>
        <s v="id_1328"/>
        <s v="id_1329"/>
        <s v="id_1330"/>
        <s v="id_1331"/>
        <s v="id_1332"/>
        <s v="id_1333"/>
        <s v="id_1334"/>
        <s v="id_1335"/>
        <s v="id_1336"/>
        <s v="id_1337"/>
        <s v="id_1338"/>
        <s v="id_1339"/>
        <s v="id_1340"/>
        <s v="id_1341"/>
        <s v="id_1342"/>
        <s v="id_1343"/>
        <s v="id_1344"/>
        <s v="id_1345"/>
        <s v="id_1346"/>
        <s v="id_1347"/>
        <s v="id_1348"/>
        <s v="id_1349"/>
        <s v="id_1350"/>
        <s v="id_1351"/>
        <s v="id_1352"/>
        <s v="id_1353"/>
        <s v="id_1354"/>
        <s v="id_1355"/>
        <s v="id_1356"/>
        <s v="id_1357"/>
        <s v="id_1358"/>
        <s v="id_1359"/>
        <s v="id_1360"/>
        <s v="id_1361"/>
        <s v="id_1362"/>
        <s v="id_1363"/>
        <s v="id_1364"/>
        <s v="id_1365"/>
        <s v="id_1366"/>
        <s v="id_1367"/>
        <s v="id_1368"/>
        <s v="id_1369"/>
        <s v="id_1370"/>
        <s v="id_1371"/>
        <s v="id_1372"/>
        <s v="id_1373"/>
        <s v="id_1374"/>
        <s v="id_1375"/>
        <s v="id_1376"/>
        <s v="id_1377"/>
        <s v="id_1378"/>
        <s v="id_1379"/>
        <s v="id_1380"/>
        <s v="id_1381"/>
        <s v="id_1382"/>
        <s v="id_1383"/>
        <s v="id_1384"/>
        <s v="id_1385"/>
        <s v="id_1386"/>
        <s v="id_1387"/>
        <s v="id_1388"/>
        <s v="id_1389"/>
        <s v="id_1390"/>
        <s v="id_1391"/>
      </sharedItems>
    </cacheField>
    <cacheField name="START_DATE" numFmtId="164">
      <sharedItems containsSemiMixedTypes="0" containsDate="1" containsString="0">
        <d v="2016-01-01T21:11:00Z"/>
        <d v="2016-01-02T01:25:00Z"/>
        <d v="2016-01-02T20:25:00Z"/>
        <d v="2016-01-05T17:31:00Z"/>
        <d v="2016-01-06T14:42:00Z"/>
        <d v="2016-01-06T17:15:00Z"/>
        <d v="2016-01-06T17:30:00Z"/>
        <d v="2016-01-07T13:27:00Z"/>
        <d v="2016-01-10T08:05:00Z"/>
        <d v="2016-01-10T12:17:00Z"/>
        <d v="2016-01-10T15:08:00Z"/>
        <d v="2016-01-10T18:18:00Z"/>
        <d v="2016-01-10T19:12:00Z"/>
        <d v="2016-01-11T08:55:00Z"/>
        <d v="2016-01-11T11:56:00Z"/>
        <d v="2016-01-11T13:32:00Z"/>
        <d v="2016-01-11T14:30:00Z"/>
        <d v="2016-01-12T12:33:00Z"/>
        <d v="2016-01-12T12:53:00Z"/>
        <d v="2016-01-12T14:42:00Z"/>
        <d v="2016-01-12T15:13:00Z"/>
        <d v="2016-01-12T15:42:00Z"/>
        <d v="2016-01-12T16:02:00Z"/>
        <d v="2016-01-13T13:54:00Z"/>
        <d v="2016-01-13T15:00:00Z"/>
        <d v="2016-01-14T16:29:00Z"/>
        <d v="2016-01-14T21:39:00Z"/>
        <d v="2016-01-15T00:41:00Z"/>
        <d v="2016-01-15T11:43:00Z"/>
        <d v="2016-01-15T13:26:00Z"/>
        <d v="2016-01-18T14:55:00Z"/>
        <d v="2016-01-18T16:13:00Z"/>
        <d v="2016-01-19T09:09:00Z"/>
        <d v="2016-01-19T10:55:00Z"/>
        <d v="2016-01-20T10:36:00Z"/>
        <d v="2016-01-20T11:48:00Z"/>
        <d v="2016-01-20T13:25:00Z"/>
        <d v="2016-01-21T14:25:00Z"/>
        <d v="2016-01-21T14:43:00Z"/>
        <d v="2016-01-21T16:01:00Z"/>
        <d v="2016-01-26T10:41:00Z"/>
        <d v="2016-01-26T12:33:00Z"/>
        <d v="2016-01-26T16:24:00Z"/>
        <d v="2016-01-26T17:17:00Z"/>
        <d v="2016-01-26T17:27:00Z"/>
        <d v="2016-01-27T09:24:00Z"/>
        <d v="2016-01-27T10:19:00Z"/>
        <d v="2016-01-27T12:34:00Z"/>
        <d v="2016-01-27T14:05:00Z"/>
        <d v="2016-01-27T14:46:00Z"/>
        <d v="2016-01-28T12:28:00Z"/>
        <d v="2016-01-28T15:11:00Z"/>
        <d v="2016-01-28T16:21:00Z"/>
        <d v="2016-01-29T09:31:00Z"/>
        <d v="2016-01-29T10:56:00Z"/>
        <d v="2016-01-29T11:43:00Z"/>
        <d v="2016-01-29T13:24:00Z"/>
        <d v="2016-01-29T18:31:00Z"/>
        <d v="2016-01-29T21:21:00Z"/>
        <d v="2016-01-30T16:21:00Z"/>
        <d v="2016-01-30T18:09:00Z"/>
        <d v="2016-02-01T10:35:00Z"/>
        <d v="2016-02-01T12:10:00Z"/>
        <d v="2016-02-01T12:56:00Z"/>
        <d v="2016-02-02T13:04:00Z"/>
        <d v="2016-02-02T13:51:00Z"/>
        <d v="2016-02-02T14:38:00Z"/>
        <d v="2016-02-04T08:40:00Z"/>
        <d v="2016-02-04T09:37:00Z"/>
        <d v="2016-02-04T10:26:00Z"/>
        <d v="2016-02-04T15:59:00Z"/>
        <d v="2016-02-04T16:35:00Z"/>
        <d v="2016-02-04T18:04:00Z"/>
        <d v="2016-02-04T20:36:00Z"/>
        <d v="2016-02-05T11:47:00Z"/>
        <d v="2016-02-05T13:22:00Z"/>
        <d v="2016-02-06T16:20:00Z"/>
        <d v="2016-02-06T18:57:00Z"/>
        <d v="2016-02-06T19:28:00Z"/>
        <d v="2016-02-07T16:49:00Z"/>
        <d v="2016-02-07T18:03:00Z"/>
        <d v="2016-02-07T18:39:00Z"/>
        <d v="2016-02-07T20:22:00Z"/>
        <d v="2016-02-08T12:57:00Z"/>
        <d v="2016-02-08T14:00:00Z"/>
        <d v="2016-02-09T10:54:00Z"/>
        <d v="2016-02-09T11:43:00Z"/>
        <d v="2016-02-09T13:36:00Z"/>
        <d v="2016-02-09T13:58:00Z"/>
        <d v="2016-02-09T18:55:00Z"/>
        <d v="2016-02-09T20:24:00Z"/>
        <d v="2016-02-11T16:28:00Z"/>
        <d v="2016-02-11T17:49:00Z"/>
        <d v="2016-02-11T18:24:00Z"/>
        <d v="2016-02-11T20:36:00Z"/>
        <d v="2016-02-12T08:21:00Z"/>
        <d v="2016-02-12T10:45:00Z"/>
        <d v="2016-02-12T11:14:00Z"/>
        <d v="2016-02-12T13:02:00Z"/>
        <d v="2016-02-12T14:49:00Z"/>
        <d v="2016-02-12T15:33:00Z"/>
        <d v="2016-02-13T14:21:00Z"/>
        <d v="2016-02-13T23:45:00Z"/>
        <d v="2016-02-14T00:50:00Z"/>
        <d v="2016-02-14T14:07:00Z"/>
        <d v="2016-02-14T14:46:00Z"/>
        <d v="2016-02-14T16:35:00Z"/>
        <d v="2016-02-14T17:06:00Z"/>
        <d v="2016-02-16T03:21:00Z"/>
        <d v="2016-02-16T08:29:00Z"/>
        <d v="2016-02-16T10:31:00Z"/>
        <d v="2016-02-16T11:32:00Z"/>
        <d v="2016-02-16T12:39:00Z"/>
        <d v="2016-02-16T13:43:00Z"/>
        <d v="2016-02-16T16:34:00Z"/>
        <d v="2016-02-16T17:17:00Z"/>
        <d v="2016-02-16T17:40:00Z"/>
        <d v="2016-02-17T13:18:00Z"/>
        <d v="2016-02-17T15:17:00Z"/>
        <d v="2016-02-17T15:33:00Z"/>
        <d v="2016-02-17T16:38:00Z"/>
        <d v="2016-02-18T08:19:00Z"/>
        <d v="2016-02-18T14:03:00Z"/>
        <d v="2016-02-18T15:16:00Z"/>
        <d v="2016-02-18T18:44:00Z"/>
        <d v="2016-02-18T19:27:00Z"/>
        <d v="2016-02-19T09:02:00Z"/>
        <d v="2016-02-19T09:21:00Z"/>
        <d v="2016-02-19T10:21:00Z"/>
        <d v="2016-02-19T11:20:00Z"/>
        <d v="2016-02-19T11:45:00Z"/>
        <d v="2016-02-19T12:09:00Z"/>
        <d v="2016-02-19T16:26:00Z"/>
        <d v="2016-02-19T17:09:00Z"/>
        <d v="2016-02-19T20:08:00Z"/>
        <d v="2016-02-19T20:34:00Z"/>
        <d v="2016-02-20T07:59:00Z"/>
        <d v="2016-02-20T10:48:00Z"/>
        <d v="2016-02-20T11:45:00Z"/>
        <d v="2016-02-20T12:41:00Z"/>
        <d v="2016-02-20T14:50:00Z"/>
        <d v="2016-02-20T16:59:00Z"/>
        <d v="2016-02-20T18:00:00Z"/>
        <d v="2016-02-20T19:28:00Z"/>
        <d v="2016-02-21T09:07:00Z"/>
        <d v="2016-02-21T11:39:00Z"/>
        <d v="2016-02-21T11:47:00Z"/>
        <d v="2016-02-21T12:13:00Z"/>
        <d v="2016-02-21T12:51:00Z"/>
        <d v="2016-02-21T13:33:00Z"/>
        <d v="2016-02-21T14:36:00Z"/>
        <d v="2016-02-21T15:14:00Z"/>
        <d v="2016-02-21T15:36:00Z"/>
        <d v="2016-02-21T16:04:00Z"/>
        <d v="2016-02-21T23:15:00Z"/>
        <d v="2016-02-22T21:54:00Z"/>
        <d v="2016-02-24T14:30:00Z"/>
        <d v="2016-02-24T15:19:00Z"/>
        <d v="2016-02-25T16:27:00Z"/>
        <d v="2016-02-25T16:47:00Z"/>
        <d v="2016-02-25T17:16:00Z"/>
        <d v="2016-02-25T18:22:00Z"/>
        <d v="2016-02-26T09:06:00Z"/>
        <d v="2016-02-26T11:05:00Z"/>
        <d v="2016-02-26T11:35:00Z"/>
        <d v="2016-02-26T13:01:00Z"/>
        <d v="2016-02-26T14:38:00Z"/>
        <d v="2016-02-26T15:00:00Z"/>
        <d v="2016-02-26T17:01:00Z"/>
        <d v="2016-02-28T05:22:00Z"/>
        <d v="2016-02-28T09:26:00Z"/>
        <d v="2016-02-29T11:07:00Z"/>
        <d v="2016-02-29T11:30:00Z"/>
        <d v="2016-02-29T12:36:00Z"/>
        <d v="2016-02-29T14:55:00Z"/>
        <d v="2016-02-29T16:40:00Z"/>
        <d v="2016-03-01T18:47:00Z"/>
        <d v="2016-03-01T21:27:00Z"/>
        <d v="2016-03-03T09:45:00Z"/>
        <d v="2016-03-03T11:04:00Z"/>
        <d v="2016-03-03T14:44:00Z"/>
        <d v="2016-03-03T15:27:00Z"/>
        <d v="2016-03-03T16:02:00Z"/>
        <d v="2016-03-04T07:47:00Z"/>
        <d v="2016-03-04T09:46:00Z"/>
        <d v="2016-03-04T11:46:00Z"/>
        <d v="2016-03-04T13:03:00Z"/>
        <d v="2016-03-04T13:40:00Z"/>
        <d v="2016-03-04T15:56:00Z"/>
        <d v="2016-03-04T16:16:00Z"/>
        <d v="2016-03-04T16:43:00Z"/>
        <d v="2016-03-04T19:02:00Z"/>
        <d v="2016-03-04T19:16:00Z"/>
        <d v="2016-03-05T11:44:00Z"/>
        <d v="2016-03-05T12:57:00Z"/>
        <d v="2016-03-05T14:08:00Z"/>
        <d v="2016-03-05T14:39:00Z"/>
        <d v="2016-03-05T16:52:00Z"/>
        <d v="2016-03-05T17:23:00Z"/>
        <d v="2016-03-07T09:10:00Z"/>
        <d v="2016-03-07T09:23:00Z"/>
        <d v="2016-03-07T12:10:00Z"/>
        <d v="2016-03-07T13:57:00Z"/>
        <d v="2016-03-07T15:19:00Z"/>
        <d v="2016-03-08T14:38:00Z"/>
        <d v="2016-03-08T15:35:00Z"/>
        <d v="2016-03-08T16:13:00Z"/>
        <d v="2016-03-10T03:36:00Z"/>
        <d v="2016-03-10T10:08:00Z"/>
        <d v="2016-03-10T14:39:00Z"/>
        <d v="2016-03-10T16:18:00Z"/>
        <d v="2016-03-11T09:47:00Z"/>
        <d v="2016-03-11T10:29:00Z"/>
        <d v="2016-03-11T11:57:00Z"/>
        <d v="2016-03-11T13:43:00Z"/>
        <d v="2016-03-11T19:21:00Z"/>
        <d v="2016-03-12T09:13:00Z"/>
        <d v="2016-03-12T18:27:00Z"/>
        <d v="2016-03-13T09:07:00Z"/>
        <d v="2016-03-13T18:23:00Z"/>
        <d v="2016-03-13T20:07:00Z"/>
        <d v="2016-03-13T20:39:00Z"/>
        <d v="2016-03-13T21:11:00Z"/>
        <d v="2016-03-13T22:19:00Z"/>
        <d v="2016-03-14T08:34:00Z"/>
        <d v="2016-03-14T18:39:00Z"/>
        <d v="2016-03-15T08:45:00Z"/>
        <d v="2016-03-15T20:48:00Z"/>
        <d v="2016-03-16T11:34:00Z"/>
        <d v="2016-03-16T14:44:00Z"/>
        <d v="2016-03-16T18:43:00Z"/>
        <d v="2016-03-17T00:33:00Z"/>
        <d v="2016-03-17T12:52:00Z"/>
        <d v="2016-03-17T15:16:00Z"/>
        <d v="2016-03-17T17:20:00Z"/>
        <d v="2016-03-17T18:47:00Z"/>
        <d v="2016-03-17T20:57:00Z"/>
        <d v="2016-03-17T21:48:00Z"/>
        <d v="2016-03-18T07:15:00Z"/>
        <d v="2016-03-18T08:35:00Z"/>
        <d v="2016-03-18T18:24:00Z"/>
        <d v="2016-03-18T19:23:00Z"/>
        <d v="2016-03-18T21:01:00Z"/>
        <d v="2016-03-19T09:10:00Z"/>
        <d v="2016-03-19T12:50:00Z"/>
        <d v="2016-03-19T14:01:00Z"/>
        <d v="2016-03-19T15:34:00Z"/>
        <d v="2016-03-19T17:17:00Z"/>
        <d v="2016-03-19T17:37:00Z"/>
        <d v="2016-03-19T17:52:00Z"/>
        <d v="2016-03-19T18:53:00Z"/>
        <d v="2016-03-19T19:33:00Z"/>
        <d v="2016-03-20T07:37:00Z"/>
        <d v="2016-03-20T11:42:00Z"/>
        <d v="2016-03-20T17:08:00Z"/>
        <d v="2016-03-20T18:34:00Z"/>
        <d v="2016-03-20T18:45:00Z"/>
        <d v="2016-03-21T10:21:00Z"/>
        <d v="2016-03-21T16:05:00Z"/>
        <d v="2016-03-21T18:59:00Z"/>
        <d v="2016-03-21T20:18:00Z"/>
        <d v="2016-03-22T06:17:00Z"/>
        <d v="2016-03-22T12:06:00Z"/>
        <d v="2016-03-22T19:12:00Z"/>
        <d v="2016-03-23T14:37:00Z"/>
        <d v="2016-03-23T14:53:00Z"/>
        <d v="2016-03-24T19:47:00Z"/>
        <d v="2016-03-24T20:34:00Z"/>
        <d v="2016-03-25T13:24:00Z"/>
        <d v="2016-03-25T16:52:00Z"/>
        <d v="2016-03-25T22:54:00Z"/>
        <d v="2016-03-26T14:05:00Z"/>
        <d v="2016-03-26T15:19:00Z"/>
        <d v="2016-03-26T16:26:00Z"/>
        <d v="2016-03-27T00:31:00Z"/>
        <d v="2016-03-27T01:11:00Z"/>
        <d v="2016-03-27T15:31:00Z"/>
        <d v="2016-03-27T21:26:00Z"/>
        <d v="2016-03-27T23:04:00Z"/>
        <d v="2016-03-28T12:29:00Z"/>
        <d v="2016-03-28T19:30:00Z"/>
        <d v="2016-03-28T22:55:00Z"/>
        <d v="2016-03-29T15:27:00Z"/>
        <d v="2016-03-29T18:20:00Z"/>
        <d v="2016-03-29T20:29:00Z"/>
        <d v="2016-03-29T23:04:00Z"/>
        <d v="2016-03-30T22:05:00Z"/>
        <d v="2016-03-31T12:47:00Z"/>
        <d v="2016-03-31T14:37:00Z"/>
        <d v="2016-04-01T13:43:00Z"/>
        <d v="2016-04-01T14:36:00Z"/>
        <d v="2016-04-01T16:01:00Z"/>
        <d v="2016-04-01T16:52:00Z"/>
        <d v="2016-04-02T08:48:00Z"/>
        <d v="2016-04-02T11:01:00Z"/>
        <d v="2016-04-02T12:21:00Z"/>
        <d v="2016-04-02T16:57:00Z"/>
        <d v="2016-04-02T19:38:00Z"/>
        <d v="2016-04-02T23:11:00Z"/>
        <d v="2016-04-03T02:00:00Z"/>
        <d v="2016-04-05T21:39:00Z"/>
        <d v="2016-04-06T00:19:00Z"/>
        <d v="2016-04-07T18:20:00Z"/>
        <d v="2016-04-07T19:45:00Z"/>
        <d v="2016-04-08T12:30:00Z"/>
        <d v="2016-04-08T13:34:00Z"/>
        <d v="2016-04-08T13:55:00Z"/>
        <d v="2016-04-08T14:43:00Z"/>
        <d v="2016-04-08T16:05:00Z"/>
        <d v="2016-04-12T09:15:00Z"/>
        <d v="2016-04-12T09:34:00Z"/>
        <d v="2016-04-12T10:58:00Z"/>
        <d v="2016-04-12T12:22:00Z"/>
        <d v="2016-04-12T13:42:00Z"/>
        <d v="2016-04-14T07:29:00Z"/>
        <d v="2016-04-14T16:00:00Z"/>
        <d v="2016-04-15T11:36:00Z"/>
        <d v="2016-04-15T12:29:00Z"/>
        <d v="2016-04-15T14:31:00Z"/>
        <d v="2016-04-16T12:59:00Z"/>
        <d v="2016-04-16T15:10:00Z"/>
        <d v="2016-04-19T17:44:00Z"/>
        <d v="2016-04-19T19:57:00Z"/>
        <d v="2016-04-22T08:25:00Z"/>
        <d v="2016-04-22T10:10:00Z"/>
        <d v="2016-04-22T12:08:00Z"/>
        <d v="2016-04-22T13:02:00Z"/>
        <d v="2016-04-23T17:03:00Z"/>
        <d v="2016-04-23T18:49:00Z"/>
        <d v="2016-04-24T19:07:00Z"/>
        <d v="2016-04-24T19:46:00Z"/>
        <d v="2016-04-24T21:41:00Z"/>
        <d v="2016-04-27T13:30:00Z"/>
        <d v="2016-04-27T14:13:00Z"/>
        <d v="2016-04-28T12:09:00Z"/>
        <d v="2016-04-28T13:30:00Z"/>
        <d v="2016-04-28T22:10:00Z"/>
        <d v="2016-04-29T11:44:00Z"/>
        <d v="2016-04-29T13:13:00Z"/>
        <d v="2016-04-29T18:46:00Z"/>
        <d v="2016-04-29T22:44:00Z"/>
        <d v="2016-04-30T18:42:00Z"/>
        <d v="2016-04-30T22:16:00Z"/>
        <d v="2016-05-01T13:45:00Z"/>
        <d v="2016-05-01T14:26:00Z"/>
        <d v="2016-05-01T17:33:00Z"/>
        <d v="2016-05-01T17:54:00Z"/>
        <d v="2016-05-01T22:38:00Z"/>
        <d v="2016-05-02T14:14:00Z"/>
        <d v="2016-05-02T15:37:00Z"/>
        <d v="2016-05-03T22:20:00Z"/>
        <d v="2016-05-04T15:16:00Z"/>
        <d v="2016-05-04T20:55:00Z"/>
        <d v="2016-05-04T21:30:00Z"/>
        <d v="2016-05-04T22:19:00Z"/>
        <d v="2016-05-05T21:24:00Z"/>
        <d v="2016-05-05T22:34:00Z"/>
        <d v="2016-05-05T23:55:00Z"/>
        <d v="2016-05-06T05:47:00Z"/>
        <d v="2016-05-06T16:45:00Z"/>
        <d v="2016-05-06T17:18:00Z"/>
        <d v="2016-05-09T06:08:00Z"/>
        <d v="2016-05-09T14:39:00Z"/>
        <d v="2016-05-09T17:58:00Z"/>
        <d v="2016-05-09T19:35:00Z"/>
        <d v="2016-05-10T09:03:00Z"/>
        <d v="2016-05-10T17:19:00Z"/>
        <d v="2016-05-11T08:35:00Z"/>
        <d v="2016-05-11T21:47:00Z"/>
        <d v="2016-05-14T18:35:00Z"/>
        <d v="2016-05-14T23:01:00Z"/>
        <d v="2016-05-17T13:15:00Z"/>
        <d v="2016-05-17T13:56:00Z"/>
        <d v="2016-05-17T14:34:00Z"/>
        <d v="2016-05-18T09:11:00Z"/>
        <d v="2016-05-18T13:00:00Z"/>
        <d v="2016-05-19T14:37:00Z"/>
        <d v="2016-05-20T10:56:00Z"/>
        <d v="2016-05-20T15:43:00Z"/>
        <d v="2016-05-22T15:39:00Z"/>
        <d v="2016-05-22T18:46:00Z"/>
        <d v="2016-05-23T20:19:00Z"/>
        <d v="2016-05-23T21:09:00Z"/>
        <d v="2016-05-27T20:26:00Z"/>
        <d v="2016-05-27T20:47:00Z"/>
        <d v="2016-05-27T22:11:00Z"/>
        <d v="2016-05-28T00:15:00Z"/>
        <d v="2016-05-28T12:52:00Z"/>
        <d v="2016-05-28T14:35:00Z"/>
        <d v="2016-05-31T13:54:00Z"/>
        <d v="2016-05-31T16:02:00Z"/>
        <d v="2016-05-31T17:50:00Z"/>
        <d v="2016-06-01T10:19:00Z"/>
        <d v="2016-06-01T13:10:00Z"/>
        <d v="2016-06-03T11:29:00Z"/>
        <d v="2016-06-03T13:08:00Z"/>
        <d v="2016-06-03T15:31:00Z"/>
        <d v="2016-06-03T18:14:00Z"/>
        <d v="2016-06-03T18:41:00Z"/>
        <d v="2016-06-03T19:36:00Z"/>
        <d v="2016-06-03T22:47:00Z"/>
        <d v="2016-06-05T14:03:00Z"/>
        <d v="2016-06-05T15:06:00Z"/>
        <d v="2016-06-05T15:57:00Z"/>
        <d v="2016-06-05T18:05:00Z"/>
        <d v="2016-06-05T21:53:00Z"/>
        <d v="2016-06-05T23:52:00Z"/>
        <d v="2016-06-06T15:36:00Z"/>
        <d v="2016-06-06T16:16:00Z"/>
        <d v="2016-06-06T20:06:00Z"/>
        <d v="2016-06-06T21:08:00Z"/>
        <d v="2016-06-06T21:41:00Z"/>
        <d v="2016-06-06T23:34:00Z"/>
        <d v="2016-06-07T21:42:00Z"/>
        <d v="2016-06-07T23:41:00Z"/>
        <d v="2016-06-08T08:23:00Z"/>
        <d v="2016-06-08T12:04:00Z"/>
        <d v="2016-06-08T13:12:00Z"/>
        <d v="2016-06-08T14:31:00Z"/>
        <d v="2016-06-08T16:55:00Z"/>
        <d v="2016-06-08T17:16:00Z"/>
        <d v="2016-06-08T17:59:00Z"/>
        <d v="2016-06-08T20:11:00Z"/>
        <d v="2016-06-10T15:19:00Z"/>
        <d v="2016-06-10T21:47:00Z"/>
        <d v="2016-06-10T23:53:00Z"/>
        <d v="2016-06-11T17:08:00Z"/>
        <d v="2016-06-11T17:34:00Z"/>
        <d v="2016-06-11T17:50:00Z"/>
        <d v="2016-06-11T21:45:00Z"/>
        <d v="2016-06-11T23:39:00Z"/>
        <d v="2016-06-12T19:53:00Z"/>
        <d v="2016-06-12T20:05:00Z"/>
        <d v="2016-06-12T21:58:00Z"/>
        <d v="2016-06-13T05:23:00Z"/>
        <d v="2016-06-13T14:17:00Z"/>
        <d v="2016-06-13T18:08:00Z"/>
        <d v="2016-06-13T18:54:00Z"/>
        <d v="2016-06-13T20:00:00Z"/>
        <d v="2016-06-14T12:03:00Z"/>
        <d v="2016-06-14T16:09:00Z"/>
        <d v="2016-06-14T17:15:00Z"/>
        <d v="2016-06-14T17:27:00Z"/>
        <d v="2016-06-15T01:46:00Z"/>
        <d v="2016-06-15T15:26:00Z"/>
        <d v="2016-06-15T16:37:00Z"/>
        <d v="2016-06-15T17:29:00Z"/>
        <d v="2016-06-15T19:52:00Z"/>
        <d v="2016-06-16T13:36:00Z"/>
        <d v="2016-06-16T14:42:00Z"/>
        <d v="2016-06-16T15:17:00Z"/>
        <d v="2016-06-16T19:39:00Z"/>
        <d v="2016-06-16T21:43:00Z"/>
        <d v="2016-06-17T16:11:00Z"/>
        <d v="2016-06-18T00:29:00Z"/>
        <d v="2016-06-19T02:39:00Z"/>
        <d v="2016-06-19T05:51:00Z"/>
        <d v="2016-06-21T15:39:00Z"/>
        <d v="2016-06-21T17:11:00Z"/>
        <d v="2016-06-24T10:41:00Z"/>
        <d v="2016-06-24T11:54:00Z"/>
        <d v="2016-06-24T12:19:00Z"/>
        <d v="2016-06-24T12:50:00Z"/>
        <d v="2016-06-24T13:18:00Z"/>
        <d v="2016-06-24T14:01:00Z"/>
        <d v="2016-06-24T20:44:00Z"/>
        <d v="2016-06-25T09:03:00Z"/>
        <d v="2016-06-25T09:15:00Z"/>
        <d v="2016-06-25T10:18:00Z"/>
        <d v="2016-06-25T10:50:00Z"/>
        <d v="2016-06-25T11:25:00Z"/>
        <d v="2016-06-25T11:53:00Z"/>
        <d v="2016-06-25T19:47:00Z"/>
        <d v="2016-06-25T23:19:00Z"/>
        <d v="2016-06-26T17:43:00Z"/>
        <d v="2016-06-26T18:45:00Z"/>
        <d v="2016-06-26T19:41:00Z"/>
        <d v="2016-06-26T21:14:00Z"/>
        <d v="2016-06-27T07:37:00Z"/>
        <d v="2016-06-27T08:51:00Z"/>
        <d v="2016-06-27T09:05:00Z"/>
        <d v="2016-06-27T09:43:00Z"/>
        <d v="2016-06-27T10:22:00Z"/>
        <d v="2016-06-27T10:51:00Z"/>
        <d v="2016-06-27T11:06:00Z"/>
        <d v="2016-06-27T11:30:00Z"/>
        <d v="2016-06-27T12:22:00Z"/>
        <d v="2016-06-27T13:56:00Z"/>
        <d v="2016-06-27T21:09:00Z"/>
        <d v="2016-06-28T00:48:00Z"/>
        <d v="2016-06-28T20:13:00Z"/>
        <d v="2016-06-28T23:34:00Z"/>
        <d v="2016-06-29T08:56:00Z"/>
        <d v="2016-06-29T10:22:00Z"/>
        <d v="2016-06-29T11:49:00Z"/>
        <d v="2016-06-29T12:11:00Z"/>
        <d v="2016-06-29T20:11:00Z"/>
        <d v="2016-06-29T23:38:00Z"/>
        <d v="2016-06-30T20:09:00Z"/>
        <d v="2016-07-01T00:00:00Z"/>
        <d v="2016-07-01T09:34:00Z"/>
        <d v="2016-07-01T12:36:00Z"/>
        <d v="2016-07-01T20:06:00Z"/>
        <d v="2016-07-01T23:48:00Z"/>
        <d v="2016-07-02T20:18:00Z"/>
        <d v="2016-07-02T23:48:00Z"/>
        <d v="2016-07-03T00:28:00Z"/>
        <d v="2016-07-03T03:02:00Z"/>
        <d v="2016-07-03T20:00:00Z"/>
        <d v="2016-07-04T00:32:00Z"/>
        <d v="2016-07-04T17:31:00Z"/>
        <d v="2016-07-04T18:23:00Z"/>
        <d v="2016-07-04T20:00:00Z"/>
        <d v="2016-07-05T00:00:00Z"/>
        <d v="2016-07-05T00:08:00Z"/>
        <d v="2016-07-05T16:48:00Z"/>
        <d v="2016-07-05T20:06:00Z"/>
        <d v="2016-07-05T22:41:00Z"/>
        <d v="2016-07-06T00:33:00Z"/>
        <d v="2016-07-06T09:06:00Z"/>
        <d v="2016-07-06T12:48:00Z"/>
        <d v="2016-07-06T20:04:00Z"/>
        <d v="2016-07-06T23:46:00Z"/>
        <d v="2016-07-07T08:22:00Z"/>
        <d v="2016-07-07T10:27:00Z"/>
        <d v="2016-07-07T12:59:00Z"/>
        <d v="2016-07-08T09:50:00Z"/>
        <d v="2016-07-08T10:51:00Z"/>
        <d v="2016-07-08T13:48:00Z"/>
        <d v="2016-07-08T17:11:00Z"/>
        <d v="2016-07-09T09:03:00Z"/>
        <d v="2016-07-09T09:52:00Z"/>
        <d v="2016-07-09T10:15:00Z"/>
        <d v="2016-07-10T14:10:00Z"/>
        <d v="2016-07-10T16:04:00Z"/>
        <d v="2016-07-10T18:05:00Z"/>
        <d v="2016-07-10T19:51:00Z"/>
        <d v="2016-07-12T16:10:00Z"/>
        <d v="2016-07-12T19:21:00Z"/>
        <d v="2016-07-12T23:47:00Z"/>
        <d v="2016-07-13T12:39:00Z"/>
        <d v="2016-07-13T13:25:00Z"/>
        <d v="2016-07-13T13:42:00Z"/>
        <d v="2016-07-14T15:51:00Z"/>
        <d v="2016-07-14T16:03:00Z"/>
        <d v="2016-07-14T16:39:00Z"/>
        <d v="2016-07-15T11:32:00Z"/>
        <d v="2016-07-15T12:09:00Z"/>
        <d v="2016-07-15T12:35:00Z"/>
        <d v="2016-07-15T15:03:00Z"/>
        <d v="2016-07-15T15:40:00Z"/>
        <d v="2016-07-16T13:14:00Z"/>
        <d v="2016-07-16T14:14:00Z"/>
        <d v="2016-07-16T15:29:00Z"/>
        <d v="2016-07-16T19:42:00Z"/>
        <d v="2016-07-16T21:45:00Z"/>
        <d v="2016-07-16T22:50:00Z"/>
        <d v="2016-07-17T11:23:00Z"/>
        <d v="2016-07-17T12:20:00Z"/>
        <d v="2016-07-18T10:37:00Z"/>
        <d v="2016-07-18T10:54:00Z"/>
        <d v="2016-07-18T11:25:00Z"/>
        <d v="2016-07-18T11:40:00Z"/>
        <d v="2016-07-18T17:12:00Z"/>
        <d v="2016-07-18T18:32:00Z"/>
        <d v="2016-07-18T19:07:00Z"/>
        <d v="2016-07-18T20:28:00Z"/>
        <d v="2016-07-18T21:11:00Z"/>
        <d v="2016-07-19T10:35:00Z"/>
        <d v="2016-07-19T10:56:00Z"/>
        <d v="2016-07-19T11:30:00Z"/>
        <d v="2016-07-19T17:14:00Z"/>
        <d v="2016-07-19T17:50:00Z"/>
        <d v="2016-07-20T17:12:00Z"/>
        <d v="2016-07-20T17:50:00Z"/>
        <d v="2016-07-20T18:16:00Z"/>
        <d v="2016-07-21T17:17:00Z"/>
        <d v="2016-07-21T17:42:00Z"/>
        <d v="2016-07-21T18:27:00Z"/>
        <d v="2016-07-21T19:30:00Z"/>
        <d v="2016-07-22T10:42:00Z"/>
        <d v="2016-07-22T11:11:00Z"/>
        <d v="2016-07-22T11:37:00Z"/>
        <d v="2016-07-22T12:14:00Z"/>
        <d v="2016-07-22T13:21:00Z"/>
        <d v="2016-07-22T14:27:00Z"/>
        <d v="2016-07-22T15:49:00Z"/>
        <d v="2016-07-22T18:33:00Z"/>
        <d v="2016-07-23T14:27:00Z"/>
        <d v="2016-07-23T14:48:00Z"/>
        <d v="2016-07-23T15:15:00Z"/>
        <d v="2016-07-23T15:50:00Z"/>
        <d v="2016-07-23T20:17:00Z"/>
        <d v="2016-07-23T23:18:00Z"/>
        <d v="2016-07-25T10:35:00Z"/>
        <d v="2016-07-25T10:47:00Z"/>
        <d v="2016-07-25T11:04:00Z"/>
        <d v="2016-07-25T11:37:00Z"/>
        <d v="2016-07-26T15:43:00Z"/>
        <d v="2016-07-26T17:14:00Z"/>
        <d v="2016-07-26T20:52:00Z"/>
        <d v="2016-07-26T22:31:00Z"/>
        <d v="2016-07-27T19:08:00Z"/>
        <d v="2016-07-27T21:34:00Z"/>
        <d v="2016-07-27T22:00:00Z"/>
        <d v="2016-07-28T00:04:00Z"/>
        <d v="2016-07-29T15:45:00Z"/>
        <d v="2016-07-29T17:27:00Z"/>
        <d v="2016-07-30T17:02:00Z"/>
        <d v="2016-07-30T21:16:00Z"/>
        <d v="2016-07-31T17:30:00Z"/>
        <d v="2016-08-01T12:47:00Z"/>
        <d v="2016-08-01T13:08:00Z"/>
        <d v="2016-08-01T13:28:00Z"/>
        <d v="2016-08-01T13:52:00Z"/>
        <d v="2016-08-01T15:40:00Z"/>
        <d v="2016-08-01T16:18:00Z"/>
        <d v="2016-08-01T16:29:00Z"/>
        <d v="2016-08-01T17:23:00Z"/>
        <d v="2016-08-02T08:11:00Z"/>
        <d v="2016-08-02T11:51:00Z"/>
        <d v="2016-08-02T19:15:00Z"/>
        <d v="2016-08-02T21:23:00Z"/>
        <d v="2016-08-03T12:46:00Z"/>
        <d v="2016-08-03T14:59:00Z"/>
        <d v="2016-08-03T16:00:00Z"/>
        <d v="2016-08-05T17:23:00Z"/>
        <d v="2016-08-05T18:17:00Z"/>
        <d v="2016-08-05T19:17:00Z"/>
        <d v="2016-08-06T06:40:00Z"/>
        <d v="2016-08-06T09:31:00Z"/>
        <d v="2016-08-07T17:14:00Z"/>
        <d v="2016-08-07T17:28:00Z"/>
        <d v="2016-08-07T18:17:00Z"/>
        <d v="2016-08-07T20:15:00Z"/>
        <d v="2016-08-08T16:17:00Z"/>
        <d v="2016-08-08T16:37:00Z"/>
        <d v="2016-08-08T17:02:00Z"/>
        <d v="2016-08-08T21:50:00Z"/>
        <d v="2016-08-08T23:28:00Z"/>
        <d v="2016-08-09T14:20:00Z"/>
        <d v="2016-08-09T15:15:00Z"/>
        <d v="2016-08-09T16:04:00Z"/>
        <d v="2016-08-10T16:56:00Z"/>
        <d v="2016-08-10T17:53:00Z"/>
        <d v="2016-08-10T18:49:00Z"/>
        <d v="2016-08-10T19:47:00Z"/>
        <d v="2016-08-11T12:53:00Z"/>
        <d v="2016-08-11T13:14:00Z"/>
        <d v="2016-08-11T13:32:00Z"/>
        <d v="2016-08-11T18:37:00Z"/>
        <d v="2016-08-11T20:59:00Z"/>
        <d v="2016-08-12T18:49:00Z"/>
        <d v="2016-08-12T18:56:00Z"/>
        <d v="2016-08-13T15:35:00Z"/>
        <d v="2016-08-15T09:05:00Z"/>
        <d v="2016-08-15T15:20:00Z"/>
        <d v="2016-08-15T16:52:00Z"/>
        <d v="2016-08-15T19:08:00Z"/>
        <d v="2016-08-16T07:58:00Z"/>
        <d v="2016-08-16T08:16:00Z"/>
        <d v="2016-08-16T08:46:00Z"/>
        <d v="2016-08-16T10:06:00Z"/>
        <d v="2016-08-16T10:31:00Z"/>
        <d v="2016-08-16T11:47:00Z"/>
        <d v="2016-08-16T15:13:00Z"/>
        <d v="2016-08-17T10:17:00Z"/>
        <d v="2016-08-17T10:57:00Z"/>
        <d v="2016-08-17T14:45:00Z"/>
        <d v="2016-08-17T15:32:00Z"/>
        <d v="2016-08-17T16:29:00Z"/>
        <d v="2016-08-17T16:54:00Z"/>
        <d v="2016-08-17T17:05:00Z"/>
        <d v="2016-08-17T18:38:00Z"/>
        <d v="2016-08-18T18:40:00Z"/>
        <d v="2016-08-19T08:24:00Z"/>
        <d v="2016-08-19T08:54:00Z"/>
        <d v="2016-08-19T09:27:00Z"/>
        <d v="2016-08-19T10:57:00Z"/>
        <d v="2016-08-19T12:07:00Z"/>
        <d v="2016-08-19T15:51:00Z"/>
        <d v="2016-08-19T17:12:00Z"/>
        <d v="2016-08-21T10:00:00Z"/>
        <d v="2016-08-21T14:05:00Z"/>
        <d v="2016-08-21T16:30:00Z"/>
        <d v="2016-08-21T18:10:00Z"/>
        <d v="2016-08-21T18:48:00Z"/>
        <d v="2016-08-22T10:00:00Z"/>
        <d v="2016-08-22T11:07:00Z"/>
        <d v="2016-08-22T12:36:00Z"/>
        <d v="2016-08-22T13:02:00Z"/>
        <d v="2016-08-22T14:07:00Z"/>
        <d v="2016-08-22T15:14:00Z"/>
        <d v="2016-08-22T15:59:00Z"/>
        <d v="2016-08-22T19:58:00Z"/>
        <d v="2016-08-22T20:53:00Z"/>
        <d v="2016-08-22T22:31:00Z"/>
        <d v="2016-08-23T08:10:00Z"/>
        <d v="2016-08-23T09:35:00Z"/>
        <d v="2016-08-23T12:59:00Z"/>
        <d v="2016-08-23T13:19:00Z"/>
        <d v="2016-08-23T13:49:00Z"/>
        <d v="2016-08-23T15:07:00Z"/>
        <d v="2016-08-23T15:15:00Z"/>
        <d v="2016-08-23T17:42:00Z"/>
        <d v="2016-08-24T12:05:00Z"/>
        <d v="2016-08-24T13:01:00Z"/>
        <d v="2016-08-25T15:17:00Z"/>
        <d v="2016-08-25T16:36:00Z"/>
        <d v="2016-08-25T17:19:00Z"/>
        <d v="2016-08-25T19:25:00Z"/>
        <d v="2016-08-25T22:58:00Z"/>
        <d v="2016-08-26T09:06:00Z"/>
        <d v="2016-08-26T11:14:00Z"/>
        <d v="2016-08-26T12:10:00Z"/>
        <d v="2016-08-26T14:10:00Z"/>
        <d v="2016-08-26T15:23:00Z"/>
        <d v="2016-08-26T15:59:00Z"/>
        <d v="2016-08-26T16:55:00Z"/>
        <d v="2016-08-26T18:42:00Z"/>
        <d v="2016-08-26T19:31:00Z"/>
        <d v="2016-08-26T20:06:00Z"/>
        <d v="2016-08-27T09:34:00Z"/>
        <d v="2016-08-27T11:47:00Z"/>
        <d v="2016-08-27T12:12:00Z"/>
        <d v="2016-08-27T14:01:00Z"/>
        <d v="2016-08-27T16:15:00Z"/>
        <d v="2016-08-28T09:57:00Z"/>
        <d v="2016-08-28T16:39:00Z"/>
        <d v="2016-08-28T17:37:00Z"/>
        <d v="2016-08-28T21:15:00Z"/>
        <d v="2016-08-29T12:02:00Z"/>
        <d v="2016-08-29T13:38:00Z"/>
        <d v="2016-08-29T14:31:00Z"/>
        <d v="2016-08-29T14:49:00Z"/>
        <d v="2016-08-29T15:49:00Z"/>
        <d v="2016-08-29T16:06:00Z"/>
        <d v="2016-08-29T17:24:00Z"/>
        <d v="2016-08-29T18:27:00Z"/>
        <d v="2016-08-30T11:53:00Z"/>
        <d v="2016-08-30T12:46:00Z"/>
        <d v="2016-08-30T13:25:00Z"/>
        <d v="2016-08-30T14:00:00Z"/>
        <d v="2016-08-30T17:27:00Z"/>
        <d v="2016-09-01T11:51:00Z"/>
        <d v="2016-09-01T17:21:00Z"/>
        <d v="2016-09-01T18:49:00Z"/>
        <d v="2016-09-02T11:37:00Z"/>
        <d v="2016-09-02T18:56:00Z"/>
        <d v="2016-09-05T10:25:00Z"/>
        <d v="2016-09-10T10:28:00Z"/>
        <d v="2016-09-11T09:51:00Z"/>
        <d v="2016-09-11T21:40:00Z"/>
        <d v="2016-09-12T08:07:00Z"/>
        <d v="2016-09-12T11:15:00Z"/>
        <d v="2016-09-12T13:04:00Z"/>
        <d v="2016-09-13T16:56:00Z"/>
        <d v="2016-09-14T11:55:00Z"/>
        <d v="2016-09-15T20:33:00Z"/>
        <d v="2016-09-18T18:07:00Z"/>
        <d v="2016-09-19T06:18:00Z"/>
        <d v="2016-09-19T14:40:00Z"/>
        <d v="2016-09-19T16:23:00Z"/>
        <d v="2016-09-19T17:36:00Z"/>
        <d v="2016-09-19T19:10:00Z"/>
        <d v="2016-09-20T11:29:00Z"/>
        <d v="2016-09-20T20:47:00Z"/>
        <d v="2016-09-23T13:15:00Z"/>
        <d v="2016-09-24T14:34:00Z"/>
        <d v="2016-09-24T20:29:00Z"/>
        <d v="2016-09-27T08:33:00Z"/>
        <d v="2016-09-27T13:21:00Z"/>
        <d v="2016-09-27T19:14:00Z"/>
        <d v="2016-09-27T21:01:00Z"/>
        <d v="2016-09-28T17:21:00Z"/>
        <d v="2016-09-29T16:13:00Z"/>
        <d v="2016-09-30T17:39:00Z"/>
        <d v="2016-09-30T20:59:00Z"/>
        <d v="2016-10-03T17:09:00Z"/>
        <d v="2016-10-03T18:17:00Z"/>
        <d v="2016-10-03T18:51:00Z"/>
        <d v="2016-10-03T22:04:00Z"/>
        <d v="2016-10-04T09:50:00Z"/>
        <d v="2016-10-04T12:17:00Z"/>
        <d v="2016-10-06T08:49:00Z"/>
        <d v="2016-10-06T17:23:00Z"/>
        <d v="2016-10-06T18:37:00Z"/>
        <d v="2016-10-06T19:46:00Z"/>
        <d v="2016-10-07T10:56:00Z"/>
        <d v="2016-10-07T11:27:00Z"/>
        <d v="2016-10-07T13:52:00Z"/>
        <d v="2016-10-07T14:29:00Z"/>
        <d v="2016-10-07T15:47:00Z"/>
        <d v="2016-10-07T18:08:00Z"/>
        <d v="2016-10-07T18:33:00Z"/>
        <d v="2016-10-08T18:15:00Z"/>
        <d v="2016-10-09T14:04:00Z"/>
        <d v="2016-10-10T17:22:00Z"/>
        <d v="2016-10-10T17:33:00Z"/>
        <d v="2016-10-11T01:27:00Z"/>
        <d v="2016-10-12T19:18:00Z"/>
        <d v="2016-10-13T11:20:00Z"/>
        <d v="2016-10-13T12:08:00Z"/>
        <d v="2016-10-13T13:37:00Z"/>
        <d v="2016-10-13T16:08:00Z"/>
        <d v="2016-10-14T08:50:00Z"/>
        <d v="2016-10-14T10:16:00Z"/>
        <d v="2016-10-14T15:56:00Z"/>
        <d v="2016-10-14T23:54:00Z"/>
        <d v="2016-10-15T22:28:00Z"/>
        <d v="2016-10-16T00:01:00Z"/>
        <d v="2016-10-16T12:52:00Z"/>
        <d v="2016-10-16T14:40:00Z"/>
        <d v="2016-10-16T15:10:00Z"/>
        <d v="2016-10-16T19:27:00Z"/>
        <d v="2016-10-16T20:30:00Z"/>
        <d v="2016-10-16T21:34:00Z"/>
        <d v="2016-10-17T15:19:00Z"/>
        <d v="2016-10-17T16:29:00Z"/>
        <d v="2016-10-17T18:02:00Z"/>
        <d v="2016-10-17T18:31:00Z"/>
        <d v="2016-10-17T19:08:00Z"/>
        <d v="2016-10-18T08:12:00Z"/>
        <d v="2016-10-18T08:53:00Z"/>
        <d v="2016-10-18T10:41:00Z"/>
        <d v="2016-10-18T18:12:00Z"/>
        <d v="2016-10-18T19:03:00Z"/>
        <d v="2016-10-18T20:31:00Z"/>
        <d v="2016-10-19T09:33:00Z"/>
        <d v="2016-10-19T09:54:00Z"/>
        <d v="2016-10-19T13:45:00Z"/>
        <d v="2016-10-19T14:02:00Z"/>
        <d v="2016-10-19T15:44:00Z"/>
        <d v="2016-10-19T16:06:00Z"/>
        <d v="2016-10-19T16:33:00Z"/>
        <d v="2016-10-20T11:26:00Z"/>
        <d v="2016-10-20T12:19:00Z"/>
        <d v="2016-10-20T20:44:00Z"/>
        <d v="2016-10-21T10:06:00Z"/>
        <d v="2016-10-22T00:54:00Z"/>
        <d v="2016-10-22T13:26:00Z"/>
        <d v="2016-10-22T17:08:00Z"/>
        <d v="2016-10-23T09:24:00Z"/>
        <d v="2016-10-23T12:17:00Z"/>
        <d v="2016-10-23T19:04:00Z"/>
        <d v="2016-10-23T21:10:00Z"/>
        <d v="2016-10-24T14:57:00Z"/>
        <d v="2016-10-24T15:33:00Z"/>
        <d v="2016-10-24T16:34:00Z"/>
        <d v="2016-10-25T13:27:00Z"/>
        <d v="2016-10-25T15:04:00Z"/>
        <d v="2016-10-25T15:16:00Z"/>
        <d v="2016-10-25T20:00:00Z"/>
        <d v="2016-10-25T20:54:00Z"/>
        <d v="2016-10-25T22:24:00Z"/>
        <d v="2016-10-26T19:25:00Z"/>
        <d v="2016-10-26T20:53:00Z"/>
        <d v="2016-10-27T18:51:00Z"/>
        <d v="2016-10-27T19:20:00Z"/>
        <d v="2016-10-27T19:52:00Z"/>
        <d v="2016-10-27T20:47:00Z"/>
        <d v="2016-10-27T21:26:00Z"/>
        <d v="2016-10-28T11:34:00Z"/>
        <d v="2016-10-28T13:06:00Z"/>
        <d v="2016-10-28T15:53:00Z"/>
        <d v="2016-10-28T18:13:00Z"/>
        <d v="2016-10-28T20:13:00Z"/>
        <d v="2016-10-29T15:22:00Z"/>
        <d v="2016-10-29T17:13:00Z"/>
        <d v="2016-10-30T07:49:00Z"/>
        <d v="2016-10-30T09:07:00Z"/>
        <d v="2016-10-30T10:11:00Z"/>
        <d v="2016-10-30T10:51:00Z"/>
        <d v="2016-10-30T12:24:00Z"/>
        <d v="2016-10-30T12:58:00Z"/>
        <d v="2016-10-30T13:24:00Z"/>
        <d v="2016-10-30T15:22:00Z"/>
        <d v="2016-10-30T18:26:00Z"/>
        <d v="2016-10-31T18:11:00Z"/>
        <d v="2016-10-31T18:47:00Z"/>
        <d v="2016-10-31T20:18:00Z"/>
        <d v="2016-10-31T21:45:00Z"/>
        <d v="2016-11-01T11:50:00Z"/>
        <d v="2016-11-01T16:29:00Z"/>
        <d v="2016-11-01T17:35:00Z"/>
        <d v="2016-11-01T19:14:00Z"/>
        <d v="2016-11-01T19:59:00Z"/>
        <d v="2016-11-01T20:41:00Z"/>
        <d v="2016-11-02T15:10:00Z"/>
        <d v="2016-11-02T15:45:00Z"/>
        <d v="2016-11-02T16:46:00Z"/>
        <d v="2016-11-02T17:34:00Z"/>
        <d v="2016-11-02T17:53:00Z"/>
        <d v="2016-11-03T11:28:00Z"/>
        <d v="2016-11-03T12:43:00Z"/>
        <d v="2016-11-03T13:42:00Z"/>
        <d v="2016-11-03T14:13:00Z"/>
        <d v="2016-11-03T18:51:00Z"/>
        <d v="2016-11-03T22:46:00Z"/>
        <d v="2016-11-04T10:02:00Z"/>
        <d v="2016-11-04T18:14:00Z"/>
        <d v="2016-11-04T21:04:00Z"/>
        <d v="2016-11-04T22:12:00Z"/>
        <d v="2016-11-05T08:34:00Z"/>
        <d v="2016-11-05T17:29:00Z"/>
        <d v="2016-11-05T19:20:00Z"/>
        <d v="2016-11-06T10:50:00Z"/>
        <d v="2016-11-06T16:05:00Z"/>
        <d v="2016-11-06T16:27:00Z"/>
        <d v="2016-11-06T19:04:00Z"/>
        <d v="2016-11-06T20:06:00Z"/>
        <d v="2016-11-07T12:28:00Z"/>
        <d v="2016-11-07T19:17:00Z"/>
        <d v="2016-11-08T10:29:00Z"/>
        <d v="2016-11-08T12:16:00Z"/>
        <d v="2016-11-08T13:41:00Z"/>
        <d v="2016-11-08T16:21:00Z"/>
        <d v="2016-11-09T13:08:00Z"/>
        <d v="2016-11-09T15:58:00Z"/>
        <d v="2016-11-09T17:31:00Z"/>
        <d v="2016-11-09T18:09:00Z"/>
        <d v="2016-11-09T18:21:00Z"/>
        <d v="2016-11-09T18:40:00Z"/>
        <d v="2016-11-09T20:52:00Z"/>
        <d v="2016-11-09T21:56:00Z"/>
        <d v="2016-11-10T09:46:00Z"/>
        <d v="2016-11-10T10:20:00Z"/>
        <d v="2016-11-10T14:57:00Z"/>
        <d v="2016-11-10T15:17:00Z"/>
        <d v="2016-11-10T15:30:00Z"/>
        <d v="2016-11-10T19:18:00Z"/>
        <d v="2016-11-11T09:35:00Z"/>
        <d v="2016-11-11T12:58:00Z"/>
        <d v="2016-11-11T14:20:00Z"/>
        <d v="2016-11-11T14:39:00Z"/>
        <d v="2016-11-11T18:30:00Z"/>
        <d v="2016-11-11T21:08:00Z"/>
        <d v="2016-11-12T10:32:00Z"/>
        <d v="2016-11-12T10:55:00Z"/>
        <d v="2016-11-12T13:07:00Z"/>
        <d v="2016-11-12T13:46:00Z"/>
        <d v="2016-11-12T14:22:00Z"/>
        <d v="2016-11-12T15:14:00Z"/>
        <d v="2016-11-12T15:25:00Z"/>
        <d v="2016-11-12T15:40:00Z"/>
        <d v="2016-11-13T08:54:00Z"/>
        <d v="2016-11-13T09:27:00Z"/>
        <d v="2016-11-13T10:31:00Z"/>
        <d v="2016-11-13T11:04:00Z"/>
        <d v="2016-11-13T12:22:00Z"/>
        <d v="2016-11-13T13:05:00Z"/>
        <d v="2016-11-13T13:14:00Z"/>
        <d v="2016-11-13T14:35:00Z"/>
        <d v="2016-11-13T15:14:00Z"/>
        <d v="2016-11-13T15:47:00Z"/>
        <d v="2016-11-14T11:24:00Z"/>
        <d v="2016-11-14T13:40:00Z"/>
        <d v="2016-11-14T15:27:00Z"/>
        <d v="2016-11-14T20:19:00Z"/>
        <d v="2016-11-15T13:59:00Z"/>
        <d v="2016-11-15T14:09:00Z"/>
        <d v="2016-11-15T20:44:00Z"/>
        <d v="2016-11-16T20:21:00Z"/>
        <d v="2016-11-16T22:52:00Z"/>
        <d v="2016-11-17T10:13:00Z"/>
        <d v="2016-11-18T20:09:00Z"/>
        <d v="2016-11-18T21:23:00Z"/>
        <d v="2016-11-18T21:56:00Z"/>
        <d v="2016-11-19T13:51:00Z"/>
        <d v="2016-11-19T14:30:00Z"/>
        <d v="2016-11-19T16:01:00Z"/>
        <d v="2016-11-19T16:27:00Z"/>
        <d v="2016-11-19T17:41:00Z"/>
        <d v="2016-11-19T21:14:00Z"/>
        <d v="2016-11-20T10:27:00Z"/>
        <d v="2016-11-20T11:58:00Z"/>
        <d v="2016-11-20T14:58:00Z"/>
        <d v="2016-11-20T17:45:00Z"/>
        <d v="2016-11-21T13:37:00Z"/>
        <d v="2016-11-21T14:34:00Z"/>
        <d v="2016-11-21T17:50:00Z"/>
        <d v="2016-11-21T18:18:00Z"/>
        <d v="2016-11-21T18:43:00Z"/>
        <d v="2016-11-22T15:12:00Z"/>
        <d v="2016-11-22T15:31:00Z"/>
        <d v="2016-11-22T15:51:00Z"/>
        <d v="2016-11-22T18:18:00Z"/>
        <d v="2016-11-22T21:02:00Z"/>
        <d v="2016-11-23T15:34:00Z"/>
        <d v="2016-11-23T16:18:00Z"/>
        <d v="2016-11-23T16:49:00Z"/>
        <d v="2016-11-23T18:37:00Z"/>
        <d v="2016-11-25T11:47:00Z"/>
        <d v="2016-11-25T13:13:00Z"/>
        <d v="2016-11-26T15:54:00Z"/>
        <d v="2016-11-26T17:00:00Z"/>
        <d v="2016-11-26T17:36:00Z"/>
        <d v="2016-11-26T18:29:00Z"/>
        <d v="2016-11-26T19:47:00Z"/>
        <d v="2016-11-27T15:59:00Z"/>
        <d v="2016-11-27T18:55:00Z"/>
        <d v="2016-11-30T11:03:00Z"/>
        <d v="2016-11-30T11:53:00Z"/>
        <d v="2016-11-30T12:43:00Z"/>
        <d v="2016-12-01T07:44:00Z"/>
        <d v="2016-12-01T08:37:00Z"/>
        <d v="2016-12-01T18:00:00Z"/>
        <d v="2016-12-01T20:36:00Z"/>
        <d v="2016-12-02T12:12:00Z"/>
        <d v="2016-12-02T13:07:00Z"/>
        <d v="2016-12-02T20:41:00Z"/>
        <d v="2016-12-02T22:59:00Z"/>
        <d v="2016-12-03T18:35:00Z"/>
        <d v="2016-12-03T19:08:00Z"/>
        <d v="2016-12-03T20:31:00Z"/>
        <d v="2016-12-04T18:56:00Z"/>
        <d v="2016-12-04T20:23:00Z"/>
        <d v="2016-12-05T18:04:00Z"/>
        <d v="2016-12-05T19:22:00Z"/>
        <d v="2016-12-07T12:03:00Z"/>
        <d v="2016-12-07T12:35:00Z"/>
        <d v="2016-12-07T19:53:00Z"/>
        <d v="2016-12-07T21:13:00Z"/>
        <d v="2016-12-08T14:19:00Z"/>
        <d v="2016-12-08T14:53:00Z"/>
        <d v="2016-12-08T19:22:00Z"/>
        <d v="2016-12-08T21:26:00Z"/>
        <d v="2016-12-09T12:09:00Z"/>
        <d v="2016-12-09T13:15:00Z"/>
        <d v="2016-12-09T20:11:00Z"/>
        <d v="2016-12-09T22:03:00Z"/>
        <d v="2016-12-10T12:43:00Z"/>
        <d v="2016-12-10T14:42:00Z"/>
        <d v="2016-12-10T18:17:00Z"/>
        <d v="2016-12-10T22:09:00Z"/>
        <d v="2016-12-11T16:06:00Z"/>
        <d v="2016-12-11T19:05:00Z"/>
        <d v="2016-12-11T21:48:00Z"/>
        <d v="2016-12-12T13:22:00Z"/>
        <d v="2016-12-12T13:36:00Z"/>
        <d v="2016-12-12T14:26:00Z"/>
        <d v="2016-12-12T17:51:00Z"/>
        <d v="2016-12-12T20:48:00Z"/>
        <d v="2016-12-13T18:19:00Z"/>
        <d v="2016-12-13T20:20:00Z"/>
        <d v="2016-12-14T16:52:00Z"/>
        <d v="2016-12-14T17:22:00Z"/>
        <d v="2016-12-14T17:50:00Z"/>
        <d v="2016-12-14T20:24:00Z"/>
        <d v="2016-12-15T14:20:00Z"/>
        <d v="2016-12-17T15:38:00Z"/>
        <d v="2016-12-17T17:19:00Z"/>
        <d v="2016-12-18T13:03:00Z"/>
        <d v="2016-12-18T16:38:00Z"/>
        <d v="2016-12-18T20:35:00Z"/>
        <d v="2016-12-19T09:08:00Z"/>
        <d v="2016-12-19T10:15:00Z"/>
        <d v="2016-12-19T13:04:00Z"/>
        <d v="2016-12-19T13:24:00Z"/>
        <d v="2016-12-19T14:07:00Z"/>
        <d v="2016-12-19T14:18:00Z"/>
        <d v="2016-12-19T14:37:00Z"/>
        <d v="2016-12-19T15:09:00Z"/>
        <d v="2016-12-19T16:50:00Z"/>
        <d v="2016-12-19T19:05:00Z"/>
        <d v="2016-12-19T19:55:00Z"/>
        <d v="2016-12-20T08:49:00Z"/>
        <d v="2016-12-20T10:30:00Z"/>
        <d v="2016-12-20T11:30:00Z"/>
        <d v="2016-12-20T13:14:00Z"/>
        <d v="2016-12-20T13:54:00Z"/>
        <d v="2016-12-20T16:14:00Z"/>
        <d v="2016-12-20T16:56:00Z"/>
        <d v="2016-12-20T18:47:00Z"/>
        <d v="2016-12-21T07:42:00Z"/>
        <d v="2016-12-21T10:14:00Z"/>
        <d v="2016-12-21T11:35:00Z"/>
        <d v="2016-12-21T12:51:00Z"/>
        <d v="2016-12-21T15:38:00Z"/>
        <d v="2016-12-21T15:55:00Z"/>
        <d v="2016-12-21T17:45:00Z"/>
        <d v="2016-12-21T17:59:00Z"/>
        <d v="2016-12-21T19:49:00Z"/>
        <d v="2016-12-21T20:56:00Z"/>
        <d v="2016-12-22T15:40:00Z"/>
        <d v="2016-12-22T17:04:00Z"/>
        <d v="2016-12-22T17:27:00Z"/>
        <d v="2016-12-22T17:56:00Z"/>
        <d v="2016-12-22T18:31:00Z"/>
        <d v="2016-12-22T18:38:00Z"/>
        <d v="2016-12-22T19:04:00Z"/>
        <d v="2016-12-22T21:41:00Z"/>
        <d v="2016-12-22T23:27:00Z"/>
        <d v="2016-12-23T09:21:00Z"/>
        <d v="2016-12-23T11:33:00Z"/>
        <d v="2016-12-23T14:15:00Z"/>
        <d v="2016-12-23T16:23:00Z"/>
        <d v="2016-12-23T17:34:00Z"/>
        <d v="2016-12-24T07:43:00Z"/>
        <d v="2016-12-24T09:19:00Z"/>
        <d v="2016-12-24T10:34:00Z"/>
        <d v="2016-12-24T12:51:00Z"/>
        <d v="2016-12-24T13:08:00Z"/>
        <d v="2016-12-24T17:12:00Z"/>
        <d v="2016-12-24T19:12:00Z"/>
        <d v="2016-12-24T22:04:00Z"/>
        <d v="2016-12-25T00:10:00Z"/>
        <d v="2016-12-25T19:15:00Z"/>
        <d v="2016-12-25T21:58:00Z"/>
        <d v="2016-12-26T08:30:00Z"/>
        <d v="2016-12-26T09:05:00Z"/>
        <d v="2016-12-26T10:15:00Z"/>
        <d v="2016-12-26T11:29:00Z"/>
        <d v="2016-12-26T13:09:00Z"/>
        <d v="2016-12-27T07:02:00Z"/>
        <d v="2016-12-27T08:37:00Z"/>
        <d v="2016-12-27T12:53:00Z"/>
        <d v="2016-12-27T14:49:00Z"/>
        <d v="2016-12-27T16:34:00Z"/>
        <d v="2016-12-27T19:19:00Z"/>
        <d v="2016-12-28T08:34:00Z"/>
        <d v="2016-12-28T11:42:00Z"/>
        <d v="2016-12-28T13:53:00Z"/>
        <d v="2016-12-28T15:04:00Z"/>
        <d v="2016-12-28T17:02:00Z"/>
        <d v="2016-12-28T18:33:00Z"/>
        <d v="2016-12-28T22:44:00Z"/>
        <d v="2016-12-29T00:49:00Z"/>
        <d v="2016-12-29T09:44:00Z"/>
        <d v="2016-12-29T11:28:00Z"/>
        <d v="2016-12-29T12:25:00Z"/>
        <d v="2016-12-29T13:17:00Z"/>
        <d v="2016-12-29T13:56:00Z"/>
        <d v="2016-12-29T14:42:00Z"/>
        <d v="2016-12-29T15:05:00Z"/>
        <d v="2016-12-29T18:59:00Z"/>
        <d v="2016-12-29T19:50:00Z"/>
        <d v="2016-12-29T20:15:00Z"/>
        <d v="2016-12-29T20:53:00Z"/>
        <d v="2016-12-29T23:14:00Z"/>
        <d v="2016-12-30T10:15:00Z"/>
        <d v="2016-12-30T11:31:00Z"/>
        <d v="2016-12-30T15:41:00Z"/>
        <d v="2016-12-30T16:45:00Z"/>
        <d v="2016-12-30T23:06:00Z"/>
        <d v="2016-12-31T01:07:00Z"/>
        <d v="2016-12-31T13:24:00Z"/>
        <d v="2016-12-31T15:03:00Z"/>
        <d v="2016-12-31T21:32:00Z"/>
        <d v="2016-12-31T22:08:00Z"/>
      </sharedItems>
    </cacheField>
    <cacheField name="END_DATE" numFmtId="164">
      <sharedItems containsSemiMixedTypes="0" containsDate="1" containsString="0">
        <d v="2016-01-01T21:17:00Z"/>
        <d v="2016-01-02T01:37:00Z"/>
        <d v="2016-01-02T20:38:00Z"/>
        <d v="2016-01-05T17:45:00Z"/>
        <d v="2016-01-06T15:49:00Z"/>
        <d v="2016-01-06T17:19:00Z"/>
        <d v="2016-01-06T17:35:00Z"/>
        <d v="2016-01-07T13:33:00Z"/>
        <d v="2016-01-10T08:25:00Z"/>
        <d v="2016-01-10T12:44:00Z"/>
        <d v="2016-01-10T15:51:00Z"/>
        <d v="2016-01-10T18:53:00Z"/>
        <d v="2016-01-10T19:32:00Z"/>
        <d v="2016-01-11T09:21:00Z"/>
        <d v="2016-01-11T12:03:00Z"/>
        <d v="2016-01-11T13:46:00Z"/>
        <d v="2016-01-11T14:43:00Z"/>
        <d v="2016-01-12T12:49:00Z"/>
        <d v="2016-01-12T13:09:00Z"/>
        <d v="2016-01-12T14:56:00Z"/>
        <d v="2016-01-12T15:28:00Z"/>
        <d v="2016-01-12T15:54:00Z"/>
        <d v="2016-01-12T17:00:00Z"/>
        <d v="2016-01-13T14:07:00Z"/>
        <d v="2016-01-13T15:28:00Z"/>
        <d v="2016-01-14T17:05:00Z"/>
        <d v="2016-01-14T21:45:00Z"/>
        <d v="2016-01-15T01:01:00Z"/>
        <d v="2016-01-15T12:03:00Z"/>
        <d v="2016-01-15T13:44:00Z"/>
        <d v="2016-01-18T15:06:00Z"/>
        <d v="2016-01-18T16:24:00Z"/>
        <d v="2016-01-19T09:23:00Z"/>
        <d v="2016-01-19T11:09:00Z"/>
        <d v="2016-01-20T11:11:00Z"/>
        <d v="2016-01-20T12:19:00Z"/>
        <d v="2016-01-20T14:19:00Z"/>
        <d v="2016-01-21T14:29:00Z"/>
        <d v="2016-01-21T14:51:00Z"/>
        <d v="2016-01-21T16:06:00Z"/>
        <d v="2016-01-26T10:50:00Z"/>
        <d v="2016-01-26T12:41:00Z"/>
        <d v="2016-01-26T16:32:00Z"/>
        <d v="2016-01-26T17:22:00Z"/>
        <d v="2016-01-26T17:29:00Z"/>
        <d v="2016-01-27T09:31:00Z"/>
        <d v="2016-01-27T10:48:00Z"/>
        <d v="2016-01-27T12:44:00Z"/>
        <d v="2016-01-27T14:13:00Z"/>
        <d v="2016-01-27T15:08:00Z"/>
        <d v="2016-01-28T13:00:00Z"/>
        <d v="2016-01-28T15:31:00Z"/>
        <d v="2016-01-28T16:51:00Z"/>
        <d v="2016-01-29T09:45:00Z"/>
        <d v="2016-01-29T11:07:00Z"/>
        <d v="2016-01-29T12:03:00Z"/>
        <d v="2016-01-29T13:47:00Z"/>
        <d v="2016-01-29T18:52:00Z"/>
        <d v="2016-01-29T21:40:00Z"/>
        <d v="2016-01-30T16:33:00Z"/>
        <d v="2016-01-30T18:24:00Z"/>
        <d v="2016-02-01T11:15:00Z"/>
        <d v="2016-02-01T12:43:00Z"/>
        <d v="2016-02-01T13:07:00Z"/>
        <d v="2016-02-02T13:23:00Z"/>
        <d v="2016-02-02T14:06:00Z"/>
        <d v="2016-02-02T14:42:00Z"/>
        <d v="2016-02-04T09:01:00Z"/>
        <d v="2016-02-04T10:09:00Z"/>
        <d v="2016-02-04T10:32:00Z"/>
        <d v="2016-02-04T16:03:00Z"/>
        <d v="2016-02-04T16:39:00Z"/>
        <d v="2016-02-04T18:31:00Z"/>
        <d v="2016-02-04T20:55:00Z"/>
        <d v="2016-02-05T12:07:00Z"/>
        <d v="2016-02-05T13:41:00Z"/>
        <d v="2016-02-06T16:53:00Z"/>
        <d v="2016-02-06T19:21:00Z"/>
        <d v="2016-02-06T19:37:00Z"/>
        <d v="2016-02-07T17:01:00Z"/>
        <d v="2016-02-07T18:17:00Z"/>
        <d v="2016-02-07T18:53:00Z"/>
        <d v="2016-02-07T20:40:00Z"/>
        <d v="2016-02-08T13:08:00Z"/>
        <d v="2016-02-08T14:10:00Z"/>
        <d v="2016-02-09T11:07:00Z"/>
        <d v="2016-02-09T11:50:00Z"/>
        <d v="2016-02-09T13:52:00Z"/>
        <d v="2016-02-09T14:02:00Z"/>
        <d v="2016-02-09T19:11:00Z"/>
        <d v="2016-02-09T20:40:00Z"/>
        <d v="2016-02-11T17:10:00Z"/>
        <d v="2016-02-11T18:10:00Z"/>
        <d v="2016-02-11T18:46:00Z"/>
        <d v="2016-02-11T20:51:00Z"/>
        <d v="2016-02-12T08:42:00Z"/>
        <d v="2016-02-12T10:52:00Z"/>
        <d v="2016-02-12T11:35:00Z"/>
        <d v="2016-02-12T13:36:00Z"/>
        <d v="2016-02-12T15:06:00Z"/>
        <d v="2016-02-12T16:06:00Z"/>
        <d v="2016-02-13T14:41:00Z"/>
        <d v="2016-02-14T00:01:00Z"/>
        <d v="2016-02-14T01:00:00Z"/>
        <d v="2016-02-14T14:40:00Z"/>
        <d v="2016-02-14T15:03:00Z"/>
        <d v="2016-02-14T17:02:00Z"/>
        <d v="2016-02-14T17:29:00Z"/>
        <d v="2016-02-16T04:13:00Z"/>
        <d v="2016-02-16T09:34:00Z"/>
        <d v="2016-02-16T10:41:00Z"/>
        <d v="2016-02-16T12:02:00Z"/>
        <d v="2016-02-16T12:42:00Z"/>
        <d v="2016-02-16T13:55:00Z"/>
        <d v="2016-02-16T17:10:00Z"/>
        <d v="2016-02-16T17:26:00Z"/>
        <d v="2016-02-16T17:44:00Z"/>
        <d v="2016-02-17T14:04:00Z"/>
        <d v="2016-02-17T15:22:00Z"/>
        <d v="2016-02-17T16:17:00Z"/>
        <d v="2016-02-17T16:43:00Z"/>
        <d v="2016-02-18T08:27:00Z"/>
        <d v="2016-02-18T14:45:00Z"/>
        <d v="2016-02-18T15:31:00Z"/>
        <d v="2016-02-18T18:58:00Z"/>
        <d v="2016-02-18T20:08:00Z"/>
        <d v="2016-02-19T09:14:00Z"/>
        <d v="2016-02-19T09:51:00Z"/>
        <d v="2016-02-19T10:48:00Z"/>
        <d v="2016-02-19T11:26:00Z"/>
        <d v="2016-02-19T11:50:00Z"/>
        <d v="2016-02-19T12:27:00Z"/>
        <d v="2016-02-19T16:45:00Z"/>
        <d v="2016-02-19T17:20:00Z"/>
        <d v="2016-02-19T20:30:00Z"/>
        <d v="2016-02-19T20:51:00Z"/>
        <d v="2016-02-20T08:32:00Z"/>
        <d v="2016-02-20T10:56:00Z"/>
        <d v="2016-02-20T11:53:00Z"/>
        <d v="2016-02-20T13:17:00Z"/>
        <d v="2016-02-20T15:54:00Z"/>
        <d v="2016-02-20T17:54:00Z"/>
        <d v="2016-02-20T18:03:00Z"/>
        <d v="2016-02-20T19:49:00Z"/>
        <d v="2016-02-21T09:46:00Z"/>
        <d v="2016-02-21T11:43:00Z"/>
        <d v="2016-02-21T12:01:00Z"/>
        <d v="2016-02-21T12:35:00Z"/>
        <d v="2016-02-21T13:12:00Z"/>
        <d v="2016-02-21T14:30:00Z"/>
        <d v="2016-02-21T15:03:00Z"/>
        <d v="2016-02-21T15:31:00Z"/>
        <d v="2016-02-21T15:41:00Z"/>
        <d v="2016-02-21T16:32:00Z"/>
        <d v="2016-02-21T23:52:00Z"/>
        <d v="2016-02-22T22:09:00Z"/>
        <d v="2016-02-24T14:35:00Z"/>
        <d v="2016-02-24T15:25:00Z"/>
        <d v="2016-02-25T16:35:00Z"/>
        <d v="2016-02-25T17:02:00Z"/>
        <d v="2016-02-25T17:36:00Z"/>
        <d v="2016-02-25T18:39:00Z"/>
        <d v="2016-02-26T09:29:00Z"/>
        <d v="2016-02-26T11:11:00Z"/>
        <d v="2016-02-26T11:59:00Z"/>
        <d v="2016-02-26T13:24:00Z"/>
        <d v="2016-02-26T14:46:00Z"/>
        <d v="2016-02-26T15:18:00Z"/>
        <d v="2016-02-26T17:12:00Z"/>
        <d v="2016-02-28T05:38:00Z"/>
        <d v="2016-02-28T09:42:00Z"/>
        <d v="2016-02-29T11:14:00Z"/>
        <d v="2016-02-29T11:40:00Z"/>
        <d v="2016-02-29T12:48:00Z"/>
        <d v="2016-02-29T15:03:00Z"/>
        <d v="2016-02-29T17:00:00Z"/>
        <d v="2016-03-01T19:10:00Z"/>
        <d v="2016-03-01T21:45:00Z"/>
        <d v="2016-03-03T09:52:00Z"/>
        <d v="2016-03-03T11:10:00Z"/>
        <d v="2016-03-03T14:58:00Z"/>
        <d v="2016-03-03T15:48:00Z"/>
        <d v="2016-03-03T16:42:00Z"/>
        <d v="2016-03-04T08:06:00Z"/>
        <d v="2016-03-04T10:03:00Z"/>
        <d v="2016-03-04T12:06:00Z"/>
        <d v="2016-03-04T13:25:00Z"/>
        <d v="2016-03-04T14:09:00Z"/>
        <d v="2016-03-04T16:08:00Z"/>
        <d v="2016-03-04T16:22:00Z"/>
        <d v="2016-03-04T17:12:00Z"/>
        <d v="2016-03-04T19:08:00Z"/>
        <d v="2016-03-04T19:25:00Z"/>
        <d v="2016-03-05T11:59:00Z"/>
        <d v="2016-03-05T13:12:00Z"/>
        <d v="2016-03-05T14:18:00Z"/>
        <d v="2016-03-05T15:01:00Z"/>
        <d v="2016-03-05T17:13:00Z"/>
        <d v="2016-03-05T17:34:00Z"/>
        <d v="2016-03-07T09:20:00Z"/>
        <d v="2016-03-07T09:47:00Z"/>
        <d v="2016-03-07T12:26:00Z"/>
        <d v="2016-03-07T14:18:00Z"/>
        <d v="2016-03-07T15:45:00Z"/>
        <d v="2016-03-08T14:55:00Z"/>
        <d v="2016-03-08T16:00:00Z"/>
        <d v="2016-03-08T16:25:00Z"/>
        <d v="2016-03-10T03:53:00Z"/>
        <d v="2016-03-10T10:37:00Z"/>
        <d v="2016-03-10T14:55:00Z"/>
        <d v="2016-03-10T16:28:00Z"/>
        <d v="2016-03-11T09:59:00Z"/>
        <d v="2016-03-11T10:36:00Z"/>
        <d v="2016-03-11T12:04:00Z"/>
        <d v="2016-03-11T13:51:00Z"/>
        <d v="2016-03-11T19:35:00Z"/>
        <d v="2016-03-12T09:22:00Z"/>
        <d v="2016-03-12T18:37:00Z"/>
        <d v="2016-03-13T09:37:00Z"/>
        <d v="2016-03-13T18:43:00Z"/>
        <d v="2016-03-13T20:28:00Z"/>
        <d v="2016-03-13T20:58:00Z"/>
        <d v="2016-03-13T21:23:00Z"/>
        <d v="2016-03-13T22:39:00Z"/>
        <d v="2016-03-14T08:49:00Z"/>
        <d v="2016-03-14T18:55:00Z"/>
        <d v="2016-03-15T08:57:00Z"/>
        <d v="2016-03-15T21:01:00Z"/>
        <d v="2016-03-16T11:45:00Z"/>
        <d v="2016-03-16T14:55:00Z"/>
        <d v="2016-03-16T18:56:00Z"/>
        <d v="2016-03-17T00:44:00Z"/>
        <d v="2016-03-17T15:11:00Z"/>
        <d v="2016-03-17T15:58:00Z"/>
        <d v="2016-03-17T18:02:00Z"/>
        <d v="2016-03-17T19:09:00Z"/>
        <d v="2016-03-17T21:28:00Z"/>
        <d v="2016-03-17T22:04:00Z"/>
        <d v="2016-03-18T07:21:00Z"/>
        <d v="2016-03-18T08:43:00Z"/>
        <d v="2016-03-18T19:08:00Z"/>
        <d v="2016-03-18T19:29:00Z"/>
        <d v="2016-03-18T21:15:00Z"/>
        <d v="2016-03-19T09:25:00Z"/>
        <d v="2016-03-19T13:13:00Z"/>
        <d v="2016-03-19T14:57:00Z"/>
        <d v="2016-03-19T16:38:00Z"/>
        <d v="2016-03-19T17:32:00Z"/>
        <d v="2016-03-19T17:47:00Z"/>
        <d v="2016-03-19T18:00:00Z"/>
        <d v="2016-03-19T19:29:00Z"/>
        <d v="2016-03-19T20:39:00Z"/>
        <d v="2016-03-20T07:48:00Z"/>
        <d v="2016-03-20T11:56:00Z"/>
        <d v="2016-03-20T17:34:00Z"/>
        <d v="2016-03-20T18:40:00Z"/>
        <d v="2016-03-20T19:06:00Z"/>
        <d v="2016-03-21T10:26:00Z"/>
        <d v="2016-03-21T16:13:00Z"/>
        <d v="2016-03-21T19:15:00Z"/>
        <d v="2016-03-21T20:55:00Z"/>
        <d v="2016-03-22T06:43:00Z"/>
        <d v="2016-03-22T12:24:00Z"/>
        <d v="2016-03-22T19:25:00Z"/>
        <d v="2016-03-23T14:42:00Z"/>
        <d v="2016-03-23T14:59:00Z"/>
        <d v="2016-03-24T19:54:00Z"/>
        <d v="2016-03-24T20:40:00Z"/>
        <d v="2016-03-25T16:22:00Z"/>
        <d v="2016-03-25T22:22:00Z"/>
        <d v="2016-03-26T01:39:00Z"/>
        <d v="2016-03-26T14:29:00Z"/>
        <d v="2016-03-26T15:49:00Z"/>
        <d v="2016-03-26T16:30:00Z"/>
        <d v="2016-03-27T00:40:00Z"/>
        <d v="2016-03-27T01:23:00Z"/>
        <d v="2016-03-27T15:56:00Z"/>
        <d v="2016-03-27T21:41:00Z"/>
        <d v="2016-03-27T23:18:00Z"/>
        <d v="2016-03-28T12:42:00Z"/>
        <d v="2016-03-28T20:23:00Z"/>
        <d v="2016-03-28T23:26:00Z"/>
        <d v="2016-03-29T16:11:00Z"/>
        <d v="2016-03-29T18:39:00Z"/>
        <d v="2016-03-29T20:44:00Z"/>
        <d v="2016-03-29T23:21:00Z"/>
        <d v="2016-03-30T22:55:00Z"/>
        <d v="2016-03-31T13:22:00Z"/>
        <d v="2016-03-31T15:09:00Z"/>
        <d v="2016-04-01T14:01:00Z"/>
        <d v="2016-04-01T15:24:00Z"/>
        <d v="2016-04-01T16:49:00Z"/>
        <d v="2016-04-01T16:57:00Z"/>
        <d v="2016-04-02T09:04:00Z"/>
        <d v="2016-04-02T11:16:00Z"/>
        <d v="2016-04-02T14:47:00Z"/>
        <d v="2016-04-02T18:09:00Z"/>
        <d v="2016-04-02T22:36:00Z"/>
        <d v="2016-04-03T01:34:00Z"/>
        <d v="2016-04-03T04:16:00Z"/>
        <d v="2016-04-05T21:55:00Z"/>
        <d v="2016-04-06T00:39:00Z"/>
        <d v="2016-04-07T18:39:00Z"/>
        <d v="2016-04-07T20:00:00Z"/>
        <d v="2016-04-08T12:48:00Z"/>
        <d v="2016-04-08T13:51:00Z"/>
        <d v="2016-04-08T14:03:00Z"/>
        <d v="2016-04-08T15:20:00Z"/>
        <d v="2016-04-08T16:47:00Z"/>
        <d v="2016-04-12T09:26:00Z"/>
        <d v="2016-04-12T09:53:00Z"/>
        <d v="2016-04-12T11:18:00Z"/>
        <d v="2016-04-12T12:44:00Z"/>
        <d v="2016-04-12T14:01:00Z"/>
        <d v="2016-04-14T08:09:00Z"/>
        <d v="2016-04-14T16:43:00Z"/>
        <d v="2016-04-15T12:07:00Z"/>
        <d v="2016-04-15T12:32:00Z"/>
        <d v="2016-04-15T15:01:00Z"/>
        <d v="2016-04-16T13:17:00Z"/>
        <d v="2016-04-16T15:26:00Z"/>
        <d v="2016-04-19T18:08:00Z"/>
        <d v="2016-04-19T20:19:00Z"/>
        <d v="2016-04-22T09:04:00Z"/>
        <d v="2016-04-22T10:40:00Z"/>
        <d v="2016-04-22T12:28:00Z"/>
        <d v="2016-04-22T13:26:00Z"/>
        <d v="2016-04-23T17:16:00Z"/>
        <d v="2016-04-23T19:05:00Z"/>
        <d v="2016-04-24T19:16:00Z"/>
        <d v="2016-04-24T19:52:00Z"/>
        <d v="2016-04-24T21:50:00Z"/>
        <d v="2016-04-27T13:40:00Z"/>
        <d v="2016-04-27T14:25:00Z"/>
        <d v="2016-04-28T12:34:00Z"/>
        <d v="2016-04-28T13:49:00Z"/>
        <d v="2016-04-28T22:28:00Z"/>
        <d v="2016-04-29T12:01:00Z"/>
        <d v="2016-04-29T13:34:00Z"/>
        <d v="2016-04-29T19:18:00Z"/>
        <d v="2016-04-29T23:19:00Z"/>
        <d v="2016-04-30T18:57:00Z"/>
        <d v="2016-04-30T22:34:00Z"/>
        <d v="2016-05-01T13:53:00Z"/>
        <d v="2016-05-01T14:31:00Z"/>
        <d v="2016-05-01T17:45:00Z"/>
        <d v="2016-05-01T18:10:00Z"/>
        <d v="2016-05-01T22:49:00Z"/>
        <d v="2016-05-02T14:21:00Z"/>
        <d v="2016-05-02T15:48:00Z"/>
        <d v="2016-05-03T22:28:00Z"/>
        <d v="2016-05-04T15:37:00Z"/>
        <d v="2016-05-04T21:14:00Z"/>
        <d v="2016-05-04T21:36:00Z"/>
        <d v="2016-05-04T22:27:00Z"/>
        <d v="2016-05-05T21:36:00Z"/>
        <d v="2016-05-05T22:40:00Z"/>
        <d v="2016-05-06T00:08:00Z"/>
        <d v="2016-05-06T06:02:00Z"/>
        <d v="2016-05-06T16:59:00Z"/>
        <d v="2016-05-06T17:44:00Z"/>
        <d v="2016-05-09T06:25:00Z"/>
        <d v="2016-05-09T15:06:00Z"/>
        <d v="2016-05-09T18:26:00Z"/>
        <d v="2016-05-09T19:59:00Z"/>
        <d v="2016-05-10T09:20:00Z"/>
        <d v="2016-05-10T17:31:00Z"/>
        <d v="2016-05-11T09:12:00Z"/>
        <d v="2016-05-11T22:04:00Z"/>
        <d v="2016-05-14T18:39:00Z"/>
        <d v="2016-05-14T23:05:00Z"/>
        <d v="2016-05-17T13:23:00Z"/>
        <d v="2016-05-17T14:08:00Z"/>
        <d v="2016-05-17T14:40:00Z"/>
        <d v="2016-05-18T09:41:00Z"/>
        <d v="2016-05-18T13:02:00Z"/>
        <d v="2016-05-19T15:01:00Z"/>
        <d v="2016-05-20T11:07:00Z"/>
        <d v="2016-05-20T16:12:00Z"/>
        <d v="2016-05-22T15:46:00Z"/>
        <d v="2016-05-22T18:53:00Z"/>
        <d v="2016-05-23T20:27:00Z"/>
        <d v="2016-05-23T21:21:00Z"/>
        <d v="2016-05-27T20:30:00Z"/>
        <d v="2016-05-27T20:53:00Z"/>
        <d v="2016-05-27T22:14:00Z"/>
        <d v="2016-05-28T00:21:00Z"/>
        <d v="2016-05-28T13:06:00Z"/>
        <d v="2016-05-28T15:04:00Z"/>
        <d v="2016-05-31T14:41:00Z"/>
        <d v="2016-05-31T16:39:00Z"/>
        <d v="2016-05-31T17:59:00Z"/>
        <d v="2016-06-01T10:47:00Z"/>
        <d v="2016-06-01T13:39:00Z"/>
        <d v="2016-06-03T11:49:00Z"/>
        <d v="2016-06-03T13:38:00Z"/>
        <d v="2016-06-03T15:54:00Z"/>
        <d v="2016-06-03T18:29:00Z"/>
        <d v="2016-06-03T18:53:00Z"/>
        <d v="2016-06-03T19:42:00Z"/>
        <d v="2016-06-03T23:06:00Z"/>
        <d v="2016-06-05T14:33:00Z"/>
        <d v="2016-06-05T15:22:00Z"/>
        <d v="2016-06-05T16:08:00Z"/>
        <d v="2016-06-05T18:14:00Z"/>
        <d v="2016-06-05T22:05:00Z"/>
        <d v="2016-06-06T00:08:00Z"/>
        <d v="2016-06-06T15:45:00Z"/>
        <d v="2016-06-06T16:24:00Z"/>
        <d v="2016-06-06T20:20:00Z"/>
        <d v="2016-06-06T21:37:00Z"/>
        <d v="2016-06-06T22:00:00Z"/>
        <d v="2016-06-06T23:48:00Z"/>
        <d v="2016-06-07T22:00:00Z"/>
        <d v="2016-06-08T00:04:00Z"/>
        <d v="2016-06-08T08:53:00Z"/>
        <d v="2016-06-08T13:01:00Z"/>
        <d v="2016-06-08T13:29:00Z"/>
        <d v="2016-06-08T14:37:00Z"/>
        <d v="2016-06-08T17:11:00Z"/>
        <d v="2016-06-08T17:18:00Z"/>
        <d v="2016-06-08T18:05:00Z"/>
        <d v="2016-06-08T20:25:00Z"/>
        <d v="2016-06-10T16:28:00Z"/>
        <d v="2016-06-10T22:04:00Z"/>
        <d v="2016-06-11T00:01:00Z"/>
        <d v="2016-06-11T17:16:00Z"/>
        <d v="2016-06-11T17:39:00Z"/>
        <d v="2016-06-11T17:56:00Z"/>
        <d v="2016-06-11T22:04:00Z"/>
        <d v="2016-06-12T00:05:00Z"/>
        <d v="2016-06-12T19:56:00Z"/>
        <d v="2016-06-12T20:16:00Z"/>
        <d v="2016-06-12T22:19:00Z"/>
        <d v="2016-06-13T05:42:00Z"/>
        <d v="2016-06-13T14:46:00Z"/>
        <d v="2016-06-13T18:47:00Z"/>
        <d v="2016-06-13T19:23:00Z"/>
        <d v="2016-06-13T20:05:00Z"/>
        <d v="2016-06-14T12:21:00Z"/>
        <d v="2016-06-14T16:39:00Z"/>
        <d v="2016-06-14T17:24:00Z"/>
        <d v="2016-06-14T17:57:00Z"/>
        <d v="2016-06-15T02:06:00Z"/>
        <d v="2016-06-15T15:34:00Z"/>
        <d v="2016-06-15T17:02:00Z"/>
        <d v="2016-06-15T17:49:00Z"/>
        <d v="2016-06-15T19:58:00Z"/>
        <d v="2016-06-16T14:30:00Z"/>
        <d v="2016-06-16T14:46:00Z"/>
        <d v="2016-06-16T15:41:00Z"/>
        <d v="2016-06-16T19:56:00Z"/>
        <d v="2016-06-16T21:56:00Z"/>
        <d v="2016-06-17T16:44:00Z"/>
        <d v="2016-06-18T00:51:00Z"/>
        <d v="2016-06-19T02:50:00Z"/>
        <d v="2016-06-19T06:00:00Z"/>
        <d v="2016-06-21T16:08:00Z"/>
        <d v="2016-06-21T18:02:00Z"/>
        <d v="2016-06-24T10:57:00Z"/>
        <d v="2016-06-24T12:01:00Z"/>
        <d v="2016-06-24T12:37:00Z"/>
        <d v="2016-06-24T13:12:00Z"/>
        <d v="2016-06-24T13:27:00Z"/>
        <d v="2016-06-24T14:20:00Z"/>
        <d v="2016-06-24T21:02:00Z"/>
        <d v="2016-06-25T09:12:00Z"/>
        <d v="2016-06-25T10:08:00Z"/>
        <d v="2016-06-25T10:25:00Z"/>
        <d v="2016-06-25T11:18:00Z"/>
        <d v="2016-06-25T11:34:00Z"/>
        <d v="2016-06-25T13:21:00Z"/>
        <d v="2016-06-25T19:58:00Z"/>
        <d v="2016-06-25T23:26:00Z"/>
        <d v="2016-06-26T18:18:00Z"/>
        <d v="2016-06-26T19:12:00Z"/>
        <d v="2016-06-26T19:50:00Z"/>
        <d v="2016-06-26T21:42:00Z"/>
        <d v="2016-06-27T08:48:00Z"/>
        <d v="2016-06-27T09:00:00Z"/>
        <d v="2016-06-27T09:33:00Z"/>
        <d v="2016-06-27T10:08:00Z"/>
        <d v="2016-06-27T10:39:00Z"/>
        <d v="2016-06-27T10:58:00Z"/>
        <d v="2016-06-27T11:24:00Z"/>
        <d v="2016-06-27T11:42:00Z"/>
        <d v="2016-06-27T13:02:00Z"/>
        <d v="2016-06-27T14:05:00Z"/>
        <d v="2016-06-27T21:19:00Z"/>
        <d v="2016-06-28T01:05:00Z"/>
        <d v="2016-06-28T20:33:00Z"/>
        <d v="2016-06-28T23:59:00Z"/>
        <d v="2016-06-29T09:24:00Z"/>
        <d v="2016-06-29T10:38:00Z"/>
        <d v="2016-06-29T11:51:00Z"/>
        <d v="2016-06-29T12:16:00Z"/>
        <d v="2016-06-29T20:29:00Z"/>
        <d v="2016-06-30T00:00:00Z"/>
        <d v="2016-06-30T20:26:00Z"/>
        <d v="2016-07-01T00:25:00Z"/>
        <d v="2016-07-01T09:57:00Z"/>
        <d v="2016-07-01T13:00:00Z"/>
        <d v="2016-07-01T20:24:00Z"/>
        <d v="2016-07-02T00:09:00Z"/>
        <d v="2016-07-02T20:36:00Z"/>
        <d v="2016-07-03T00:12:00Z"/>
        <d v="2016-07-03T00:38:00Z"/>
        <d v="2016-07-03T03:08:00Z"/>
        <d v="2016-07-03T20:18:00Z"/>
        <d v="2016-07-04T00:47:00Z"/>
        <d v="2016-07-04T17:49:00Z"/>
        <d v="2016-07-04T18:49:00Z"/>
        <d v="2016-07-04T20:17:00Z"/>
        <d v="2016-07-05T00:05:00Z"/>
        <d v="2016-07-05T00:28:00Z"/>
        <d v="2016-07-05T16:52:00Z"/>
        <d v="2016-07-05T20:26:00Z"/>
        <d v="2016-07-05T23:02:00Z"/>
        <d v="2016-07-06T00:53:00Z"/>
        <d v="2016-07-06T09:25:00Z"/>
        <d v="2016-07-06T13:08:00Z"/>
        <d v="2016-07-06T20:14:00Z"/>
        <d v="2016-07-06T23:59:00Z"/>
        <d v="2016-07-07T08:50:00Z"/>
        <d v="2016-07-07T10:33:00Z"/>
        <d v="2016-07-07T13:35:00Z"/>
        <d v="2016-07-08T10:13:00Z"/>
        <d v="2016-07-08T11:12:00Z"/>
        <d v="2016-07-08T14:11:00Z"/>
        <d v="2016-07-08T17:30:00Z"/>
        <d v="2016-07-09T09:46:00Z"/>
        <d v="2016-07-09T10:06:00Z"/>
        <d v="2016-07-09T10:33:00Z"/>
        <d v="2016-07-10T14:17:00Z"/>
        <d v="2016-07-10T16:15:00Z"/>
        <d v="2016-07-10T18:21:00Z"/>
        <d v="2016-07-10T20:08:00Z"/>
        <d v="2016-07-12T16:45:00Z"/>
        <d v="2016-07-12T19:26:00Z"/>
        <d v="2016-07-13T00:11:00Z"/>
        <d v="2016-07-13T13:20:00Z"/>
        <d v="2016-07-13T13:39:00Z"/>
        <d v="2016-07-13T13:54:00Z"/>
        <d v="2016-07-14T15:59:00Z"/>
        <d v="2016-07-14T16:34:00Z"/>
        <d v="2016-07-14T20:05:00Z"/>
        <d v="2016-07-15T11:53:00Z"/>
        <d v="2016-07-15T12:19:00Z"/>
        <d v="2016-07-15T13:15:00Z"/>
        <d v="2016-07-15T15:33:00Z"/>
        <d v="2016-07-15T15:52:00Z"/>
        <d v="2016-07-16T14:10:00Z"/>
        <d v="2016-07-16T14:30:00Z"/>
        <d v="2016-07-16T16:57:00Z"/>
        <d v="2016-07-16T20:35:00Z"/>
        <d v="2016-07-16T22:18:00Z"/>
        <d v="2016-07-16T23:03:00Z"/>
        <d v="2016-07-17T11:50:00Z"/>
        <d v="2016-07-17T15:25:00Z"/>
        <d v="2016-07-18T10:49:00Z"/>
        <d v="2016-07-18T11:15:00Z"/>
        <d v="2016-07-18T11:36:00Z"/>
        <d v="2016-07-18T11:56:00Z"/>
        <d v="2016-07-18T17:33:00Z"/>
        <d v="2016-07-18T18:47:00Z"/>
        <d v="2016-07-18T19:14:00Z"/>
        <d v="2016-07-18T20:32:00Z"/>
        <d v="2016-07-18T21:19:00Z"/>
        <d v="2016-07-19T10:51:00Z"/>
        <d v="2016-07-19T11:11:00Z"/>
        <d v="2016-07-19T12:00:00Z"/>
        <d v="2016-07-19T17:24:00Z"/>
        <d v="2016-07-19T18:08:00Z"/>
        <d v="2016-07-20T17:24:00Z"/>
        <d v="2016-07-20T17:57:00Z"/>
        <d v="2016-07-20T18:20:00Z"/>
        <d v="2016-07-21T17:23:00Z"/>
        <d v="2016-07-21T17:51:00Z"/>
        <d v="2016-07-21T18:42:00Z"/>
        <d v="2016-07-21T19:39:00Z"/>
        <d v="2016-07-22T10:53:00Z"/>
        <d v="2016-07-22T11:25:00Z"/>
        <d v="2016-07-22T12:00:00Z"/>
        <d v="2016-07-22T12:31:00Z"/>
        <d v="2016-07-22T13:42:00Z"/>
        <d v="2016-07-22T14:43:00Z"/>
        <d v="2016-07-22T16:22:00Z"/>
        <d v="2016-07-22T18:51:00Z"/>
        <d v="2016-07-23T14:44:00Z"/>
        <d v="2016-07-23T15:12:00Z"/>
        <d v="2016-07-23T15:27:00Z"/>
        <d v="2016-07-23T16:10:00Z"/>
        <d v="2016-07-23T20:33:00Z"/>
        <d v="2016-07-23T23:43:00Z"/>
        <d v="2016-07-25T10:41:00Z"/>
        <d v="2016-07-25T10:58:00Z"/>
        <d v="2016-07-25T11:33:00Z"/>
        <d v="2016-07-25T11:44:00Z"/>
        <d v="2016-07-26T15:49:00Z"/>
        <d v="2016-07-26T17:24:00Z"/>
        <d v="2016-07-26T21:00:00Z"/>
        <d v="2016-07-26T22:39:00Z"/>
        <d v="2016-07-27T19:20:00Z"/>
        <d v="2016-07-27T21:57:00Z"/>
        <d v="2016-07-27T22:26:00Z"/>
        <d v="2016-07-28T00:09:00Z"/>
        <d v="2016-07-29T15:47:00Z"/>
        <d v="2016-07-29T17:45:00Z"/>
        <d v="2016-07-30T17:27:00Z"/>
        <d v="2016-07-30T21:41:00Z"/>
        <d v="2016-07-31T17:37:00Z"/>
        <d v="2016-08-01T13:04:00Z"/>
        <d v="2016-08-01T13:19:00Z"/>
        <d v="2016-08-01T13:46:00Z"/>
        <d v="2016-08-01T14:14:00Z"/>
        <d v="2016-08-01T15:47:00Z"/>
        <d v="2016-08-01T16:25:00Z"/>
        <d v="2016-08-01T16:59:00Z"/>
        <d v="2016-08-01T17:55:00Z"/>
        <d v="2016-08-02T08:32:00Z"/>
        <d v="2016-08-02T12:15:00Z"/>
        <d v="2016-08-02T19:23:00Z"/>
        <d v="2016-08-02T21:29:00Z"/>
        <d v="2016-08-03T13:00:00Z"/>
        <d v="2016-08-03T15:03:00Z"/>
        <d v="2016-08-03T16:04:00Z"/>
        <d v="2016-08-05T17:30:00Z"/>
        <d v="2016-08-05T18:21:00Z"/>
        <d v="2016-08-05T19:27:00Z"/>
        <d v="2016-08-06T06:58:00Z"/>
        <d v="2016-08-06T09:53:00Z"/>
        <d v="2016-08-07T17:23:00Z"/>
        <d v="2016-08-07T17:43:00Z"/>
        <d v="2016-08-07T18:23:00Z"/>
        <d v="2016-08-07T20:23:00Z"/>
        <d v="2016-08-08T16:31:00Z"/>
        <d v="2016-08-08T16:50:00Z"/>
        <d v="2016-08-08T17:13:00Z"/>
        <d v="2016-08-08T22:15:00Z"/>
        <d v="2016-08-08T23:37:00Z"/>
        <d v="2016-08-09T14:38:00Z"/>
        <d v="2016-08-09T15:36:00Z"/>
        <d v="2016-08-09T16:37:00Z"/>
        <d v="2016-08-10T17:24:00Z"/>
        <d v="2016-08-10T18:28:00Z"/>
        <d v="2016-08-10T18:50:00Z"/>
        <d v="2016-08-10T20:02:00Z"/>
        <d v="2016-08-11T13:00:00Z"/>
        <d v="2016-08-11T13:28:00Z"/>
        <d v="2016-08-11T13:42:00Z"/>
        <d v="2016-08-11T19:29:00Z"/>
        <d v="2016-08-11T21:44:00Z"/>
        <d v="2016-08-12T18:52:00Z"/>
        <d v="2016-08-12T19:05:00Z"/>
        <d v="2016-08-13T15:58:00Z"/>
        <d v="2016-08-15T09:52:00Z"/>
        <d v="2016-08-15T15:47:00Z"/>
        <d v="2016-08-15T17:30:00Z"/>
        <d v="2016-08-15T20:30:00Z"/>
        <d v="2016-08-16T08:11:00Z"/>
        <d v="2016-08-16T08:23:00Z"/>
        <d v="2016-08-16T08:53:00Z"/>
        <d v="2016-08-16T10:27:00Z"/>
        <d v="2016-08-16T10:38:00Z"/>
        <d v="2016-08-16T12:03:00Z"/>
        <d v="2016-08-16T15:36:00Z"/>
        <d v="2016-08-17T10:41:00Z"/>
        <d v="2016-08-17T11:20:00Z"/>
        <d v="2016-08-17T14:50:00Z"/>
        <d v="2016-08-17T15:47:00Z"/>
        <d v="2016-08-17T16:50:00Z"/>
        <d v="2016-08-17T17:00:00Z"/>
        <d v="2016-08-17T17:34:00Z"/>
        <d v="2016-08-17T18:57:00Z"/>
        <d v="2016-08-18T19:07:00Z"/>
        <d v="2016-08-19T08:45:00Z"/>
        <d v="2016-08-19T09:07:00Z"/>
        <d v="2016-08-19T09:47:00Z"/>
        <d v="2016-08-19T11:06:00Z"/>
        <d v="2016-08-19T12:24:00Z"/>
        <d v="2016-08-19T16:06:00Z"/>
        <d v="2016-08-19T17:52:00Z"/>
        <d v="2016-08-21T10:29:00Z"/>
        <d v="2016-08-21T14:34:00Z"/>
        <d v="2016-08-21T17:02:00Z"/>
        <d v="2016-08-21T18:17:00Z"/>
        <d v="2016-08-21T19:24:00Z"/>
        <d v="2016-08-22T10:44:00Z"/>
        <d v="2016-08-22T11:23:00Z"/>
        <d v="2016-08-22T12:49:00Z"/>
        <d v="2016-08-22T13:11:00Z"/>
        <d v="2016-08-22T14:31:00Z"/>
        <d v="2016-08-22T15:49:00Z"/>
        <d v="2016-08-22T17:16:00Z"/>
        <d v="2016-08-22T20:50:00Z"/>
        <d v="2016-08-22T21:31:00Z"/>
        <d v="2016-08-22T23:00:00Z"/>
        <d v="2016-08-23T08:25:00Z"/>
        <d v="2016-08-23T10:09:00Z"/>
        <d v="2016-08-23T13:15:00Z"/>
        <d v="2016-08-23T13:30:00Z"/>
        <d v="2016-08-23T14:04:00Z"/>
        <d v="2016-08-23T15:12:00Z"/>
        <d v="2016-08-23T17:16:00Z"/>
        <d v="2016-08-23T18:31:00Z"/>
        <d v="2016-08-24T12:56:00Z"/>
        <d v="2016-08-24T15:25:00Z"/>
        <d v="2016-08-25T16:22:00Z"/>
        <d v="2016-08-25T16:56:00Z"/>
        <d v="2016-08-25T19:20:00Z"/>
        <d v="2016-08-25T19:57:00Z"/>
        <d v="2016-08-25T23:16:00Z"/>
        <d v="2016-08-26T09:20:00Z"/>
        <d v="2016-08-26T11:26:00Z"/>
        <d v="2016-08-26T12:20:00Z"/>
        <d v="2016-08-26T14:33:00Z"/>
        <d v="2016-08-26T15:35:00Z"/>
        <d v="2016-08-26T16:24:00Z"/>
        <d v="2016-08-26T17:12:00Z"/>
        <d v="2016-08-26T18:56:00Z"/>
        <d v="2016-08-26T19:54:00Z"/>
        <d v="2016-08-26T20:16:00Z"/>
        <d v="2016-08-27T10:11:00Z"/>
        <d v="2016-08-27T12:06:00Z"/>
        <d v="2016-08-27T12:17:00Z"/>
        <d v="2016-08-27T15:44:00Z"/>
        <d v="2016-08-27T19:13:00Z"/>
        <d v="2016-08-28T10:18:00Z"/>
        <d v="2016-08-28T16:55:00Z"/>
        <d v="2016-08-28T17:55:00Z"/>
        <d v="2016-08-28T21:59:00Z"/>
        <d v="2016-08-29T12:31:00Z"/>
        <d v="2016-08-29T13:48:00Z"/>
        <d v="2016-08-29T14:41:00Z"/>
        <d v="2016-08-29T15:04:00Z"/>
        <d v="2016-08-29T15:59:00Z"/>
        <d v="2016-08-29T16:21:00Z"/>
        <d v="2016-08-29T17:41:00Z"/>
        <d v="2016-08-29T18:36:00Z"/>
        <d v="2016-08-30T12:05:00Z"/>
        <d v="2016-08-30T13:09:00Z"/>
        <d v="2016-08-30T13:46:00Z"/>
        <d v="2016-08-30T14:20:00Z"/>
        <d v="2016-08-30T18:09:00Z"/>
        <d v="2016-09-01T12:24:00Z"/>
        <d v="2016-09-01T17:36:00Z"/>
        <d v="2016-09-01T19:08:00Z"/>
        <d v="2016-09-02T12:24:00Z"/>
        <d v="2016-09-02T19:37:00Z"/>
        <d v="2016-09-05T10:44:00Z"/>
        <d v="2016-09-10T10:45:00Z"/>
        <d v="2016-09-11T09:55:00Z"/>
        <d v="2016-09-11T21:42:00Z"/>
        <d v="2016-09-12T08:12:00Z"/>
        <d v="2016-09-12T11:24:00Z"/>
        <d v="2016-09-12T13:44:00Z"/>
        <d v="2016-09-13T17:02:00Z"/>
        <d v="2016-09-14T11:59:00Z"/>
        <d v="2016-09-15T20:38:00Z"/>
        <d v="2016-09-18T18:11:00Z"/>
        <d v="2016-09-19T06:49:00Z"/>
        <d v="2016-09-19T14:56:00Z"/>
        <d v="2016-09-19T16:31:00Z"/>
        <d v="2016-09-19T18:20:00Z"/>
        <d v="2016-09-19T19:49:00Z"/>
        <d v="2016-09-20T11:48:00Z"/>
        <d v="2016-09-20T22:47:00Z"/>
        <d v="2016-09-23T13:40:00Z"/>
        <d v="2016-09-24T15:15:00Z"/>
        <d v="2016-09-24T20:33:00Z"/>
        <d v="2016-09-27T08:35:00Z"/>
        <d v="2016-09-27T14:43:00Z"/>
        <d v="2016-09-27T20:34:00Z"/>
        <d v="2016-09-28T02:37:00Z"/>
        <d v="2016-09-28T19:36:00Z"/>
        <d v="2016-09-29T18:47:00Z"/>
        <d v="2016-09-30T20:20:00Z"/>
        <d v="2016-09-30T22:34:00Z"/>
        <d v="2016-10-03T17:12:00Z"/>
        <d v="2016-10-03T18:34:00Z"/>
        <d v="2016-10-03T19:01:00Z"/>
        <d v="2016-10-03T22:33:00Z"/>
        <d v="2016-10-04T10:52:00Z"/>
        <d v="2016-10-04T12:18:00Z"/>
        <d v="2016-10-06T11:36:00Z"/>
        <d v="2016-10-06T17:40:00Z"/>
        <d v="2016-10-06T18:39:00Z"/>
        <d v="2016-10-06T20:26:00Z"/>
        <d v="2016-10-07T10:59:00Z"/>
        <d v="2016-10-07T11:50:00Z"/>
        <d v="2016-10-07T14:08:00Z"/>
        <d v="2016-10-07T15:11:00Z"/>
        <d v="2016-10-07T16:02:00Z"/>
        <d v="2016-10-07T18:27:00Z"/>
        <d v="2016-10-07T19:01:00Z"/>
        <d v="2016-10-08T18:18:00Z"/>
        <d v="2016-10-09T14:23:00Z"/>
        <d v="2016-10-10T17:28:00Z"/>
        <d v="2016-10-10T18:13:00Z"/>
        <d v="2016-10-11T02:08:00Z"/>
        <d v="2016-10-12T19:21:00Z"/>
        <d v="2016-10-13T11:58:00Z"/>
        <d v="2016-10-13T12:14:00Z"/>
        <d v="2016-10-13T13:46:00Z"/>
        <d v="2016-10-13T16:53:00Z"/>
        <d v="2016-10-14T09:44:00Z"/>
        <d v="2016-10-14T10:52:00Z"/>
        <d v="2016-10-14T16:20:00Z"/>
        <d v="2016-10-15T02:06:00Z"/>
        <d v="2016-10-15T22:48:00Z"/>
        <d v="2016-10-16T00:14:00Z"/>
        <d v="2016-10-16T13:11:00Z"/>
        <d v="2016-10-16T15:01:00Z"/>
        <d v="2016-10-16T15:19:00Z"/>
        <d v="2016-10-16T19:33:00Z"/>
        <d v="2016-10-16T20:39:00Z"/>
        <d v="2016-10-16T21:41:00Z"/>
        <d v="2016-10-17T15:57:00Z"/>
        <d v="2016-10-17T17:11:00Z"/>
        <d v="2016-10-17T18:16:00Z"/>
        <d v="2016-10-17T18:45:00Z"/>
        <d v="2016-10-17T19:25:00Z"/>
        <d v="2016-10-18T08:22:00Z"/>
        <d v="2016-10-18T09:02:00Z"/>
        <d v="2016-10-18T11:09:00Z"/>
        <d v="2016-10-18T18:33:00Z"/>
        <d v="2016-10-18T19:13:00Z"/>
        <d v="2016-10-18T20:37:00Z"/>
        <d v="2016-10-19T09:47:00Z"/>
        <d v="2016-10-19T10:21:00Z"/>
        <d v="2016-10-19T13:56:00Z"/>
        <d v="2016-10-19T14:31:00Z"/>
        <d v="2016-10-19T16:02:00Z"/>
        <d v="2016-10-19T16:19:00Z"/>
        <d v="2016-10-19T17:01:00Z"/>
        <d v="2016-10-20T11:34:00Z"/>
        <d v="2016-10-20T13:17:00Z"/>
        <d v="2016-10-20T21:37:00Z"/>
        <d v="2016-10-21T10:21:00Z"/>
        <d v="2016-10-22T01:09:00Z"/>
        <d v="2016-10-22T14:03:00Z"/>
        <d v="2016-10-22T17:55:00Z"/>
        <d v="2016-10-23T10:05:00Z"/>
        <d v="2016-10-23T12:59:00Z"/>
        <d v="2016-10-23T19:14:00Z"/>
        <d v="2016-10-23T21:25:00Z"/>
        <d v="2016-10-24T15:26:00Z"/>
        <d v="2016-10-24T16:13:00Z"/>
        <d v="2016-10-24T16:41:00Z"/>
        <d v="2016-10-25T14:08:00Z"/>
        <d v="2016-10-25T15:11:00Z"/>
        <d v="2016-10-25T15:33:00Z"/>
        <d v="2016-10-25T20:11:00Z"/>
        <d v="2016-10-25T21:03:00Z"/>
        <d v="2016-10-25T22:45:00Z"/>
        <d v="2016-10-26T19:31:00Z"/>
        <d v="2016-10-26T21:03:00Z"/>
        <d v="2016-10-27T19:16:00Z"/>
        <d v="2016-10-27T19:35:00Z"/>
        <d v="2016-10-27T20:21:00Z"/>
        <d v="2016-10-27T20:54:00Z"/>
        <d v="2016-10-27T21:48:00Z"/>
        <d v="2016-10-28T11:52:00Z"/>
        <d v="2016-10-28T13:36:00Z"/>
        <d v="2016-10-28T17:59:00Z"/>
        <d v="2016-10-28T20:07:00Z"/>
        <d v="2016-10-28T22:00:00Z"/>
        <d v="2016-10-29T17:05:00Z"/>
        <d v="2016-10-29T19:19:00Z"/>
        <d v="2016-10-30T08:30:00Z"/>
        <d v="2016-10-30T10:09:00Z"/>
        <d v="2016-10-30T10:38:00Z"/>
        <d v="2016-10-30T11:21:00Z"/>
        <d v="2016-10-30T12:35:00Z"/>
        <d v="2016-10-30T13:18:00Z"/>
        <d v="2016-10-30T14:37:00Z"/>
        <d v="2016-10-30T18:23:00Z"/>
        <d v="2016-10-30T19:39:00Z"/>
        <d v="2016-10-31T18:20:00Z"/>
        <d v="2016-10-31T19:16:00Z"/>
        <d v="2016-10-31T20:44:00Z"/>
        <d v="2016-10-31T22:10:00Z"/>
        <d v="2016-11-01T12:27:00Z"/>
        <d v="2016-11-01T17:02:00Z"/>
        <d v="2016-11-01T17:42:00Z"/>
        <d v="2016-11-01T19:20:00Z"/>
        <d v="2016-11-01T20:12:00Z"/>
        <d v="2016-11-01T20:55:00Z"/>
        <d v="2016-11-02T15:18:00Z"/>
        <d v="2016-11-02T15:52:00Z"/>
        <d v="2016-11-02T17:11:00Z"/>
        <d v="2016-11-02T17:49:00Z"/>
        <d v="2016-11-02T18:00:00Z"/>
        <d v="2016-11-03T11:34:00Z"/>
        <d v="2016-11-03T12:49:00Z"/>
        <d v="2016-11-03T13:47:00Z"/>
        <d v="2016-11-03T14:26:00Z"/>
        <d v="2016-11-03T19:08:00Z"/>
        <d v="2016-11-03T22:58:00Z"/>
        <d v="2016-11-04T10:18:00Z"/>
        <d v="2016-11-04T18:21:00Z"/>
        <d v="2016-11-04T21:20:00Z"/>
        <d v="2016-11-04T22:25:00Z"/>
        <d v="2016-11-05T08:43:00Z"/>
        <d v="2016-11-05T17:40:00Z"/>
        <d v="2016-11-05T19:28:00Z"/>
        <d v="2016-11-06T11:04:00Z"/>
        <d v="2016-11-06T16:22:00Z"/>
        <d v="2016-11-06T17:28:00Z"/>
        <d v="2016-11-06T19:12:00Z"/>
        <d v="2016-11-06T20:21:00Z"/>
        <d v="2016-11-07T12:57:00Z"/>
        <d v="2016-11-07T19:57:00Z"/>
        <d v="2016-11-08T10:57:00Z"/>
        <d v="2016-11-08T12:49:00Z"/>
        <d v="2016-11-08T14:01:00Z"/>
        <d v="2016-11-08T16:34:00Z"/>
        <d v="2016-11-09T13:41:00Z"/>
        <d v="2016-11-09T16:04:00Z"/>
        <d v="2016-11-09T18:03:00Z"/>
        <d v="2016-11-09T18:14:00Z"/>
        <d v="2016-11-09T18:35:00Z"/>
        <d v="2016-11-09T19:17:00Z"/>
        <d v="2016-11-09T21:02:00Z"/>
        <d v="2016-11-09T22:02:00Z"/>
        <d v="2016-11-10T10:15:00Z"/>
        <d v="2016-11-10T10:31:00Z"/>
        <d v="2016-11-10T15:07:00Z"/>
        <d v="2016-11-10T15:22:00Z"/>
        <d v="2016-11-10T15:53:00Z"/>
        <d v="2016-11-10T19:21:00Z"/>
        <d v="2016-11-11T10:23:00Z"/>
        <d v="2016-11-11T13:13:00Z"/>
        <d v="2016-11-11T14:32:00Z"/>
        <d v="2016-11-11T15:46:00Z"/>
        <d v="2016-11-11T18:43:00Z"/>
        <d v="2016-11-11T21:18:00Z"/>
        <d v="2016-11-12T10:52:00Z"/>
        <d v="2016-11-12T11:25:00Z"/>
        <d v="2016-11-12T13:15:00Z"/>
        <d v="2016-11-12T13:50:00Z"/>
        <d v="2016-11-12T14:53:00Z"/>
        <d v="2016-11-12T15:21:00Z"/>
        <d v="2016-11-12T15:36:00Z"/>
        <d v="2016-11-12T15:59:00Z"/>
        <d v="2016-11-13T09:02:00Z"/>
        <d v="2016-11-13T09:53:00Z"/>
        <d v="2016-11-13T10:37:00Z"/>
        <d v="2016-11-13T11:16:00Z"/>
        <d v="2016-11-13T12:51:00Z"/>
        <d v="2016-11-13T13:11:00Z"/>
        <d v="2016-11-13T13:18:00Z"/>
        <d v="2016-11-13T14:46:00Z"/>
        <d v="2016-11-13T15:24:00Z"/>
        <d v="2016-11-13T15:59:00Z"/>
        <d v="2016-11-14T12:13:00Z"/>
        <d v="2016-11-14T14:33:00Z"/>
        <d v="2016-11-14T15:36:00Z"/>
        <d v="2016-11-14T20:30:00Z"/>
        <d v="2016-11-15T14:06:00Z"/>
        <d v="2016-11-15T14:26:00Z"/>
        <d v="2016-11-15T21:00:00Z"/>
        <d v="2016-11-16T20:27:00Z"/>
        <d v="2016-11-16T23:02:00Z"/>
        <d v="2016-11-17T10:44:00Z"/>
        <d v="2016-11-18T20:19:00Z"/>
        <d v="2016-11-18T21:34:00Z"/>
        <d v="2016-11-18T22:21:00Z"/>
        <d v="2016-11-19T14:10:00Z"/>
        <d v="2016-11-19T14:51:00Z"/>
        <d v="2016-11-19T16:06:00Z"/>
        <d v="2016-11-19T16:41:00Z"/>
        <d v="2016-11-19T17:54:00Z"/>
        <d v="2016-11-19T21:35:00Z"/>
        <d v="2016-11-20T11:32:00Z"/>
        <d v="2016-11-20T12:28:00Z"/>
        <d v="2016-11-20T15:07:00Z"/>
        <d v="2016-11-20T18:37:00Z"/>
        <d v="2016-11-21T13:49:00Z"/>
        <d v="2016-11-21T14:44:00Z"/>
        <d v="2016-11-21T18:04:00Z"/>
        <d v="2016-11-21T18:27:00Z"/>
        <d v="2016-11-21T18:51:00Z"/>
        <d v="2016-11-22T15:27:00Z"/>
        <d v="2016-11-22T15:44:00Z"/>
        <d v="2016-11-22T16:43:00Z"/>
        <d v="2016-11-22T18:28:00Z"/>
        <d v="2016-11-22T21:14:00Z"/>
        <d v="2016-11-23T15:50:00Z"/>
        <d v="2016-11-23T16:29:00Z"/>
        <d v="2016-11-23T17:00:00Z"/>
        <d v="2016-11-23T18:47:00Z"/>
        <d v="2016-11-25T12:04:00Z"/>
        <d v="2016-11-25T13:31:00Z"/>
        <d v="2016-11-26T15:59:00Z"/>
        <d v="2016-11-26T17:12:00Z"/>
        <d v="2016-11-26T17:56:00Z"/>
        <d v="2016-11-26T19:04:00Z"/>
        <d v="2016-11-26T19:54:00Z"/>
        <d v="2016-11-27T16:06:00Z"/>
        <d v="2016-11-27T19:09:00Z"/>
        <d v="2016-11-30T11:34:00Z"/>
        <d v="2016-11-30T12:35:00Z"/>
        <d v="2016-11-30T12:53:00Z"/>
        <d v="2016-12-01T07:59:00Z"/>
        <d v="2016-12-01T08:53:00Z"/>
        <d v="2016-12-01T18:12:00Z"/>
        <d v="2016-12-01T20:46:00Z"/>
        <d v="2016-12-02T12:23:00Z"/>
        <d v="2016-12-02T13:22:00Z"/>
        <d v="2016-12-02T20:48:00Z"/>
        <d v="2016-12-02T23:07:00Z"/>
        <d v="2016-12-03T18:56:00Z"/>
        <d v="2016-12-03T19:15:00Z"/>
        <d v="2016-12-03T20:41:00Z"/>
        <d v="2016-12-04T19:03:00Z"/>
        <d v="2016-12-04T20:34:00Z"/>
        <d v="2016-12-05T18:17:00Z"/>
        <d v="2016-12-05T19:37:00Z"/>
        <d v="2016-12-07T12:32:00Z"/>
        <d v="2016-12-07T12:46:00Z"/>
        <d v="2016-12-07T20:13:00Z"/>
        <d v="2016-12-07T21:50:00Z"/>
        <d v="2016-12-08T14:32:00Z"/>
        <d v="2016-12-08T15:02:00Z"/>
        <d v="2016-12-08T19:27:00Z"/>
        <d v="2016-12-08T21:31:00Z"/>
        <d v="2016-12-09T12:24:00Z"/>
        <d v="2016-12-09T13:43:00Z"/>
        <d v="2016-12-09T20:34:00Z"/>
        <d v="2016-12-09T22:57:00Z"/>
        <d v="2016-12-10T13:16:00Z"/>
        <d v="2016-12-10T15:18:00Z"/>
        <d v="2016-12-10T18:27:00Z"/>
        <d v="2016-12-10T22:21:00Z"/>
        <d v="2016-12-11T16:16:00Z"/>
        <d v="2016-12-11T19:15:00Z"/>
        <d v="2016-12-11T21:56:00Z"/>
        <d v="2016-12-12T13:32:00Z"/>
        <d v="2016-12-12T13:51:00Z"/>
        <d v="2016-12-12T14:39:00Z"/>
        <d v="2016-12-12T18:01:00Z"/>
        <d v="2016-12-12T20:57:00Z"/>
        <d v="2016-12-13T18:29:00Z"/>
        <d v="2016-12-13T20:29:00Z"/>
        <d v="2016-12-14T17:10:00Z"/>
        <d v="2016-12-14T17:34:00Z"/>
        <d v="2016-12-14T18:00:00Z"/>
        <d v="2016-12-14T20:40:00Z"/>
        <d v="2016-12-15T14:54:00Z"/>
        <d v="2016-12-17T16:12:00Z"/>
        <d v="2016-12-17T17:59:00Z"/>
        <d v="2016-12-18T13:41:00Z"/>
        <d v="2016-12-18T17:25:00Z"/>
        <d v="2016-12-18T21:04:00Z"/>
        <d v="2016-12-19T09:36:00Z"/>
        <d v="2016-12-19T10:34:00Z"/>
        <d v="2016-12-19T13:08:00Z"/>
        <d v="2016-12-19T13:35:00Z"/>
        <d v="2016-12-19T14:15:00Z"/>
        <d v="2016-12-19T14:32:00Z"/>
        <d v="2016-12-19T14:50:00Z"/>
        <d v="2016-12-19T15:38:00Z"/>
        <d v="2016-12-19T17:09:00Z"/>
        <d v="2016-12-19T19:17:00Z"/>
        <d v="2016-12-19T20:30:00Z"/>
        <d v="2016-12-20T09:24:00Z"/>
        <d v="2016-12-20T10:48:00Z"/>
        <d v="2016-12-20T12:17:00Z"/>
        <d v="2016-12-20T13:20:00Z"/>
        <d v="2016-12-20T14:17:00Z"/>
        <d v="2016-12-20T16:24:00Z"/>
        <d v="2016-12-20T17:07:00Z"/>
        <d v="2016-12-20T19:21:00Z"/>
        <d v="2016-12-21T08:10:00Z"/>
        <d v="2016-12-21T10:30:00Z"/>
        <d v="2016-12-21T11:49:00Z"/>
        <d v="2016-12-21T13:33:00Z"/>
        <d v="2016-12-21T15:49:00Z"/>
        <d v="2016-12-21T16:05:00Z"/>
        <d v="2016-12-21T17:54:00Z"/>
        <d v="2016-12-21T18:31:00Z"/>
        <d v="2016-12-21T20:35:00Z"/>
        <d v="2016-12-21T23:42:00Z"/>
        <d v="2016-12-22T16:38:00Z"/>
        <d v="2016-12-22T17:20:00Z"/>
        <d v="2016-12-22T17:53:00Z"/>
        <d v="2016-12-22T18:29:00Z"/>
        <d v="2016-12-22T18:37:00Z"/>
        <d v="2016-12-22T18:47:00Z"/>
        <d v="2016-12-22T19:50:00Z"/>
        <d v="2016-12-22T21:53:00Z"/>
        <d v="2016-12-22T23:32:00Z"/>
        <d v="2016-12-23T09:41:00Z"/>
        <d v="2016-12-23T11:58:00Z"/>
        <d v="2016-12-23T15:25:00Z"/>
        <d v="2016-12-23T16:34:00Z"/>
        <d v="2016-12-23T18:27:00Z"/>
        <d v="2016-12-24T08:04:00Z"/>
        <d v="2016-12-24T09:55:00Z"/>
        <d v="2016-12-24T10:53:00Z"/>
        <d v="2016-12-24T12:53:00Z"/>
        <d v="2016-12-24T13:29:00Z"/>
        <d v="2016-12-24T17:27:00Z"/>
        <d v="2016-12-24T19:27:00Z"/>
        <d v="2016-12-24T22:09:00Z"/>
        <d v="2016-12-25T00:14:00Z"/>
        <d v="2016-12-25T19:26:00Z"/>
        <d v="2016-12-25T22:04:00Z"/>
        <d v="2016-12-26T08:41:00Z"/>
        <d v="2016-12-26T09:19:00Z"/>
        <d v="2016-12-26T10:36:00Z"/>
        <d v="2016-12-26T11:42:00Z"/>
        <d v="2016-12-26T13:43:00Z"/>
        <d v="2016-12-27T07:14:00Z"/>
        <d v="2016-12-27T08:59:00Z"/>
        <d v="2016-12-27T12:57:00Z"/>
        <d v="2016-12-27T15:03:00Z"/>
        <d v="2016-12-27T16:58:00Z"/>
        <d v="2016-12-27T19:50:00Z"/>
        <d v="2016-12-28T09:06:00Z"/>
        <d v="2016-12-28T12:12:00Z"/>
        <d v="2016-12-28T14:01:00Z"/>
        <d v="2016-12-28T15:39:00Z"/>
        <d v="2016-12-28T17:16:00Z"/>
        <d v="2016-12-28T18:56:00Z"/>
        <d v="2016-12-28T23:18:00Z"/>
        <d v="2016-12-29T01:06:00Z"/>
        <d v="2016-12-29T10:07:00Z"/>
        <d v="2016-12-29T12:00:00Z"/>
        <d v="2016-12-29T12:33:00Z"/>
        <d v="2016-12-29T13:24:00Z"/>
        <d v="2016-12-29T14:11:00Z"/>
        <d v="2016-12-29T14:58:00Z"/>
        <d v="2016-12-29T15:16:00Z"/>
        <d v="2016-12-29T19:14:00Z"/>
        <d v="2016-12-29T20:10:00Z"/>
        <d v="2016-12-29T20:45:00Z"/>
        <d v="2016-12-29T21:42:00Z"/>
        <d v="2016-12-29T23:47:00Z"/>
        <d v="2016-12-30T10:33:00Z"/>
        <d v="2016-12-30T11:56:00Z"/>
        <d v="2016-12-30T16:03:00Z"/>
        <d v="2016-12-30T17:08:00Z"/>
        <d v="2016-12-30T23:10:00Z"/>
        <d v="2016-12-31T01:14:00Z"/>
        <d v="2016-12-31T13:42:00Z"/>
        <d v="2016-12-31T15:38:00Z"/>
        <d v="2016-12-31T21:50:00Z"/>
        <d v="2016-12-31T23:51:00Z"/>
      </sharedItems>
    </cacheField>
    <cacheField name="CATEGORY_ID" numFmtId="3">
      <sharedItems containsSemiMixedTypes="0" containsString="0" containsNumber="1" containsInteger="1">
        <n v="423.0"/>
        <n v="527.0"/>
      </sharedItems>
    </cacheField>
    <cacheField name="START_LOCATION" numFmtId="0">
      <sharedItems>
        <s v="Fort Pierce"/>
        <s v="West Palm Beach"/>
        <s v="Cary"/>
        <s v="Jamaica"/>
        <s v="New York"/>
        <s v="Elmhurst"/>
        <s v="Midtown"/>
        <s v="East Harlem"/>
        <s v="Flatiron District"/>
        <s v="Midtown East"/>
        <s v="Hudson Square"/>
        <s v="Lower Manhattan"/>
        <s v="Hell's Kitchen"/>
        <s v="Downtown"/>
        <s v="Gulfton"/>
        <s v="Houston"/>
        <s v="Eagan Park"/>
        <s v="Morrisville"/>
        <s v="Durham"/>
        <s v="Farmington Woods"/>
        <s v="Whitebridge"/>
        <s v="Lake Wellingborough"/>
        <s v="Fayetteville Street"/>
        <s v="Raleigh"/>
        <s v="Hazelwood"/>
        <s v="Fairmont"/>
        <s v="Meredith Townes"/>
        <s v="Apex"/>
        <s v="Chapel Hill"/>
        <s v="Northwoods"/>
        <s v="Edgehill Farms"/>
        <s v="Tanglewood"/>
        <s v="Preston"/>
        <s v="Eastgate"/>
        <s v="East Elmhurst"/>
        <s v="Jackson Heights"/>
        <s v="Long Island City"/>
        <s v="Katunayaka"/>
        <s v="Unknown Location"/>
        <s v="Colombo"/>
        <s v="Nugegoda"/>
        <s v="Islamabad"/>
        <s v="R?walpindi"/>
        <s v="Noorpur Shahan"/>
        <s v="Heritage Pines"/>
        <s v="Westpark Place"/>
        <s v="Waverly Place"/>
        <s v="Wayne Ridge"/>
        <s v="Weston"/>
        <s v="East Austin"/>
        <s v="West University"/>
        <s v="South Congress"/>
        <s v="The Drag"/>
        <s v="Congress Ave District"/>
        <s v="Red River District"/>
        <s v="Georgian Acres"/>
        <s v="North Austin"/>
        <s v="Coxville"/>
        <s v="Convention Center District"/>
        <s v="Austin"/>
        <s v="Katy"/>
        <s v="Sharpstown"/>
        <s v="Sugar Land"/>
        <s v="Galveston"/>
        <s v="Port Bolivar"/>
        <s v="Washington Avenue"/>
        <s v="Briar Meadow"/>
        <s v="Latta"/>
        <s v="Jacksonville"/>
        <s v="Couples Glen"/>
        <s v="Kissimmee"/>
        <s v="Lake Reams"/>
        <s v="Orlando"/>
        <s v="Sand Lake Commons"/>
        <s v="Sky Lake"/>
        <s v="Daytona Beach"/>
        <s v="Ridgeland"/>
        <s v="Florence"/>
        <s v="Meredith"/>
        <s v="Holly Springs"/>
        <s v="Chessington"/>
        <s v="Burtrose"/>
        <s v="Parkway"/>
        <s v="Mcvan"/>
        <s v="Capitol One"/>
        <s v="University District"/>
        <s v="Seattle"/>
        <s v="Redmond"/>
        <s v="Bellevue"/>
        <s v="San Francisco"/>
        <s v="Palo Alto"/>
        <s v="Sunnyvale"/>
        <s v="Newark"/>
        <s v="Menlo Park"/>
        <s v="Old City"/>
        <s v="Savon Height"/>
        <s v="Kilarney Woods"/>
        <s v="Townes at Everett Crossing"/>
        <s v="Huntington Woods"/>
        <s v="Seaport"/>
        <s v="Medical Centre"/>
        <s v="Rose Hill"/>
        <s v="Soho"/>
        <s v="Tribeca"/>
        <s v="Financial District"/>
        <s v="Oakland"/>
        <s v="Emeryville"/>
        <s v="Berkeley"/>
        <s v="Kenner"/>
        <s v="CBD"/>
        <s v="Lower Garden District"/>
        <s v="Lakeview"/>
        <s v="Storyville"/>
        <s v="New Orleans"/>
        <s v="Metairie"/>
        <s v="Chalmette"/>
        <s v="Arabi"/>
        <s v="Pontchartrain Shores"/>
        <s v="Marigny"/>
        <s v="Covington"/>
        <s v="Mandeville"/>
        <s v="Jamestown Court"/>
        <s v="Summerwinds"/>
        <s v="Parkwood"/>
        <s v="Pontchartrain Beach"/>
        <s v="St Thomas"/>
        <s v="Banner Elk"/>
        <s v="Elk Park"/>
        <s v="Newland"/>
        <s v="Boone"/>
        <s v="Stonewater"/>
        <s v="Lexington Park at Amberly"/>
        <s v="Arlington Park at Amberly"/>
        <s v="Arlington"/>
        <s v="Kalorama Triangle"/>
        <s v="K Street"/>
        <s v="West End"/>
        <s v="Connecticut Avenue"/>
        <s v="Columbia Heights"/>
        <s v="Washington"/>
        <s v="Wake Forest"/>
        <s v="Lahore"/>
        <s v="Karachi"/>
        <s v="SOMISSPO"/>
        <s v="West Berkeley"/>
        <s v="North Berkeley Hills"/>
        <s v="San Jose"/>
        <s v="Eagle Rock"/>
        <s v="Winston Salem"/>
        <s v="Asheville"/>
        <s v="Topton"/>
        <s v="Hayesville"/>
        <s v="Bryson City"/>
        <s v="Almond"/>
        <s v="Mebane"/>
        <s v="Agnew"/>
        <s v="Cory"/>
        <s v="Renaissance"/>
        <s v="Santa Clara"/>
        <s v="NOMA"/>
        <s v="Sunnyside"/>
        <s v="Ingleside"/>
        <s v="Central"/>
        <s v="Tenderloin"/>
        <s v="College Avenue"/>
        <s v="South"/>
        <s v="Southside"/>
        <s v="South Berkeley"/>
        <s v="Mountain View"/>
        <s v="El Cerrito"/>
        <s v="Krendle Woods"/>
        <s v="Wake Co."/>
        <s v="Fuquay-Varina"/>
        <s v="Rawalpindi"/>
        <s v="Kar?chi"/>
        <s v="Katunayake"/>
        <s v="Gampaha"/>
      </sharedItems>
    </cacheField>
    <cacheField name="STOP_LOCATION" numFmtId="0">
      <sharedItems>
        <s v="Fort Pierce"/>
        <s v="West Palm Beach"/>
        <s v="Palm Beach"/>
        <s v="Cary"/>
        <s v="Morrisville"/>
        <s v="New York"/>
        <s v="Queens"/>
        <s v="East Harlem"/>
        <s v="NoMad"/>
        <s v="Midtown"/>
        <s v="Midtown East"/>
        <s v="Hudson Square"/>
        <s v="Lower Manhattan"/>
        <s v="Hell's Kitchen"/>
        <s v="Queens County"/>
        <s v="Gulfton"/>
        <s v="Downtown"/>
        <s v="Houston"/>
        <s v="Jamestown Court"/>
        <s v="Durham"/>
        <s v="Whitebridge"/>
        <s v="Lake Wellingborough"/>
        <s v="Raleigh"/>
        <s v="Umstead"/>
        <s v="Hazelwood"/>
        <s v="Westpark Place"/>
        <s v="Meredith Townes"/>
        <s v="Leesville Hollow"/>
        <s v="Apex"/>
        <s v="Chapel Hill"/>
        <s v="Williamsburg Manor"/>
        <s v="Macgregor Downs"/>
        <s v="Edgehill Farms"/>
        <s v="Northwoods"/>
        <s v="Tanglewood"/>
        <s v="Preston"/>
        <s v="Walnut Terrace"/>
        <s v="Jackson Heights"/>
        <s v="East Elmhurst"/>
        <s v="Midtown West"/>
        <s v="Long Island City"/>
        <s v="Jamaica"/>
        <s v="Unknown Location"/>
        <s v="Colombo"/>
        <s v="Nugegoda"/>
        <s v="Katunayaka"/>
        <s v="Islamabad"/>
        <s v="R?walpindi"/>
        <s v="Noorpur Shahan"/>
        <s v="Heritage Pines"/>
        <s v="Waverly Place"/>
        <s v="Wayne Ridge"/>
        <s v="Depot Historic District"/>
        <s v="Weston"/>
        <s v="West University"/>
        <s v="South Congress"/>
        <s v="Arts District"/>
        <s v="Congress Ave District"/>
        <s v="Red River District"/>
        <s v="The Drag"/>
        <s v="Convention Center District"/>
        <s v="North Austin"/>
        <s v="Coxville"/>
        <s v="Katy"/>
        <s v="Alief"/>
        <s v="Sharpstown"/>
        <s v="Sugar Land"/>
        <s v="Galveston"/>
        <s v="Port Bolivar"/>
        <s v="Washington Avenue"/>
        <s v="Briar Meadow"/>
        <s v="Greater Greenspoint"/>
        <s v="Latta"/>
        <s v="Jacksonville"/>
        <s v="Kissimmee"/>
        <s v="Isles of Buena Vista"/>
        <s v="Orlando"/>
        <s v="Lake Reams"/>
        <s v="Vista East"/>
        <s v="Sky Lake"/>
        <s v="Sand Lake Commons"/>
        <s v="Daytona Beach"/>
        <s v="Ridgeland"/>
        <s v="Florence"/>
        <s v="Cedar Hill"/>
        <s v="Holly Springs"/>
        <s v="Harden Place"/>
        <s v="Chessington"/>
        <s v="Burtrose"/>
        <s v="Parkway"/>
        <s v="Capitol One"/>
        <s v="University District"/>
        <s v="Redmond"/>
        <s v="Bellevue"/>
        <s v="Seattle"/>
        <s v="Mcvan"/>
        <s v="Palo Alto"/>
        <s v="Sunnyvale"/>
        <s v="Newark"/>
        <s v="Menlo Park"/>
        <s v="San Francisco"/>
        <s v="Parkway Museums"/>
        <s v="Hog Island"/>
        <s v="Savon Height"/>
        <s v="Kildaire Farms"/>
        <s v="Kilarney Woods"/>
        <s v="Gramercy-Flatiron"/>
        <s v="Tudor City"/>
        <s v="Soho"/>
        <s v="Tribeca"/>
        <s v="Financial District"/>
        <s v="Kips Bay"/>
        <s v="Emeryville"/>
        <s v="Berkeley"/>
        <s v="Oakland"/>
        <s v="Bay Farm Island"/>
        <s v="New Orleans"/>
        <s v="Lower Garden District"/>
        <s v="Lakeview"/>
        <s v="Storyville"/>
        <s v="Faubourg Marigny"/>
        <s v="Metairie"/>
        <s v="Kenner"/>
        <s v="Bywater"/>
        <s v="Chalmette"/>
        <s v="Arabi"/>
        <s v="Pontchartrain Shores"/>
        <s v="Marigny"/>
        <s v="Covington"/>
        <s v="Mandeville"/>
        <s v="Summerwinds"/>
        <s v="Parkwood"/>
        <s v="Pontchartrain Beach"/>
        <s v="CBD"/>
        <s v="St Thomas"/>
        <s v="Banner Elk"/>
        <s v="Elk Park"/>
        <s v="Newland"/>
        <s v="Boone"/>
        <s v="Stonewater"/>
        <s v="Lexington Park at Amberly"/>
        <s v="Arlington Park at Amberly"/>
        <s v="Washington"/>
        <s v="K Street"/>
        <s v="Kalorama Triangle"/>
        <s v="Northwest Rectangle"/>
        <s v="Columbia Heights"/>
        <s v="Arlington"/>
        <s v="Farmington Woods"/>
        <s v="Wake Forest"/>
        <s v="Lahore"/>
        <s v="Karachi"/>
        <s v="French Quarter"/>
        <s v="North Berkeley Hills"/>
        <s v="Southside"/>
        <s v="San Jose"/>
        <s v="Eagle Rock"/>
        <s v="Huntington Woods"/>
        <s v="Winston Salem"/>
        <s v="Asheville"/>
        <s v="Topton"/>
        <s v="Hayesville"/>
        <s v="Bryson City"/>
        <s v="Almond"/>
        <s v="Mebane"/>
        <s v="Santa Clara"/>
        <s v="Cory"/>
        <s v="Agnew"/>
        <s v="Renaissance"/>
        <s v="West Berkeley"/>
        <s v="Central"/>
        <s v="Sunnyside"/>
        <s v="Ingleside"/>
        <s v="Potrero Flats"/>
        <s v="SOMISSPO"/>
        <s v="Tenderloin"/>
        <s v="College Avenue"/>
        <s v="South"/>
        <s v="Southwest Berkeley"/>
        <s v="South Berkeley"/>
        <s v="Mountain View"/>
        <s v="El Cerrito"/>
        <s v="Wake Co."/>
        <s v="Fuquay-Varina"/>
        <s v="Rawalpindi"/>
        <s v="Kar?chi"/>
        <s v="Gampaha"/>
        <s v="Ilukwatta"/>
      </sharedItems>
    </cacheField>
    <cacheField name="MILES" numFmtId="166">
      <sharedItems containsSemiMixedTypes="0" containsString="0" containsNumber="1">
        <n v="5.1"/>
        <n v="5.0"/>
        <n v="4.8"/>
        <n v="4.7"/>
        <n v="63.7"/>
        <n v="4.3"/>
        <n v="7.1"/>
        <n v="0.8"/>
        <n v="8.3"/>
        <n v="16.5"/>
        <n v="10.8"/>
        <n v="7.5"/>
        <n v="6.2"/>
        <n v="6.4"/>
        <n v="1.6"/>
        <n v="1.7"/>
        <n v="1.9"/>
        <n v="4.0"/>
        <n v="1.8"/>
        <n v="2.4"/>
        <n v="2.0"/>
        <n v="15.1"/>
        <n v="11.2"/>
        <n v="11.8"/>
        <n v="21.9"/>
        <n v="3.9"/>
        <n v="8.0"/>
        <n v="10.4"/>
        <n v="7.2"/>
        <n v="7.6"/>
        <n v="17.1"/>
        <n v="40.2"/>
        <n v="1.0"/>
        <n v="2.3"/>
        <n v="1.4"/>
        <n v="0.5"/>
        <n v="18.7"/>
        <n v="3.4"/>
        <n v="2.7"/>
        <n v="12.9"/>
        <n v="19.0"/>
        <n v="14.7"/>
        <n v="15.7"/>
        <n v="4.6"/>
        <n v="5.2"/>
        <n v="10.1"/>
        <n v="5.8"/>
        <n v="5.5"/>
        <n v="5.7"/>
        <n v="19.4"/>
        <n v="23.3"/>
        <n v="6.0"/>
        <n v="9.7"/>
        <n v="1.1"/>
        <n v="9.0"/>
        <n v="7.7"/>
        <n v="11.4"/>
        <n v="3.2"/>
        <n v="5.6"/>
        <n v="6.1"/>
        <n v="5.3"/>
        <n v="3.0"/>
        <n v="1.5"/>
        <n v="17.3"/>
        <n v="13.5"/>
        <n v="8.5"/>
        <n v="2.6"/>
        <n v="17.0"/>
        <n v="18.0"/>
        <n v="8.4"/>
        <n v="11.5"/>
        <n v="8.9"/>
        <n v="8.1"/>
        <n v="13.0"/>
        <n v="13.9"/>
        <n v="43.7"/>
        <n v="14.1"/>
        <n v="4.5"/>
        <n v="3.6"/>
        <n v="21.4"/>
        <n v="23.5"/>
        <n v="12.7"/>
        <n v="10.0"/>
        <n v="18.3"/>
        <n v="7.3"/>
        <n v="3.5"/>
        <n v="4.2"/>
        <n v="13.6"/>
        <n v="2.5"/>
        <n v="14.4"/>
        <n v="18.4"/>
        <n v="23.1"/>
        <n v="14.5"/>
        <n v="8.8"/>
        <n v="22.7"/>
        <n v="2.2"/>
        <n v="20.0"/>
        <n v="3.1"/>
        <n v="6.3"/>
        <n v="10.6"/>
        <n v="9.9"/>
        <n v="6.8"/>
        <n v="2.1"/>
        <n v="3.8"/>
        <n v="6.6"/>
        <n v="10.9"/>
        <n v="4.9"/>
        <n v="6.5"/>
        <n v="7.8"/>
        <n v="2.8"/>
        <n v="12.4"/>
        <n v="5.9"/>
        <n v="9.4"/>
        <n v="11.9"/>
        <n v="12.8"/>
        <n v="1.2"/>
        <n v="10.5"/>
        <n v="12.5"/>
        <n v="136.0"/>
        <n v="30.2"/>
        <n v="15.5"/>
        <n v="12.6"/>
        <n v="13.2"/>
        <n v="9.2"/>
        <n v="12.0"/>
        <n v="35.1"/>
        <n v="36.5"/>
        <n v="57.0"/>
        <n v="9.6"/>
        <n v="0.9"/>
        <n v="25.6"/>
        <n v="23.0"/>
        <n v="144.0"/>
        <n v="310.3"/>
        <n v="201.0"/>
        <n v="6.7"/>
        <n v="6.9"/>
        <n v="27.2"/>
        <n v="25.7"/>
        <n v="13.8"/>
        <n v="28.8"/>
        <n v="16.1"/>
        <n v="16.4"/>
        <n v="11.0"/>
        <n v="20.3"/>
        <n v="0.7"/>
        <n v="77.3"/>
        <n v="80.5"/>
        <n v="174.2"/>
        <n v="159.3"/>
        <n v="7.9"/>
        <n v="8.7"/>
        <n v="19.1"/>
        <n v="18.6"/>
        <n v="15.9"/>
        <n v="15.3"/>
        <n v="13.7"/>
        <n v="15.2"/>
        <n v="8.2"/>
        <n v="22.5"/>
        <n v="32.8"/>
        <n v="14.2"/>
        <n v="18.2"/>
        <n v="2.9"/>
        <n v="20.5"/>
        <n v="9.8"/>
        <n v="17.6"/>
        <n v="9.3"/>
        <n v="11.3"/>
        <n v="14.9"/>
        <n v="14.0"/>
        <n v="3.3"/>
        <n v="22.3"/>
        <n v="16.3"/>
        <n v="3.7"/>
        <n v="11.6"/>
        <n v="15.0"/>
        <n v="12.2"/>
        <n v="19.3"/>
        <n v="16.6"/>
        <n v="8.6"/>
        <n v="46.9"/>
        <n v="30.0"/>
        <n v="4.4"/>
        <n v="7.4"/>
        <n v="13.3"/>
        <n v="0.6"/>
        <n v="7.0"/>
        <n v="1.3"/>
        <n v="13.4"/>
        <n v="12.3"/>
        <n v="195.3"/>
        <n v="22.4"/>
        <n v="28.1"/>
        <n v="41.9"/>
        <n v="23.8"/>
        <n v="180.2"/>
        <n v="4.1"/>
        <n v="9.1"/>
        <n v="9.5"/>
        <n v="14.6"/>
        <n v="17.4"/>
        <n v="31.7"/>
        <n v="31.9"/>
        <n v="15.6"/>
        <n v="25.9"/>
        <n v="16.2"/>
        <n v="12.1"/>
        <n v="20.2"/>
        <n v="17.7"/>
        <n v="25.2"/>
        <n v="96.2"/>
        <n v="35.0"/>
        <n v="50.4"/>
        <n v="86.6"/>
        <n v="156.9"/>
        <n v="17.2"/>
        <n v="195.6"/>
        <n v="37.7"/>
        <n v="16.7"/>
        <n v="28.6"/>
        <n v="17.9"/>
        <n v="112.6"/>
        <n v="33.2"/>
        <n v="20.6"/>
        <n v="47.7"/>
        <n v="44.6"/>
        <n v="28.2"/>
        <n v="15.4"/>
        <n v="107.0"/>
        <n v="133.6"/>
        <n v="91.8"/>
        <n v="40.7"/>
        <n v="75.7"/>
        <n v="29.8"/>
        <n v="68.4"/>
        <n v="195.9"/>
        <n v="45.2"/>
        <n v="10.3"/>
        <n v="13.1"/>
        <n v="43.9"/>
        <n v="45.9"/>
        <n v="36.6"/>
        <n v="43.6"/>
        <n v="5.4"/>
        <n v="39.2"/>
        <n v="18.5"/>
        <n v="11.1"/>
        <n v="18.9"/>
        <n v="10.2"/>
        <n v="103.0"/>
        <n v="32.3"/>
        <n v="23.2"/>
        <n v="10.7"/>
        <n v="48.2"/>
      </sharedItems>
    </cacheField>
    <cacheField name="PURPOSE_ID" numFmtId="3">
      <sharedItems containsSemiMixedTypes="0" containsString="0" containsNumber="1" containsInteger="1">
        <n v="1.0"/>
        <n v="123.0"/>
        <n v="2.0"/>
        <n v="3.0"/>
        <n v="4.0"/>
        <n v="5.0"/>
        <n v="6.0"/>
        <n v="7.0"/>
        <n v="8.0"/>
        <n v="9.0"/>
        <n v="10.0"/>
      </sharedItems>
    </cacheField>
    <cacheField name="START_TIME" numFmtId="165">
      <sharedItems containsSemiMixedTypes="0" containsDate="1" containsString="0">
        <d v="1899-12-30T21:11:00Z"/>
        <d v="1899-12-30T01:25:00Z"/>
        <d v="1899-12-30T20:25:00Z"/>
        <d v="1899-12-30T17:31:00Z"/>
        <d v="1899-12-30T14:42:00Z"/>
        <d v="1899-12-30T17:15:00Z"/>
        <d v="1899-12-30T17:30:00Z"/>
        <d v="1899-12-30T13:27:00Z"/>
        <d v="1899-12-30T08:05:00Z"/>
        <d v="1899-12-30T12:17:00Z"/>
        <d v="1899-12-30T15:08:00Z"/>
        <d v="1899-12-30T18:18:00Z"/>
        <d v="1899-12-30T19:12:00Z"/>
        <d v="1899-12-30T08:55:00Z"/>
        <d v="1899-12-30T11:56:00Z"/>
        <d v="1899-12-30T13:32:00Z"/>
        <d v="1899-12-30T14:30:00Z"/>
        <d v="1899-12-30T12:33:00Z"/>
        <d v="1899-12-30T12:53:00Z"/>
        <d v="1899-12-30T15:13:00Z"/>
        <d v="1899-12-30T15:42:00Z"/>
        <d v="1899-12-30T16:02:00Z"/>
        <d v="1899-12-30T13:54:00Z"/>
        <d v="1899-12-30T15:00:00Z"/>
        <d v="1899-12-30T16:29:00Z"/>
        <d v="1899-12-30T21:39:00Z"/>
        <d v="1899-12-30T00:41:00Z"/>
        <d v="1899-12-30T11:43:00Z"/>
        <d v="1899-12-30T13:26:00Z"/>
        <d v="1899-12-30T14:55:00Z"/>
        <d v="1899-12-30T16:13:00Z"/>
        <d v="1899-12-30T09:09:00Z"/>
        <d v="1899-12-30T10:55:00Z"/>
        <d v="1899-12-30T10:36:00Z"/>
        <d v="1899-12-30T11:48:00Z"/>
        <d v="1899-12-30T13:25:00Z"/>
        <d v="1899-12-30T14:25:00Z"/>
        <d v="1899-12-30T14:43:00Z"/>
        <d v="1899-12-30T16:01:00Z"/>
        <d v="1899-12-30T10:41:00Z"/>
        <d v="1899-12-30T16:24:00Z"/>
        <d v="1899-12-30T17:17:00Z"/>
        <d v="1899-12-30T17:27:00Z"/>
        <d v="1899-12-30T09:24:00Z"/>
        <d v="1899-12-30T10:19:00Z"/>
        <d v="1899-12-30T12:34:00Z"/>
        <d v="1899-12-30T14:05:00Z"/>
        <d v="1899-12-30T14:46:00Z"/>
        <d v="1899-12-30T12:28:00Z"/>
        <d v="1899-12-30T15:11:00Z"/>
        <d v="1899-12-30T16:21:00Z"/>
        <d v="1899-12-30T09:31:00Z"/>
        <d v="1899-12-30T10:56:00Z"/>
        <d v="1899-12-30T13:24:00Z"/>
        <d v="1899-12-30T18:31:00Z"/>
        <d v="1899-12-30T21:21:00Z"/>
        <d v="1899-12-30T18:09:00Z"/>
        <d v="1899-12-30T10:35:00Z"/>
        <d v="1899-12-30T12:10:00Z"/>
        <d v="1899-12-30T12:56:00Z"/>
        <d v="1899-12-30T13:04:00Z"/>
        <d v="1899-12-30T13:51:00Z"/>
        <d v="1899-12-30T14:38:00Z"/>
        <d v="1899-12-30T08:40:00Z"/>
        <d v="1899-12-30T09:37:00Z"/>
        <d v="1899-12-30T10:26:00Z"/>
        <d v="1899-12-30T15:59:00Z"/>
        <d v="1899-12-30T16:35:00Z"/>
        <d v="1899-12-30T18:04:00Z"/>
        <d v="1899-12-30T20:36:00Z"/>
        <d v="1899-12-30T11:47:00Z"/>
        <d v="1899-12-30T13:22:00Z"/>
        <d v="1899-12-30T16:20:00Z"/>
        <d v="1899-12-30T18:57:00Z"/>
        <d v="1899-12-30T19:28:00Z"/>
        <d v="1899-12-30T16:49:00Z"/>
        <d v="1899-12-30T18:03:00Z"/>
        <d v="1899-12-30T18:39:00Z"/>
        <d v="1899-12-30T20:22:00Z"/>
        <d v="1899-12-30T12:57:00Z"/>
        <d v="1899-12-30T14:00:00Z"/>
        <d v="1899-12-30T10:54:00Z"/>
        <d v="1899-12-30T13:36:00Z"/>
        <d v="1899-12-30T13:58:00Z"/>
        <d v="1899-12-30T18:55:00Z"/>
        <d v="1899-12-30T20:24:00Z"/>
        <d v="1899-12-30T16:28:00Z"/>
        <d v="1899-12-30T17:49:00Z"/>
        <d v="1899-12-30T18:24:00Z"/>
        <d v="1899-12-30T08:21:00Z"/>
        <d v="1899-12-30T10:45:00Z"/>
        <d v="1899-12-30T11:14:00Z"/>
        <d v="1899-12-30T13:02:00Z"/>
        <d v="1899-12-30T14:49:00Z"/>
        <d v="1899-12-30T15:33:00Z"/>
        <d v="1899-12-30T14:21:00Z"/>
        <d v="1899-12-30T23:45:00Z"/>
        <d v="1899-12-30T00:50:00Z"/>
        <d v="1899-12-30T14:07:00Z"/>
        <d v="1899-12-30T17:06:00Z"/>
        <d v="1899-12-30T03:21:00Z"/>
        <d v="1899-12-30T08:29:00Z"/>
        <d v="1899-12-30T10:31:00Z"/>
        <d v="1899-12-30T11:32:00Z"/>
        <d v="1899-12-30T12:39:00Z"/>
        <d v="1899-12-30T13:43:00Z"/>
        <d v="1899-12-30T16:34:00Z"/>
        <d v="1899-12-30T17:40:00Z"/>
        <d v="1899-12-30T13:18:00Z"/>
        <d v="1899-12-30T15:17:00Z"/>
        <d v="1899-12-30T16:38:00Z"/>
        <d v="1899-12-30T08:19:00Z"/>
        <d v="1899-12-30T14:03:00Z"/>
        <d v="1899-12-30T15:16:00Z"/>
        <d v="1899-12-30T18:44:00Z"/>
        <d v="1899-12-30T19:27:00Z"/>
        <d v="1899-12-30T09:02:00Z"/>
        <d v="1899-12-30T09:21:00Z"/>
        <d v="1899-12-30T10:21:00Z"/>
        <d v="1899-12-30T11:20:00Z"/>
        <d v="1899-12-30T11:45:00Z"/>
        <d v="1899-12-30T12:09:00Z"/>
        <d v="1899-12-30T16:26:00Z"/>
        <d v="1899-12-30T17:09:00Z"/>
        <d v="1899-12-30T20:08:00Z"/>
        <d v="1899-12-30T20:34:00Z"/>
        <d v="1899-12-30T07:59:00Z"/>
        <d v="1899-12-30T10:48:00Z"/>
        <d v="1899-12-30T12:41:00Z"/>
        <d v="1899-12-30T14:50:00Z"/>
        <d v="1899-12-30T16:59:00Z"/>
        <d v="1899-12-30T18:00:00Z"/>
        <d v="1899-12-30T09:07:00Z"/>
        <d v="1899-12-30T11:39:00Z"/>
        <d v="1899-12-30T12:13:00Z"/>
        <d v="1899-12-30T12:51:00Z"/>
        <d v="1899-12-30T13:33:00Z"/>
        <d v="1899-12-30T14:36:00Z"/>
        <d v="1899-12-30T15:14:00Z"/>
        <d v="1899-12-30T15:36:00Z"/>
        <d v="1899-12-30T16:04:00Z"/>
        <d v="1899-12-30T23:15:00Z"/>
        <d v="1899-12-30T21:54:00Z"/>
        <d v="1899-12-30T15:19:00Z"/>
        <d v="1899-12-30T16:27:00Z"/>
        <d v="1899-12-30T16:47:00Z"/>
        <d v="1899-12-30T17:16:00Z"/>
        <d v="1899-12-30T18:22:00Z"/>
        <d v="1899-12-30T09:06:00Z"/>
        <d v="1899-12-30T11:05:00Z"/>
        <d v="1899-12-30T11:35:00Z"/>
        <d v="1899-12-30T13:01:00Z"/>
        <d v="1899-12-30T17:01:00Z"/>
        <d v="1899-12-30T05:22:00Z"/>
        <d v="1899-12-30T09:26:00Z"/>
        <d v="1899-12-30T11:07:00Z"/>
        <d v="1899-12-30T11:30:00Z"/>
        <d v="1899-12-30T12:36:00Z"/>
        <d v="1899-12-30T16:40:00Z"/>
        <d v="1899-12-30T18:47:00Z"/>
        <d v="1899-12-30T21:27:00Z"/>
        <d v="1899-12-30T09:45:00Z"/>
        <d v="1899-12-30T11:04:00Z"/>
        <d v="1899-12-30T14:44:00Z"/>
        <d v="1899-12-30T15:27:00Z"/>
        <d v="1899-12-30T07:47:00Z"/>
        <d v="1899-12-30T09:46:00Z"/>
        <d v="1899-12-30T11:46:00Z"/>
        <d v="1899-12-30T13:03:00Z"/>
        <d v="1899-12-30T13:40:00Z"/>
        <d v="1899-12-30T15:56:00Z"/>
        <d v="1899-12-30T16:16:00Z"/>
        <d v="1899-12-30T16:43:00Z"/>
        <d v="1899-12-30T19:02:00Z"/>
        <d v="1899-12-30T19:16:00Z"/>
        <d v="1899-12-30T11:44:00Z"/>
        <d v="1899-12-30T14:08:00Z"/>
        <d v="1899-12-30T14:39:00Z"/>
        <d v="1899-12-30T16:52:00Z"/>
        <d v="1899-12-30T17:23:00Z"/>
        <d v="1899-12-30T09:10:00Z"/>
        <d v="1899-12-30T09:23:00Z"/>
        <d v="1899-12-30T13:57:00Z"/>
        <d v="1899-12-30T15:35:00Z"/>
        <d v="1899-12-30T03:36:00Z"/>
        <d v="1899-12-30T10:08:00Z"/>
        <d v="1899-12-30T16:18:00Z"/>
        <d v="1899-12-30T09:47:00Z"/>
        <d v="1899-12-30T10:29:00Z"/>
        <d v="1899-12-30T11:57:00Z"/>
        <d v="1899-12-30T19:21:00Z"/>
        <d v="1899-12-30T09:13:00Z"/>
        <d v="1899-12-30T18:27:00Z"/>
        <d v="1899-12-30T18:23:00Z"/>
        <d v="1899-12-30T20:07:00Z"/>
        <d v="1899-12-30T20:39:00Z"/>
        <d v="1899-12-30T22:19:00Z"/>
        <d v="1899-12-30T08:34:00Z"/>
        <d v="1899-12-30T08:45:00Z"/>
        <d v="1899-12-30T20:48:00Z"/>
        <d v="1899-12-30T11:34:00Z"/>
        <d v="1899-12-30T18:43:00Z"/>
        <d v="1899-12-30T00:33:00Z"/>
        <d v="1899-12-30T12:52:00Z"/>
        <d v="1899-12-30T17:20:00Z"/>
        <d v="1899-12-30T20:57:00Z"/>
        <d v="1899-12-30T21:48:00Z"/>
        <d v="1899-12-30T07:15:00Z"/>
        <d v="1899-12-30T08:35:00Z"/>
        <d v="1899-12-30T19:23:00Z"/>
        <d v="1899-12-30T21:01:00Z"/>
        <d v="1899-12-30T12:50:00Z"/>
        <d v="1899-12-30T14:01:00Z"/>
        <d v="1899-12-30T15:34:00Z"/>
        <d v="1899-12-30T17:37:00Z"/>
        <d v="1899-12-30T17:52:00Z"/>
        <d v="1899-12-30T18:53:00Z"/>
        <d v="1899-12-30T19:33:00Z"/>
        <d v="1899-12-30T07:37:00Z"/>
        <d v="1899-12-30T11:42:00Z"/>
        <d v="1899-12-30T17:08:00Z"/>
        <d v="1899-12-30T18:34:00Z"/>
        <d v="1899-12-30T18:45:00Z"/>
        <d v="1899-12-30T16:05:00Z"/>
        <d v="1899-12-30T18:59:00Z"/>
        <d v="1899-12-30T20:18:00Z"/>
        <d v="1899-12-30T06:17:00Z"/>
        <d v="1899-12-30T12:06:00Z"/>
        <d v="1899-12-30T14:37:00Z"/>
        <d v="1899-12-30T14:53:00Z"/>
        <d v="1899-12-30T19:47:00Z"/>
        <d v="1899-12-30T22:54:00Z"/>
        <d v="1899-12-30T00:31:00Z"/>
        <d v="1899-12-30T01:11:00Z"/>
        <d v="1899-12-30T15:31:00Z"/>
        <d v="1899-12-30T21:26:00Z"/>
        <d v="1899-12-30T23:04:00Z"/>
        <d v="1899-12-30T12:29:00Z"/>
        <d v="1899-12-30T19:30:00Z"/>
        <d v="1899-12-30T22:55:00Z"/>
        <d v="1899-12-30T18:20:00Z"/>
        <d v="1899-12-30T20:29:00Z"/>
        <d v="1899-12-30T22:05:00Z"/>
        <d v="1899-12-30T12:47:00Z"/>
        <d v="1899-12-30T08:48:00Z"/>
        <d v="1899-12-30T11:01:00Z"/>
        <d v="1899-12-30T12:21:00Z"/>
        <d v="1899-12-30T16:57:00Z"/>
        <d v="1899-12-30T19:38:00Z"/>
        <d v="1899-12-30T23:11:00Z"/>
        <d v="1899-12-30T02:00:00Z"/>
        <d v="1899-12-30T00:19:00Z"/>
        <d v="1899-12-30T19:45:00Z"/>
        <d v="1899-12-30T12:30:00Z"/>
        <d v="1899-12-30T13:34:00Z"/>
        <d v="1899-12-30T13:55:00Z"/>
        <d v="1899-12-30T09:15:00Z"/>
        <d v="1899-12-30T09:34:00Z"/>
        <d v="1899-12-30T10:58:00Z"/>
        <d v="1899-12-30T12:22:00Z"/>
        <d v="1899-12-30T13:42:00Z"/>
        <d v="1899-12-30T07:29:00Z"/>
        <d v="1899-12-30T16:00:00Z"/>
        <d v="1899-12-30T11:36:00Z"/>
        <d v="1899-12-30T14:31:00Z"/>
        <d v="1899-12-30T12:59:00Z"/>
        <d v="1899-12-30T15:10:00Z"/>
        <d v="1899-12-30T17:44:00Z"/>
        <d v="1899-12-30T19:57:00Z"/>
        <d v="1899-12-30T08:25:00Z"/>
        <d v="1899-12-30T10:10:00Z"/>
        <d v="1899-12-30T12:08:00Z"/>
        <d v="1899-12-30T17:03:00Z"/>
        <d v="1899-12-30T18:49:00Z"/>
        <d v="1899-12-30T19:07:00Z"/>
        <d v="1899-12-30T19:46:00Z"/>
        <d v="1899-12-30T21:41:00Z"/>
        <d v="1899-12-30T13:30:00Z"/>
        <d v="1899-12-30T14:13:00Z"/>
        <d v="1899-12-30T22:10:00Z"/>
        <d v="1899-12-30T13:13:00Z"/>
        <d v="1899-12-30T18:46:00Z"/>
        <d v="1899-12-30T22:44:00Z"/>
        <d v="1899-12-30T18:42:00Z"/>
        <d v="1899-12-30T22:16:00Z"/>
        <d v="1899-12-30T13:45:00Z"/>
        <d v="1899-12-30T14:26:00Z"/>
        <d v="1899-12-30T17:33:00Z"/>
        <d v="1899-12-30T17:54:00Z"/>
        <d v="1899-12-30T22:38:00Z"/>
        <d v="1899-12-30T14:14:00Z"/>
        <d v="1899-12-30T15:37:00Z"/>
        <d v="1899-12-30T22:20:00Z"/>
        <d v="1899-12-30T20:55:00Z"/>
        <d v="1899-12-30T21:30:00Z"/>
        <d v="1899-12-30T21:24:00Z"/>
        <d v="1899-12-30T22:34:00Z"/>
        <d v="1899-12-30T23:55:00Z"/>
        <d v="1899-12-30T05:47:00Z"/>
        <d v="1899-12-30T16:45:00Z"/>
        <d v="1899-12-30T17:18:00Z"/>
        <d v="1899-12-30T06:08:00Z"/>
        <d v="1899-12-30T17:58:00Z"/>
        <d v="1899-12-30T19:35:00Z"/>
        <d v="1899-12-30T09:03:00Z"/>
        <d v="1899-12-30T17:19:00Z"/>
        <d v="1899-12-30T21:47:00Z"/>
        <d v="1899-12-30T18:35:00Z"/>
        <d v="1899-12-30T23:01:00Z"/>
        <d v="1899-12-30T13:15:00Z"/>
        <d v="1899-12-30T13:56:00Z"/>
        <d v="1899-12-30T14:34:00Z"/>
        <d v="1899-12-30T09:11:00Z"/>
        <d v="1899-12-30T13:00:00Z"/>
        <d v="1899-12-30T15:43:00Z"/>
        <d v="1899-12-30T15:39:00Z"/>
        <d v="1899-12-30T20:19:00Z"/>
        <d v="1899-12-30T21:09:00Z"/>
        <d v="1899-12-30T20:26:00Z"/>
        <d v="1899-12-30T20:47:00Z"/>
        <d v="1899-12-30T22:11:00Z"/>
        <d v="1899-12-30T00:15:00Z"/>
        <d v="1899-12-30T14:35:00Z"/>
        <d v="1899-12-30T17:50:00Z"/>
        <d v="1899-12-30T13:10:00Z"/>
        <d v="1899-12-30T11:29:00Z"/>
        <d v="1899-12-30T13:08:00Z"/>
        <d v="1899-12-30T18:14:00Z"/>
        <d v="1899-12-30T18:41:00Z"/>
        <d v="1899-12-30T19:36:00Z"/>
        <d v="1899-12-30T22:47:00Z"/>
        <d v="1899-12-30T15:06:00Z"/>
        <d v="1899-12-30T15:57:00Z"/>
        <d v="1899-12-30T18:05:00Z"/>
        <d v="1899-12-30T21:53:00Z"/>
        <d v="1899-12-30T23:52:00Z"/>
        <d v="1899-12-30T20:06:00Z"/>
        <d v="1899-12-30T21:08:00Z"/>
        <d v="1899-12-30T23:34:00Z"/>
        <d v="1899-12-30T21:42:00Z"/>
        <d v="1899-12-30T23:41:00Z"/>
        <d v="1899-12-30T08:23:00Z"/>
        <d v="1899-12-30T12:04:00Z"/>
        <d v="1899-12-30T13:12:00Z"/>
        <d v="1899-12-30T16:55:00Z"/>
        <d v="1899-12-30T17:59:00Z"/>
        <d v="1899-12-30T20:11:00Z"/>
        <d v="1899-12-30T23:53:00Z"/>
        <d v="1899-12-30T17:34:00Z"/>
        <d v="1899-12-30T21:45:00Z"/>
        <d v="1899-12-30T23:39:00Z"/>
        <d v="1899-12-30T19:53:00Z"/>
        <d v="1899-12-30T20:05:00Z"/>
        <d v="1899-12-30T21:58:00Z"/>
        <d v="1899-12-30T05:23:00Z"/>
        <d v="1899-12-30T14:17:00Z"/>
        <d v="1899-12-30T18:08:00Z"/>
        <d v="1899-12-30T18:54:00Z"/>
        <d v="1899-12-30T20:00:00Z"/>
        <d v="1899-12-30T12:03:00Z"/>
        <d v="1899-12-30T16:09:00Z"/>
        <d v="1899-12-30T01:46:00Z"/>
        <d v="1899-12-30T15:26:00Z"/>
        <d v="1899-12-30T16:37:00Z"/>
        <d v="1899-12-30T17:29:00Z"/>
        <d v="1899-12-30T19:52:00Z"/>
        <d v="1899-12-30T19:39:00Z"/>
        <d v="1899-12-30T21:43:00Z"/>
        <d v="1899-12-30T16:11:00Z"/>
        <d v="1899-12-30T00:29:00Z"/>
        <d v="1899-12-30T02:39:00Z"/>
        <d v="1899-12-30T05:51:00Z"/>
        <d v="1899-12-30T17:11:00Z"/>
        <d v="1899-12-30T11:54:00Z"/>
        <d v="1899-12-30T12:19:00Z"/>
        <d v="1899-12-30T20:44:00Z"/>
        <d v="1899-12-30T10:18:00Z"/>
        <d v="1899-12-30T10:50:00Z"/>
        <d v="1899-12-30T11:25:00Z"/>
        <d v="1899-12-30T11:53:00Z"/>
        <d v="1899-12-30T23:19:00Z"/>
        <d v="1899-12-30T17:43:00Z"/>
        <d v="1899-12-30T19:41:00Z"/>
        <d v="1899-12-30T21:14:00Z"/>
        <d v="1899-12-30T08:51:00Z"/>
        <d v="1899-12-30T09:05:00Z"/>
        <d v="1899-12-30T09:43:00Z"/>
        <d v="1899-12-30T10:22:00Z"/>
        <d v="1899-12-30T10:51:00Z"/>
        <d v="1899-12-30T11:06:00Z"/>
        <d v="1899-12-30T00:48:00Z"/>
        <d v="1899-12-30T20:13:00Z"/>
        <d v="1899-12-30T08:56:00Z"/>
        <d v="1899-12-30T11:49:00Z"/>
        <d v="1899-12-30T12:11:00Z"/>
        <d v="1899-12-30T23:38:00Z"/>
        <d v="1899-12-30T20:09:00Z"/>
        <d v="1899-12-30T00:00:00Z"/>
        <d v="1899-12-30T23:48:00Z"/>
        <d v="1899-12-30T00:28:00Z"/>
        <d v="1899-12-30T03:02:00Z"/>
        <d v="1899-12-30T00:32:00Z"/>
        <d v="1899-12-30T00:08:00Z"/>
        <d v="1899-12-30T16:48:00Z"/>
        <d v="1899-12-30T22:41:00Z"/>
        <d v="1899-12-30T12:48:00Z"/>
        <d v="1899-12-30T20:04:00Z"/>
        <d v="1899-12-30T23:46:00Z"/>
        <d v="1899-12-30T08:22:00Z"/>
        <d v="1899-12-30T10:27:00Z"/>
        <d v="1899-12-30T09:50:00Z"/>
        <d v="1899-12-30T13:48:00Z"/>
        <d v="1899-12-30T09:52:00Z"/>
        <d v="1899-12-30T10:15:00Z"/>
        <d v="1899-12-30T14:10:00Z"/>
        <d v="1899-12-30T19:51:00Z"/>
        <d v="1899-12-30T16:10:00Z"/>
        <d v="1899-12-30T23:47:00Z"/>
        <d v="1899-12-30T15:51:00Z"/>
        <d v="1899-12-30T16:03:00Z"/>
        <d v="1899-12-30T16:39:00Z"/>
        <d v="1899-12-30T12:35:00Z"/>
        <d v="1899-12-30T15:03:00Z"/>
        <d v="1899-12-30T15:40:00Z"/>
        <d v="1899-12-30T13:14:00Z"/>
        <d v="1899-12-30T15:29:00Z"/>
        <d v="1899-12-30T19:42:00Z"/>
        <d v="1899-12-30T22:50:00Z"/>
        <d v="1899-12-30T11:23:00Z"/>
        <d v="1899-12-30T12:20:00Z"/>
        <d v="1899-12-30T10:37:00Z"/>
        <d v="1899-12-30T11:40:00Z"/>
        <d v="1899-12-30T17:12:00Z"/>
        <d v="1899-12-30T18:32:00Z"/>
        <d v="1899-12-30T20:28:00Z"/>
        <d v="1899-12-30T17:14:00Z"/>
        <d v="1899-12-30T18:16:00Z"/>
        <d v="1899-12-30T17:42:00Z"/>
        <d v="1899-12-30T10:42:00Z"/>
        <d v="1899-12-30T11:11:00Z"/>
        <d v="1899-12-30T11:37:00Z"/>
        <d v="1899-12-30T12:14:00Z"/>
        <d v="1899-12-30T13:21:00Z"/>
        <d v="1899-12-30T14:27:00Z"/>
        <d v="1899-12-30T15:49:00Z"/>
        <d v="1899-12-30T18:33:00Z"/>
        <d v="1899-12-30T14:48:00Z"/>
        <d v="1899-12-30T15:15:00Z"/>
        <d v="1899-12-30T15:50:00Z"/>
        <d v="1899-12-30T20:17:00Z"/>
        <d v="1899-12-30T23:18:00Z"/>
        <d v="1899-12-30T10:47:00Z"/>
        <d v="1899-12-30T20:52:00Z"/>
        <d v="1899-12-30T22:31:00Z"/>
        <d v="1899-12-30T19:08:00Z"/>
        <d v="1899-12-30T21:34:00Z"/>
        <d v="1899-12-30T22:00:00Z"/>
        <d v="1899-12-30T00:04:00Z"/>
        <d v="1899-12-30T15:45:00Z"/>
        <d v="1899-12-30T17:02:00Z"/>
        <d v="1899-12-30T21:16:00Z"/>
        <d v="1899-12-30T13:28:00Z"/>
        <d v="1899-12-30T13:52:00Z"/>
        <d v="1899-12-30T08:11:00Z"/>
        <d v="1899-12-30T11:51:00Z"/>
        <d v="1899-12-30T19:15:00Z"/>
        <d v="1899-12-30T21:23:00Z"/>
        <d v="1899-12-30T12:46:00Z"/>
        <d v="1899-12-30T14:59:00Z"/>
        <d v="1899-12-30T18:17:00Z"/>
        <d v="1899-12-30T19:17:00Z"/>
        <d v="1899-12-30T06:40:00Z"/>
        <d v="1899-12-30T17:28:00Z"/>
        <d v="1899-12-30T20:15:00Z"/>
        <d v="1899-12-30T16:17:00Z"/>
        <d v="1899-12-30T21:50:00Z"/>
        <d v="1899-12-30T23:28:00Z"/>
        <d v="1899-12-30T14:20:00Z"/>
        <d v="1899-12-30T16:56:00Z"/>
        <d v="1899-12-30T17:53:00Z"/>
        <d v="1899-12-30T18:37:00Z"/>
        <d v="1899-12-30T20:59:00Z"/>
        <d v="1899-12-30T18:56:00Z"/>
        <d v="1899-12-30T15:20:00Z"/>
        <d v="1899-12-30T07:58:00Z"/>
        <d v="1899-12-30T08:16:00Z"/>
        <d v="1899-12-30T08:46:00Z"/>
        <d v="1899-12-30T10:06:00Z"/>
        <d v="1899-12-30T10:17:00Z"/>
        <d v="1899-12-30T10:57:00Z"/>
        <d v="1899-12-30T14:45:00Z"/>
        <d v="1899-12-30T15:32:00Z"/>
        <d v="1899-12-30T16:54:00Z"/>
        <d v="1899-12-30T17:05:00Z"/>
        <d v="1899-12-30T18:38:00Z"/>
        <d v="1899-12-30T18:40:00Z"/>
        <d v="1899-12-30T08:24:00Z"/>
        <d v="1899-12-30T08:54:00Z"/>
        <d v="1899-12-30T09:27:00Z"/>
        <d v="1899-12-30T12:07:00Z"/>
        <d v="1899-12-30T10:00:00Z"/>
        <d v="1899-12-30T16:30:00Z"/>
        <d v="1899-12-30T18:10:00Z"/>
        <d v="1899-12-30T18:48:00Z"/>
        <d v="1899-12-30T19:58:00Z"/>
        <d v="1899-12-30T20:53:00Z"/>
        <d v="1899-12-30T08:10:00Z"/>
        <d v="1899-12-30T09:35:00Z"/>
        <d v="1899-12-30T13:19:00Z"/>
        <d v="1899-12-30T13:49:00Z"/>
        <d v="1899-12-30T15:07:00Z"/>
        <d v="1899-12-30T12:05:00Z"/>
        <d v="1899-12-30T16:36:00Z"/>
        <d v="1899-12-30T19:25:00Z"/>
        <d v="1899-12-30T22:58:00Z"/>
        <d v="1899-12-30T15:23:00Z"/>
        <d v="1899-12-30T19:31:00Z"/>
        <d v="1899-12-30T12:12:00Z"/>
        <d v="1899-12-30T16:15:00Z"/>
        <d v="1899-12-30T09:57:00Z"/>
        <d v="1899-12-30T21:15:00Z"/>
        <d v="1899-12-30T12:02:00Z"/>
        <d v="1899-12-30T13:38:00Z"/>
        <d v="1899-12-30T16:06:00Z"/>
        <d v="1899-12-30T17:24:00Z"/>
        <d v="1899-12-30T17:21:00Z"/>
        <d v="1899-12-30T10:25:00Z"/>
        <d v="1899-12-30T10:28:00Z"/>
        <d v="1899-12-30T09:51:00Z"/>
        <d v="1899-12-30T21:40:00Z"/>
        <d v="1899-12-30T08:07:00Z"/>
        <d v="1899-12-30T11:15:00Z"/>
        <d v="1899-12-30T11:55:00Z"/>
        <d v="1899-12-30T20:33:00Z"/>
        <d v="1899-12-30T18:07:00Z"/>
        <d v="1899-12-30T06:18:00Z"/>
        <d v="1899-12-30T14:40:00Z"/>
        <d v="1899-12-30T16:23:00Z"/>
        <d v="1899-12-30T17:36:00Z"/>
        <d v="1899-12-30T19:10:00Z"/>
        <d v="1899-12-30T08:33:00Z"/>
        <d v="1899-12-30T19:14:00Z"/>
        <d v="1899-12-30T17:39:00Z"/>
        <d v="1899-12-30T18:51:00Z"/>
        <d v="1899-12-30T22:04:00Z"/>
        <d v="1899-12-30T08:49:00Z"/>
        <d v="1899-12-30T11:27:00Z"/>
        <d v="1899-12-30T14:29:00Z"/>
        <d v="1899-12-30T15:47:00Z"/>
        <d v="1899-12-30T18:15:00Z"/>
        <d v="1899-12-30T14:04:00Z"/>
        <d v="1899-12-30T17:22:00Z"/>
        <d v="1899-12-30T01:27:00Z"/>
        <d v="1899-12-30T19:18:00Z"/>
        <d v="1899-12-30T13:37:00Z"/>
        <d v="1899-12-30T16:08:00Z"/>
        <d v="1899-12-30T08:50:00Z"/>
        <d v="1899-12-30T10:16:00Z"/>
        <d v="1899-12-30T23:54:00Z"/>
        <d v="1899-12-30T22:28:00Z"/>
        <d v="1899-12-30T00:01:00Z"/>
        <d v="1899-12-30T20:30:00Z"/>
        <d v="1899-12-30T18:02:00Z"/>
        <d v="1899-12-30T08:12:00Z"/>
        <d v="1899-12-30T08:53:00Z"/>
        <d v="1899-12-30T18:12:00Z"/>
        <d v="1899-12-30T19:03:00Z"/>
        <d v="1899-12-30T20:31:00Z"/>
        <d v="1899-12-30T09:33:00Z"/>
        <d v="1899-12-30T09:54:00Z"/>
        <d v="1899-12-30T14:02:00Z"/>
        <d v="1899-12-30T15:44:00Z"/>
        <d v="1899-12-30T16:33:00Z"/>
        <d v="1899-12-30T11:26:00Z"/>
        <d v="1899-12-30T00:54:00Z"/>
        <d v="1899-12-30T19:04:00Z"/>
        <d v="1899-12-30T21:10:00Z"/>
        <d v="1899-12-30T14:57:00Z"/>
        <d v="1899-12-30T15:04:00Z"/>
        <d v="1899-12-30T20:54:00Z"/>
        <d v="1899-12-30T22:24:00Z"/>
        <d v="1899-12-30T19:20:00Z"/>
        <d v="1899-12-30T13:06:00Z"/>
        <d v="1899-12-30T15:53:00Z"/>
        <d v="1899-12-30T18:13:00Z"/>
        <d v="1899-12-30T15:22:00Z"/>
        <d v="1899-12-30T17:13:00Z"/>
        <d v="1899-12-30T07:49:00Z"/>
        <d v="1899-12-30T10:11:00Z"/>
        <d v="1899-12-30T12:24:00Z"/>
        <d v="1899-12-30T12:58:00Z"/>
        <d v="1899-12-30T18:26:00Z"/>
        <d v="1899-12-30T18:11:00Z"/>
        <d v="1899-12-30T11:50:00Z"/>
        <d v="1899-12-30T17:35:00Z"/>
        <d v="1899-12-30T19:59:00Z"/>
        <d v="1899-12-30T20:41:00Z"/>
        <d v="1899-12-30T16:46:00Z"/>
        <d v="1899-12-30T11:28:00Z"/>
        <d v="1899-12-30T12:43:00Z"/>
        <d v="1899-12-30T22:46:00Z"/>
        <d v="1899-12-30T10:02:00Z"/>
        <d v="1899-12-30T21:04:00Z"/>
        <d v="1899-12-30T22:12:00Z"/>
        <d v="1899-12-30T12:16:00Z"/>
        <d v="1899-12-30T13:41:00Z"/>
        <d v="1899-12-30T15:58:00Z"/>
        <d v="1899-12-30T18:21:00Z"/>
        <d v="1899-12-30T21:56:00Z"/>
        <d v="1899-12-30T10:20:00Z"/>
        <d v="1899-12-30T15:30:00Z"/>
        <d v="1899-12-30T18:30:00Z"/>
        <d v="1899-12-30T10:32:00Z"/>
        <d v="1899-12-30T13:07:00Z"/>
        <d v="1899-12-30T13:46:00Z"/>
        <d v="1899-12-30T14:22:00Z"/>
        <d v="1899-12-30T15:25:00Z"/>
        <d v="1899-12-30T13:05:00Z"/>
        <d v="1899-12-30T11:24:00Z"/>
        <d v="1899-12-30T13:59:00Z"/>
        <d v="1899-12-30T14:09:00Z"/>
        <d v="1899-12-30T20:21:00Z"/>
        <d v="1899-12-30T22:52:00Z"/>
        <d v="1899-12-30T10:13:00Z"/>
        <d v="1899-12-30T17:41:00Z"/>
        <d v="1899-12-30T11:58:00Z"/>
        <d v="1899-12-30T14:58:00Z"/>
        <d v="1899-12-30T17:45:00Z"/>
        <d v="1899-12-30T15:12:00Z"/>
        <d v="1899-12-30T21:02:00Z"/>
        <d v="1899-12-30T15:54:00Z"/>
        <d v="1899-12-30T17:00:00Z"/>
        <d v="1899-12-30T18:29:00Z"/>
        <d v="1899-12-30T11:03:00Z"/>
        <d v="1899-12-30T07:44:00Z"/>
        <d v="1899-12-30T08:37:00Z"/>
        <d v="1899-12-30T22:59:00Z"/>
        <d v="1899-12-30T20:23:00Z"/>
        <d v="1899-12-30T19:22:00Z"/>
        <d v="1899-12-30T21:13:00Z"/>
        <d v="1899-12-30T14:19:00Z"/>
        <d v="1899-12-30T22:03:00Z"/>
        <d v="1899-12-30T22:09:00Z"/>
        <d v="1899-12-30T19:05:00Z"/>
        <d v="1899-12-30T17:51:00Z"/>
        <d v="1899-12-30T18:19:00Z"/>
        <d v="1899-12-30T20:20:00Z"/>
        <d v="1899-12-30T15:38:00Z"/>
        <d v="1899-12-30T20:35:00Z"/>
        <d v="1899-12-30T09:08:00Z"/>
        <d v="1899-12-30T14:18:00Z"/>
        <d v="1899-12-30T15:09:00Z"/>
        <d v="1899-12-30T16:50:00Z"/>
        <d v="1899-12-30T19:55:00Z"/>
        <d v="1899-12-30T10:30:00Z"/>
        <d v="1899-12-30T16:14:00Z"/>
        <d v="1899-12-30T07:42:00Z"/>
        <d v="1899-12-30T10:14:00Z"/>
        <d v="1899-12-30T15:55:00Z"/>
        <d v="1899-12-30T19:49:00Z"/>
        <d v="1899-12-30T20:56:00Z"/>
        <d v="1899-12-30T17:04:00Z"/>
        <d v="1899-12-30T17:56:00Z"/>
        <d v="1899-12-30T23:27:00Z"/>
        <d v="1899-12-30T11:33:00Z"/>
        <d v="1899-12-30T14:15:00Z"/>
        <d v="1899-12-30T07:43:00Z"/>
        <d v="1899-12-30T09:19:00Z"/>
        <d v="1899-12-30T10:34:00Z"/>
        <d v="1899-12-30T00:10:00Z"/>
        <d v="1899-12-30T08:30:00Z"/>
        <d v="1899-12-30T13:09:00Z"/>
        <d v="1899-12-30T07:02:00Z"/>
        <d v="1899-12-30T19:19:00Z"/>
        <d v="1899-12-30T13:53:00Z"/>
        <d v="1899-12-30T00:49:00Z"/>
        <d v="1899-12-30T09:44:00Z"/>
        <d v="1899-12-30T12:25:00Z"/>
        <d v="1899-12-30T13:17:00Z"/>
        <d v="1899-12-30T15:05:00Z"/>
        <d v="1899-12-30T19:50:00Z"/>
        <d v="1899-12-30T23:14:00Z"/>
        <d v="1899-12-30T11:31:00Z"/>
        <d v="1899-12-30T15:41:00Z"/>
        <d v="1899-12-30T23:06:00Z"/>
        <d v="1899-12-30T01:07:00Z"/>
        <d v="1899-12-30T21:32:00Z"/>
        <d v="1899-12-30T22:08:00Z"/>
      </sharedItems>
    </cacheField>
    <cacheField name="END_TIME" numFmtId="165">
      <sharedItems containsSemiMixedTypes="0" containsDate="1" containsString="0">
        <d v="1899-12-30T21:17:00Z"/>
        <d v="1899-12-30T01:37:00Z"/>
        <d v="1899-12-30T20:38:00Z"/>
        <d v="1899-12-30T17:45:00Z"/>
        <d v="1899-12-30T15:49:00Z"/>
        <d v="1899-12-30T17:19:00Z"/>
        <d v="1899-12-30T17:35:00Z"/>
        <d v="1899-12-30T13:33:00Z"/>
        <d v="1899-12-30T08:25:00Z"/>
        <d v="1899-12-30T12:44:00Z"/>
        <d v="1899-12-30T15:51:00Z"/>
        <d v="1899-12-30T18:53:00Z"/>
        <d v="1899-12-30T19:32:00Z"/>
        <d v="1899-12-30T09:21:00Z"/>
        <d v="1899-12-30T12:03:00Z"/>
        <d v="1899-12-30T13:46:00Z"/>
        <d v="1899-12-30T14:43:00Z"/>
        <d v="1899-12-30T12:49:00Z"/>
        <d v="1899-12-30T13:09:00Z"/>
        <d v="1899-12-30T14:56:00Z"/>
        <d v="1899-12-30T15:28:00Z"/>
        <d v="1899-12-30T15:54:00Z"/>
        <d v="1899-12-30T17:00:00Z"/>
        <d v="1899-12-30T14:07:00Z"/>
        <d v="1899-12-30T17:05:00Z"/>
        <d v="1899-12-30T21:45:00Z"/>
        <d v="1899-12-30T01:01:00Z"/>
        <d v="1899-12-30T13:44:00Z"/>
        <d v="1899-12-30T15:06:00Z"/>
        <d v="1899-12-30T16:24:00Z"/>
        <d v="1899-12-30T09:23:00Z"/>
        <d v="1899-12-30T11:09:00Z"/>
        <d v="1899-12-30T11:11:00Z"/>
        <d v="1899-12-30T12:19:00Z"/>
        <d v="1899-12-30T14:19:00Z"/>
        <d v="1899-12-30T14:29:00Z"/>
        <d v="1899-12-30T14:51:00Z"/>
        <d v="1899-12-30T16:06:00Z"/>
        <d v="1899-12-30T10:50:00Z"/>
        <d v="1899-12-30T12:41:00Z"/>
        <d v="1899-12-30T16:32:00Z"/>
        <d v="1899-12-30T17:22:00Z"/>
        <d v="1899-12-30T17:29:00Z"/>
        <d v="1899-12-30T09:31:00Z"/>
        <d v="1899-12-30T10:48:00Z"/>
        <d v="1899-12-30T14:13:00Z"/>
        <d v="1899-12-30T15:08:00Z"/>
        <d v="1899-12-30T13:00:00Z"/>
        <d v="1899-12-30T15:31:00Z"/>
        <d v="1899-12-30T16:51:00Z"/>
        <d v="1899-12-30T09:45:00Z"/>
        <d v="1899-12-30T11:07:00Z"/>
        <d v="1899-12-30T13:47:00Z"/>
        <d v="1899-12-30T18:52:00Z"/>
        <d v="1899-12-30T21:40:00Z"/>
        <d v="1899-12-30T16:33:00Z"/>
        <d v="1899-12-30T18:24:00Z"/>
        <d v="1899-12-30T11:15:00Z"/>
        <d v="1899-12-30T12:43:00Z"/>
        <d v="1899-12-30T13:07:00Z"/>
        <d v="1899-12-30T13:23:00Z"/>
        <d v="1899-12-30T14:06:00Z"/>
        <d v="1899-12-30T14:42:00Z"/>
        <d v="1899-12-30T09:01:00Z"/>
        <d v="1899-12-30T10:09:00Z"/>
        <d v="1899-12-30T10:32:00Z"/>
        <d v="1899-12-30T16:03:00Z"/>
        <d v="1899-12-30T16:39:00Z"/>
        <d v="1899-12-30T18:31:00Z"/>
        <d v="1899-12-30T20:55:00Z"/>
        <d v="1899-12-30T12:07:00Z"/>
        <d v="1899-12-30T13:41:00Z"/>
        <d v="1899-12-30T16:53:00Z"/>
        <d v="1899-12-30T19:21:00Z"/>
        <d v="1899-12-30T19:37:00Z"/>
        <d v="1899-12-30T17:01:00Z"/>
        <d v="1899-12-30T18:17:00Z"/>
        <d v="1899-12-30T20:40:00Z"/>
        <d v="1899-12-30T13:08:00Z"/>
        <d v="1899-12-30T14:10:00Z"/>
        <d v="1899-12-30T11:50:00Z"/>
        <d v="1899-12-30T13:52:00Z"/>
        <d v="1899-12-30T14:02:00Z"/>
        <d v="1899-12-30T19:11:00Z"/>
        <d v="1899-12-30T17:10:00Z"/>
        <d v="1899-12-30T18:10:00Z"/>
        <d v="1899-12-30T18:46:00Z"/>
        <d v="1899-12-30T20:51:00Z"/>
        <d v="1899-12-30T08:42:00Z"/>
        <d v="1899-12-30T10:52:00Z"/>
        <d v="1899-12-30T11:35:00Z"/>
        <d v="1899-12-30T13:36:00Z"/>
        <d v="1899-12-30T14:41:00Z"/>
        <d v="1899-12-30T00:01:00Z"/>
        <d v="1899-12-30T01:00:00Z"/>
        <d v="1899-12-30T14:40:00Z"/>
        <d v="1899-12-30T15:03:00Z"/>
        <d v="1899-12-30T17:02:00Z"/>
        <d v="1899-12-30T04:13:00Z"/>
        <d v="1899-12-30T09:34:00Z"/>
        <d v="1899-12-30T10:41:00Z"/>
        <d v="1899-12-30T12:02:00Z"/>
        <d v="1899-12-30T12:42:00Z"/>
        <d v="1899-12-30T13:55:00Z"/>
        <d v="1899-12-30T17:26:00Z"/>
        <d v="1899-12-30T17:44:00Z"/>
        <d v="1899-12-30T14:04:00Z"/>
        <d v="1899-12-30T15:22:00Z"/>
        <d v="1899-12-30T16:17:00Z"/>
        <d v="1899-12-30T16:43:00Z"/>
        <d v="1899-12-30T08:27:00Z"/>
        <d v="1899-12-30T14:45:00Z"/>
        <d v="1899-12-30T18:58:00Z"/>
        <d v="1899-12-30T20:08:00Z"/>
        <d v="1899-12-30T09:14:00Z"/>
        <d v="1899-12-30T09:51:00Z"/>
        <d v="1899-12-30T11:26:00Z"/>
        <d v="1899-12-30T12:27:00Z"/>
        <d v="1899-12-30T16:45:00Z"/>
        <d v="1899-12-30T17:20:00Z"/>
        <d v="1899-12-30T20:30:00Z"/>
        <d v="1899-12-30T08:32:00Z"/>
        <d v="1899-12-30T10:56:00Z"/>
        <d v="1899-12-30T11:53:00Z"/>
        <d v="1899-12-30T13:17:00Z"/>
        <d v="1899-12-30T17:54:00Z"/>
        <d v="1899-12-30T18:03:00Z"/>
        <d v="1899-12-30T19:49:00Z"/>
        <d v="1899-12-30T09:46:00Z"/>
        <d v="1899-12-30T11:43:00Z"/>
        <d v="1899-12-30T12:01:00Z"/>
        <d v="1899-12-30T12:35:00Z"/>
        <d v="1899-12-30T13:12:00Z"/>
        <d v="1899-12-30T14:30:00Z"/>
        <d v="1899-12-30T15:41:00Z"/>
        <d v="1899-12-30T23:52:00Z"/>
        <d v="1899-12-30T22:09:00Z"/>
        <d v="1899-12-30T14:35:00Z"/>
        <d v="1899-12-30T15:25:00Z"/>
        <d v="1899-12-30T16:35:00Z"/>
        <d v="1899-12-30T17:36:00Z"/>
        <d v="1899-12-30T18:39:00Z"/>
        <d v="1899-12-30T09:29:00Z"/>
        <d v="1899-12-30T11:59:00Z"/>
        <d v="1899-12-30T13:24:00Z"/>
        <d v="1899-12-30T14:46:00Z"/>
        <d v="1899-12-30T15:18:00Z"/>
        <d v="1899-12-30T17:12:00Z"/>
        <d v="1899-12-30T05:38:00Z"/>
        <d v="1899-12-30T09:42:00Z"/>
        <d v="1899-12-30T11:14:00Z"/>
        <d v="1899-12-30T11:40:00Z"/>
        <d v="1899-12-30T12:48:00Z"/>
        <d v="1899-12-30T19:10:00Z"/>
        <d v="1899-12-30T09:52:00Z"/>
        <d v="1899-12-30T11:10:00Z"/>
        <d v="1899-12-30T14:58:00Z"/>
        <d v="1899-12-30T15:48:00Z"/>
        <d v="1899-12-30T16:42:00Z"/>
        <d v="1899-12-30T08:06:00Z"/>
        <d v="1899-12-30T10:03:00Z"/>
        <d v="1899-12-30T12:06:00Z"/>
        <d v="1899-12-30T13:25:00Z"/>
        <d v="1899-12-30T14:09:00Z"/>
        <d v="1899-12-30T16:08:00Z"/>
        <d v="1899-12-30T16:22:00Z"/>
        <d v="1899-12-30T19:08:00Z"/>
        <d v="1899-12-30T19:25:00Z"/>
        <d v="1899-12-30T14:18:00Z"/>
        <d v="1899-12-30T15:01:00Z"/>
        <d v="1899-12-30T17:13:00Z"/>
        <d v="1899-12-30T17:34:00Z"/>
        <d v="1899-12-30T09:20:00Z"/>
        <d v="1899-12-30T09:47:00Z"/>
        <d v="1899-12-30T12:26:00Z"/>
        <d v="1899-12-30T15:45:00Z"/>
        <d v="1899-12-30T14:55:00Z"/>
        <d v="1899-12-30T16:00:00Z"/>
        <d v="1899-12-30T16:25:00Z"/>
        <d v="1899-12-30T03:53:00Z"/>
        <d v="1899-12-30T10:37:00Z"/>
        <d v="1899-12-30T16:28:00Z"/>
        <d v="1899-12-30T09:59:00Z"/>
        <d v="1899-12-30T10:36:00Z"/>
        <d v="1899-12-30T12:04:00Z"/>
        <d v="1899-12-30T13:51:00Z"/>
        <d v="1899-12-30T19:35:00Z"/>
        <d v="1899-12-30T09:22:00Z"/>
        <d v="1899-12-30T18:37:00Z"/>
        <d v="1899-12-30T09:37:00Z"/>
        <d v="1899-12-30T18:43:00Z"/>
        <d v="1899-12-30T20:28:00Z"/>
        <d v="1899-12-30T20:58:00Z"/>
        <d v="1899-12-30T21:23:00Z"/>
        <d v="1899-12-30T22:39:00Z"/>
        <d v="1899-12-30T08:49:00Z"/>
        <d v="1899-12-30T18:55:00Z"/>
        <d v="1899-12-30T08:57:00Z"/>
        <d v="1899-12-30T21:01:00Z"/>
        <d v="1899-12-30T11:45:00Z"/>
        <d v="1899-12-30T18:56:00Z"/>
        <d v="1899-12-30T00:44:00Z"/>
        <d v="1899-12-30T15:11:00Z"/>
        <d v="1899-12-30T15:58:00Z"/>
        <d v="1899-12-30T18:02:00Z"/>
        <d v="1899-12-30T19:09:00Z"/>
        <d v="1899-12-30T21:28:00Z"/>
        <d v="1899-12-30T22:04:00Z"/>
        <d v="1899-12-30T07:21:00Z"/>
        <d v="1899-12-30T08:43:00Z"/>
        <d v="1899-12-30T19:29:00Z"/>
        <d v="1899-12-30T21:15:00Z"/>
        <d v="1899-12-30T09:25:00Z"/>
        <d v="1899-12-30T13:13:00Z"/>
        <d v="1899-12-30T14:57:00Z"/>
        <d v="1899-12-30T16:38:00Z"/>
        <d v="1899-12-30T17:32:00Z"/>
        <d v="1899-12-30T17:47:00Z"/>
        <d v="1899-12-30T18:00:00Z"/>
        <d v="1899-12-30T20:39:00Z"/>
        <d v="1899-12-30T07:48:00Z"/>
        <d v="1899-12-30T11:56:00Z"/>
        <d v="1899-12-30T18:40:00Z"/>
        <d v="1899-12-30T19:06:00Z"/>
        <d v="1899-12-30T10:26:00Z"/>
        <d v="1899-12-30T16:13:00Z"/>
        <d v="1899-12-30T19:15:00Z"/>
        <d v="1899-12-30T06:43:00Z"/>
        <d v="1899-12-30T12:24:00Z"/>
        <d v="1899-12-30T14:59:00Z"/>
        <d v="1899-12-30T19:54:00Z"/>
        <d v="1899-12-30T22:22:00Z"/>
        <d v="1899-12-30T01:39:00Z"/>
        <d v="1899-12-30T16:30:00Z"/>
        <d v="1899-12-30T00:40:00Z"/>
        <d v="1899-12-30T01:23:00Z"/>
        <d v="1899-12-30T15:56:00Z"/>
        <d v="1899-12-30T21:41:00Z"/>
        <d v="1899-12-30T23:18:00Z"/>
        <d v="1899-12-30T20:23:00Z"/>
        <d v="1899-12-30T23:26:00Z"/>
        <d v="1899-12-30T16:11:00Z"/>
        <d v="1899-12-30T20:44:00Z"/>
        <d v="1899-12-30T23:21:00Z"/>
        <d v="1899-12-30T22:55:00Z"/>
        <d v="1899-12-30T13:22:00Z"/>
        <d v="1899-12-30T15:09:00Z"/>
        <d v="1899-12-30T14:01:00Z"/>
        <d v="1899-12-30T15:24:00Z"/>
        <d v="1899-12-30T16:49:00Z"/>
        <d v="1899-12-30T16:57:00Z"/>
        <d v="1899-12-30T09:04:00Z"/>
        <d v="1899-12-30T11:16:00Z"/>
        <d v="1899-12-30T14:47:00Z"/>
        <d v="1899-12-30T18:09:00Z"/>
        <d v="1899-12-30T22:36:00Z"/>
        <d v="1899-12-30T01:34:00Z"/>
        <d v="1899-12-30T04:16:00Z"/>
        <d v="1899-12-30T21:55:00Z"/>
        <d v="1899-12-30T00:39:00Z"/>
        <d v="1899-12-30T20:00:00Z"/>
        <d v="1899-12-30T14:03:00Z"/>
        <d v="1899-12-30T15:20:00Z"/>
        <d v="1899-12-30T16:47:00Z"/>
        <d v="1899-12-30T09:26:00Z"/>
        <d v="1899-12-30T09:53:00Z"/>
        <d v="1899-12-30T11:18:00Z"/>
        <d v="1899-12-30T08:09:00Z"/>
        <d v="1899-12-30T12:32:00Z"/>
        <d v="1899-12-30T15:26:00Z"/>
        <d v="1899-12-30T18:08:00Z"/>
        <d v="1899-12-30T20:19:00Z"/>
        <d v="1899-12-30T10:40:00Z"/>
        <d v="1899-12-30T12:28:00Z"/>
        <d v="1899-12-30T13:26:00Z"/>
        <d v="1899-12-30T17:16:00Z"/>
        <d v="1899-12-30T19:05:00Z"/>
        <d v="1899-12-30T19:16:00Z"/>
        <d v="1899-12-30T19:52:00Z"/>
        <d v="1899-12-30T21:50:00Z"/>
        <d v="1899-12-30T13:40:00Z"/>
        <d v="1899-12-30T14:25:00Z"/>
        <d v="1899-12-30T12:34:00Z"/>
        <d v="1899-12-30T13:49:00Z"/>
        <d v="1899-12-30T22:28:00Z"/>
        <d v="1899-12-30T13:34:00Z"/>
        <d v="1899-12-30T19:18:00Z"/>
        <d v="1899-12-30T23:19:00Z"/>
        <d v="1899-12-30T18:57:00Z"/>
        <d v="1899-12-30T22:34:00Z"/>
        <d v="1899-12-30T13:53:00Z"/>
        <d v="1899-12-30T14:31:00Z"/>
        <d v="1899-12-30T22:49:00Z"/>
        <d v="1899-12-30T14:21:00Z"/>
        <d v="1899-12-30T15:37:00Z"/>
        <d v="1899-12-30T21:14:00Z"/>
        <d v="1899-12-30T21:36:00Z"/>
        <d v="1899-12-30T22:27:00Z"/>
        <d v="1899-12-30T22:40:00Z"/>
        <d v="1899-12-30T00:08:00Z"/>
        <d v="1899-12-30T06:02:00Z"/>
        <d v="1899-12-30T16:59:00Z"/>
        <d v="1899-12-30T06:25:00Z"/>
        <d v="1899-12-30T18:26:00Z"/>
        <d v="1899-12-30T19:59:00Z"/>
        <d v="1899-12-30T17:31:00Z"/>
        <d v="1899-12-30T09:12:00Z"/>
        <d v="1899-12-30T23:05:00Z"/>
        <d v="1899-12-30T14:08:00Z"/>
        <d v="1899-12-30T09:41:00Z"/>
        <d v="1899-12-30T13:02:00Z"/>
        <d v="1899-12-30T16:12:00Z"/>
        <d v="1899-12-30T15:46:00Z"/>
        <d v="1899-12-30T20:27:00Z"/>
        <d v="1899-12-30T21:21:00Z"/>
        <d v="1899-12-30T20:53:00Z"/>
        <d v="1899-12-30T22:14:00Z"/>
        <d v="1899-12-30T00:21:00Z"/>
        <d v="1899-12-30T13:06:00Z"/>
        <d v="1899-12-30T15:04:00Z"/>
        <d v="1899-12-30T17:59:00Z"/>
        <d v="1899-12-30T10:47:00Z"/>
        <d v="1899-12-30T13:39:00Z"/>
        <d v="1899-12-30T11:49:00Z"/>
        <d v="1899-12-30T13:38:00Z"/>
        <d v="1899-12-30T18:29:00Z"/>
        <d v="1899-12-30T19:42:00Z"/>
        <d v="1899-12-30T23:06:00Z"/>
        <d v="1899-12-30T14:33:00Z"/>
        <d v="1899-12-30T18:14:00Z"/>
        <d v="1899-12-30T22:05:00Z"/>
        <d v="1899-12-30T20:20:00Z"/>
        <d v="1899-12-30T21:37:00Z"/>
        <d v="1899-12-30T22:00:00Z"/>
        <d v="1899-12-30T23:48:00Z"/>
        <d v="1899-12-30T00:04:00Z"/>
        <d v="1899-12-30T08:53:00Z"/>
        <d v="1899-12-30T13:01:00Z"/>
        <d v="1899-12-30T13:29:00Z"/>
        <d v="1899-12-30T14:37:00Z"/>
        <d v="1899-12-30T17:11:00Z"/>
        <d v="1899-12-30T17:18:00Z"/>
        <d v="1899-12-30T18:05:00Z"/>
        <d v="1899-12-30T20:25:00Z"/>
        <d v="1899-12-30T17:39:00Z"/>
        <d v="1899-12-30T17:56:00Z"/>
        <d v="1899-12-30T00:05:00Z"/>
        <d v="1899-12-30T19:56:00Z"/>
        <d v="1899-12-30T20:16:00Z"/>
        <d v="1899-12-30T22:19:00Z"/>
        <d v="1899-12-30T05:42:00Z"/>
        <d v="1899-12-30T18:47:00Z"/>
        <d v="1899-12-30T19:23:00Z"/>
        <d v="1899-12-30T20:05:00Z"/>
        <d v="1899-12-30T12:21:00Z"/>
        <d v="1899-12-30T17:24:00Z"/>
        <d v="1899-12-30T17:57:00Z"/>
        <d v="1899-12-30T02:06:00Z"/>
        <d v="1899-12-30T15:34:00Z"/>
        <d v="1899-12-30T17:49:00Z"/>
        <d v="1899-12-30T19:58:00Z"/>
        <d v="1899-12-30T21:56:00Z"/>
        <d v="1899-12-30T16:44:00Z"/>
        <d v="1899-12-30T00:51:00Z"/>
        <d v="1899-12-30T02:50:00Z"/>
        <d v="1899-12-30T06:00:00Z"/>
        <d v="1899-12-30T10:57:00Z"/>
        <d v="1899-12-30T12:37:00Z"/>
        <d v="1899-12-30T13:27:00Z"/>
        <d v="1899-12-30T14:20:00Z"/>
        <d v="1899-12-30T21:02:00Z"/>
        <d v="1899-12-30T10:08:00Z"/>
        <d v="1899-12-30T10:25:00Z"/>
        <d v="1899-12-30T11:34:00Z"/>
        <d v="1899-12-30T13:21:00Z"/>
        <d v="1899-12-30T18:18:00Z"/>
        <d v="1899-12-30T19:12:00Z"/>
        <d v="1899-12-30T19:50:00Z"/>
        <d v="1899-12-30T21:42:00Z"/>
        <d v="1899-12-30T08:48:00Z"/>
        <d v="1899-12-30T09:00:00Z"/>
        <d v="1899-12-30T09:33:00Z"/>
        <d v="1899-12-30T10:39:00Z"/>
        <d v="1899-12-30T10:58:00Z"/>
        <d v="1899-12-30T11:24:00Z"/>
        <d v="1899-12-30T11:42:00Z"/>
        <d v="1899-12-30T14:05:00Z"/>
        <d v="1899-12-30T21:19:00Z"/>
        <d v="1899-12-30T01:05:00Z"/>
        <d v="1899-12-30T20:33:00Z"/>
        <d v="1899-12-30T23:59:00Z"/>
        <d v="1899-12-30T09:24:00Z"/>
        <d v="1899-12-30T10:38:00Z"/>
        <d v="1899-12-30T11:51:00Z"/>
        <d v="1899-12-30T12:16:00Z"/>
        <d v="1899-12-30T20:29:00Z"/>
        <d v="1899-12-30T00:00:00Z"/>
        <d v="1899-12-30T20:26:00Z"/>
        <d v="1899-12-30T00:25:00Z"/>
        <d v="1899-12-30T09:57:00Z"/>
        <d v="1899-12-30T20:24:00Z"/>
        <d v="1899-12-30T00:09:00Z"/>
        <d v="1899-12-30T20:36:00Z"/>
        <d v="1899-12-30T00:12:00Z"/>
        <d v="1899-12-30T00:38:00Z"/>
        <d v="1899-12-30T03:08:00Z"/>
        <d v="1899-12-30T20:18:00Z"/>
        <d v="1899-12-30T00:47:00Z"/>
        <d v="1899-12-30T18:49:00Z"/>
        <d v="1899-12-30T20:17:00Z"/>
        <d v="1899-12-30T00:28:00Z"/>
        <d v="1899-12-30T16:52:00Z"/>
        <d v="1899-12-30T23:02:00Z"/>
        <d v="1899-12-30T00:53:00Z"/>
        <d v="1899-12-30T20:14:00Z"/>
        <d v="1899-12-30T08:50:00Z"/>
        <d v="1899-12-30T10:33:00Z"/>
        <d v="1899-12-30T13:35:00Z"/>
        <d v="1899-12-30T10:13:00Z"/>
        <d v="1899-12-30T11:12:00Z"/>
        <d v="1899-12-30T14:11:00Z"/>
        <d v="1899-12-30T17:30:00Z"/>
        <d v="1899-12-30T10:06:00Z"/>
        <d v="1899-12-30T14:17:00Z"/>
        <d v="1899-12-30T16:15:00Z"/>
        <d v="1899-12-30T18:21:00Z"/>
        <d v="1899-12-30T19:26:00Z"/>
        <d v="1899-12-30T00:11:00Z"/>
        <d v="1899-12-30T13:20:00Z"/>
        <d v="1899-12-30T13:54:00Z"/>
        <d v="1899-12-30T15:59:00Z"/>
        <d v="1899-12-30T16:34:00Z"/>
        <d v="1899-12-30T13:15:00Z"/>
        <d v="1899-12-30T15:33:00Z"/>
        <d v="1899-12-30T15:52:00Z"/>
        <d v="1899-12-30T20:35:00Z"/>
        <d v="1899-12-30T22:18:00Z"/>
        <d v="1899-12-30T23:03:00Z"/>
        <d v="1899-12-30T10:49:00Z"/>
        <d v="1899-12-30T11:36:00Z"/>
        <d v="1899-12-30T17:33:00Z"/>
        <d v="1899-12-30T19:14:00Z"/>
        <d v="1899-12-30T20:32:00Z"/>
        <d v="1899-12-30T10:51:00Z"/>
        <d v="1899-12-30T12:00:00Z"/>
        <d v="1899-12-30T18:20:00Z"/>
        <d v="1899-12-30T17:23:00Z"/>
        <d v="1899-12-30T17:51:00Z"/>
        <d v="1899-12-30T18:42:00Z"/>
        <d v="1899-12-30T19:39:00Z"/>
        <d v="1899-12-30T10:53:00Z"/>
        <d v="1899-12-30T11:25:00Z"/>
        <d v="1899-12-30T12:31:00Z"/>
        <d v="1899-12-30T13:42:00Z"/>
        <d v="1899-12-30T18:51:00Z"/>
        <d v="1899-12-30T14:44:00Z"/>
        <d v="1899-12-30T15:12:00Z"/>
        <d v="1899-12-30T15:27:00Z"/>
        <d v="1899-12-30T16:10:00Z"/>
        <d v="1899-12-30T23:43:00Z"/>
        <d v="1899-12-30T11:33:00Z"/>
        <d v="1899-12-30T11:44:00Z"/>
        <d v="1899-12-30T21:00:00Z"/>
        <d v="1899-12-30T19:20:00Z"/>
        <d v="1899-12-30T21:57:00Z"/>
        <d v="1899-12-30T22:26:00Z"/>
        <d v="1899-12-30T15:47:00Z"/>
        <d v="1899-12-30T17:27:00Z"/>
        <d v="1899-12-30T17:37:00Z"/>
        <d v="1899-12-30T13:04:00Z"/>
        <d v="1899-12-30T13:19:00Z"/>
        <d v="1899-12-30T14:14:00Z"/>
        <d v="1899-12-30T17:55:00Z"/>
        <d v="1899-12-30T12:15:00Z"/>
        <d v="1899-12-30T21:29:00Z"/>
        <d v="1899-12-30T16:04:00Z"/>
        <d v="1899-12-30T19:27:00Z"/>
        <d v="1899-12-30T06:58:00Z"/>
        <d v="1899-12-30T17:43:00Z"/>
        <d v="1899-12-30T18:23:00Z"/>
        <d v="1899-12-30T16:31:00Z"/>
        <d v="1899-12-30T16:50:00Z"/>
        <d v="1899-12-30T22:15:00Z"/>
        <d v="1899-12-30T23:37:00Z"/>
        <d v="1899-12-30T14:38:00Z"/>
        <d v="1899-12-30T15:36:00Z"/>
        <d v="1899-12-30T16:37:00Z"/>
        <d v="1899-12-30T18:28:00Z"/>
        <d v="1899-12-30T18:50:00Z"/>
        <d v="1899-12-30T20:02:00Z"/>
        <d v="1899-12-30T13:28:00Z"/>
        <d v="1899-12-30T21:44:00Z"/>
        <d v="1899-12-30T08:11:00Z"/>
        <d v="1899-12-30T08:23:00Z"/>
        <d v="1899-12-30T10:27:00Z"/>
        <d v="1899-12-30T11:20:00Z"/>
        <d v="1899-12-30T14:50:00Z"/>
        <d v="1899-12-30T19:07:00Z"/>
        <d v="1899-12-30T08:45:00Z"/>
        <d v="1899-12-30T09:07:00Z"/>
        <d v="1899-12-30T11:06:00Z"/>
        <d v="1899-12-30T17:52:00Z"/>
        <d v="1899-12-30T10:29:00Z"/>
        <d v="1899-12-30T14:34:00Z"/>
        <d v="1899-12-30T19:24:00Z"/>
        <d v="1899-12-30T10:44:00Z"/>
        <d v="1899-12-30T11:23:00Z"/>
        <d v="1899-12-30T13:11:00Z"/>
        <d v="1899-12-30T20:50:00Z"/>
        <d v="1899-12-30T21:31:00Z"/>
        <d v="1899-12-30T23:00:00Z"/>
        <d v="1899-12-30T13:30:00Z"/>
        <d v="1899-12-30T12:56:00Z"/>
        <d v="1899-12-30T16:56:00Z"/>
        <d v="1899-12-30T19:57:00Z"/>
        <d v="1899-12-30T23:16:00Z"/>
        <d v="1899-12-30T12:20:00Z"/>
        <d v="1899-12-30T15:35:00Z"/>
        <d v="1899-12-30T10:11:00Z"/>
        <d v="1899-12-30T12:17:00Z"/>
        <d v="1899-12-30T15:44:00Z"/>
        <d v="1899-12-30T19:13:00Z"/>
        <d v="1899-12-30T10:18:00Z"/>
        <d v="1899-12-30T16:55:00Z"/>
        <d v="1899-12-30T21:59:00Z"/>
        <d v="1899-12-30T13:48:00Z"/>
        <d v="1899-12-30T16:21:00Z"/>
        <d v="1899-12-30T17:41:00Z"/>
        <d v="1899-12-30T18:36:00Z"/>
        <d v="1899-12-30T12:05:00Z"/>
        <d v="1899-12-30T10:45:00Z"/>
        <d v="1899-12-30T09:55:00Z"/>
        <d v="1899-12-30T08:12:00Z"/>
        <d v="1899-12-30T18:11:00Z"/>
        <d v="1899-12-30T06:49:00Z"/>
        <d v="1899-12-30T11:48:00Z"/>
        <d v="1899-12-30T22:47:00Z"/>
        <d v="1899-12-30T15:15:00Z"/>
        <d v="1899-12-30T08:35:00Z"/>
        <d v="1899-12-30T20:34:00Z"/>
        <d v="1899-12-30T02:37:00Z"/>
        <d v="1899-12-30T19:36:00Z"/>
        <d v="1899-12-30T18:34:00Z"/>
        <d v="1899-12-30T19:01:00Z"/>
        <d v="1899-12-30T22:33:00Z"/>
        <d v="1899-12-30T12:18:00Z"/>
        <d v="1899-12-30T17:40:00Z"/>
        <d v="1899-12-30T10:59:00Z"/>
        <d v="1899-12-30T16:02:00Z"/>
        <d v="1899-12-30T18:27:00Z"/>
        <d v="1899-12-30T14:23:00Z"/>
        <d v="1899-12-30T17:28:00Z"/>
        <d v="1899-12-30T18:13:00Z"/>
        <d v="1899-12-30T02:08:00Z"/>
        <d v="1899-12-30T11:58:00Z"/>
        <d v="1899-12-30T12:14:00Z"/>
        <d v="1899-12-30T09:44:00Z"/>
        <d v="1899-12-30T16:20:00Z"/>
        <d v="1899-12-30T22:48:00Z"/>
        <d v="1899-12-30T00:14:00Z"/>
        <d v="1899-12-30T15:19:00Z"/>
        <d v="1899-12-30T19:33:00Z"/>
        <d v="1899-12-30T15:57:00Z"/>
        <d v="1899-12-30T18:16:00Z"/>
        <d v="1899-12-30T18:45:00Z"/>
        <d v="1899-12-30T08:22:00Z"/>
        <d v="1899-12-30T09:02:00Z"/>
        <d v="1899-12-30T18:33:00Z"/>
        <d v="1899-12-30T20:37:00Z"/>
        <d v="1899-12-30T10:21:00Z"/>
        <d v="1899-12-30T13:56:00Z"/>
        <d v="1899-12-30T16:19:00Z"/>
        <d v="1899-12-30T01:09:00Z"/>
        <d v="1899-12-30T10:05:00Z"/>
        <d v="1899-12-30T12:59:00Z"/>
        <d v="1899-12-30T21:25:00Z"/>
        <d v="1899-12-30T16:41:00Z"/>
        <d v="1899-12-30T20:11:00Z"/>
        <d v="1899-12-30T21:03:00Z"/>
        <d v="1899-12-30T22:45:00Z"/>
        <d v="1899-12-30T19:31:00Z"/>
        <d v="1899-12-30T20:21:00Z"/>
        <d v="1899-12-30T20:54:00Z"/>
        <d v="1899-12-30T21:48:00Z"/>
        <d v="1899-12-30T11:52:00Z"/>
        <d v="1899-12-30T20:07:00Z"/>
        <d v="1899-12-30T19:19:00Z"/>
        <d v="1899-12-30T08:30:00Z"/>
        <d v="1899-12-30T11:21:00Z"/>
        <d v="1899-12-30T13:18:00Z"/>
        <d v="1899-12-30T22:10:00Z"/>
        <d v="1899-12-30T17:42:00Z"/>
        <d v="1899-12-30T20:12:00Z"/>
        <d v="1899-12-30T14:26:00Z"/>
        <d v="1899-12-30T22:58:00Z"/>
        <d v="1899-12-30T21:20:00Z"/>
        <d v="1899-12-30T22:25:00Z"/>
        <d v="1899-12-30T19:28:00Z"/>
        <d v="1899-12-30T11:04:00Z"/>
        <d v="1899-12-30T12:57:00Z"/>
        <d v="1899-12-30T18:35:00Z"/>
        <d v="1899-12-30T19:17:00Z"/>
        <d v="1899-12-30T22:02:00Z"/>
        <d v="1899-12-30T10:15:00Z"/>
        <d v="1899-12-30T10:31:00Z"/>
        <d v="1899-12-30T15:07:00Z"/>
        <d v="1899-12-30T15:53:00Z"/>
        <d v="1899-12-30T10:23:00Z"/>
        <d v="1899-12-30T14:32:00Z"/>
        <d v="1899-12-30T21:18:00Z"/>
        <d v="1899-12-30T13:50:00Z"/>
        <d v="1899-12-30T14:53:00Z"/>
        <d v="1899-12-30T15:21:00Z"/>
        <d v="1899-12-30T12:51:00Z"/>
        <d v="1899-12-30T12:13:00Z"/>
        <d v="1899-12-30T21:34:00Z"/>
        <d v="1899-12-30T22:21:00Z"/>
        <d v="1899-12-30T21:35:00Z"/>
        <d v="1899-12-30T11:32:00Z"/>
        <d v="1899-12-30T18:04:00Z"/>
        <d v="1899-12-30T15:50:00Z"/>
        <d v="1899-12-30T16:29:00Z"/>
        <d v="1899-12-30T13:31:00Z"/>
        <d v="1899-12-30T19:04:00Z"/>
        <d v="1899-12-30T12:53:00Z"/>
        <d v="1899-12-30T07:59:00Z"/>
        <d v="1899-12-30T18:12:00Z"/>
        <d v="1899-12-30T20:46:00Z"/>
        <d v="1899-12-30T12:23:00Z"/>
        <d v="1899-12-30T20:48:00Z"/>
        <d v="1899-12-30T23:07:00Z"/>
        <d v="1899-12-30T20:41:00Z"/>
        <d v="1899-12-30T19:03:00Z"/>
        <d v="1899-12-30T12:46:00Z"/>
        <d v="1899-12-30T20:13:00Z"/>
        <d v="1899-12-30T15:02:00Z"/>
        <d v="1899-12-30T13:43:00Z"/>
        <d v="1899-12-30T22:57:00Z"/>
        <d v="1899-12-30T13:16:00Z"/>
        <d v="1899-12-30T16:16:00Z"/>
        <d v="1899-12-30T13:32:00Z"/>
        <d v="1899-12-30T14:39:00Z"/>
        <d v="1899-12-30T18:01:00Z"/>
        <d v="1899-12-30T20:57:00Z"/>
        <d v="1899-12-30T14:54:00Z"/>
        <d v="1899-12-30T17:25:00Z"/>
        <d v="1899-12-30T21:04:00Z"/>
        <d v="1899-12-30T09:36:00Z"/>
        <d v="1899-12-30T10:34:00Z"/>
        <d v="1899-12-30T14:15:00Z"/>
        <d v="1899-12-30T15:38:00Z"/>
        <d v="1899-12-30T17:09:00Z"/>
        <d v="1899-12-30T17:07:00Z"/>
        <d v="1899-12-30T08:10:00Z"/>
        <d v="1899-12-30T10:30:00Z"/>
        <d v="1899-12-30T16:05:00Z"/>
        <d v="1899-12-30T23:42:00Z"/>
        <d v="1899-12-30T17:53:00Z"/>
        <d v="1899-12-30T21:53:00Z"/>
        <d v="1899-12-30T23:32:00Z"/>
        <d v="1899-12-30T08:04:00Z"/>
        <d v="1899-12-30T08:41:00Z"/>
        <d v="1899-12-30T09:19:00Z"/>
        <d v="1899-12-30T07:14:00Z"/>
        <d v="1899-12-30T08:59:00Z"/>
        <d v="1899-12-30T16:58:00Z"/>
        <d v="1899-12-30T09:06:00Z"/>
        <d v="1899-12-30T12:12:00Z"/>
        <d v="1899-12-30T15:39:00Z"/>
        <d v="1899-12-30T01:06:00Z"/>
        <d v="1899-12-30T10:07:00Z"/>
        <d v="1899-12-30T12:33:00Z"/>
        <d v="1899-12-30T15:16:00Z"/>
        <d v="1899-12-30T20:10:00Z"/>
        <d v="1899-12-30T20:45:00Z"/>
        <d v="1899-12-30T23:47:00Z"/>
        <d v="1899-12-30T17:08:00Z"/>
        <d v="1899-12-30T23:10:00Z"/>
        <d v="1899-12-30T01:14:00Z"/>
        <d v="1899-12-30T23:51:00Z"/>
      </sharedItems>
    </cacheField>
    <cacheField name="DURATION" numFmtId="46">
      <sharedItems containsSemiMixedTypes="0" containsDate="1" containsString="0">
        <d v="1899-12-30T00:06:00Z"/>
        <d v="1899-12-30T00:12:00Z"/>
        <d v="1899-12-30T00:13:00Z"/>
        <d v="1899-12-30T00:14:00Z"/>
        <d v="1899-12-30T01:07:00Z"/>
        <d v="1899-12-30T00:04:00Z"/>
        <d v="1899-12-30T00:05:00Z"/>
        <d v="1899-12-30T00:20:00Z"/>
        <d v="1899-12-30T00:27:00Z"/>
        <d v="1899-12-30T00:43:00Z"/>
        <d v="1899-12-30T00:35:00Z"/>
        <d v="1899-12-30T00:26:00Z"/>
        <d v="1899-12-30T00:07:00Z"/>
        <d v="1899-12-30T00:16:00Z"/>
        <d v="1899-12-30T00:15:00Z"/>
        <d v="1899-12-30T00:58:00Z"/>
        <d v="1899-12-30T00:28:00Z"/>
        <d v="1899-12-30T00:36:00Z"/>
        <d v="1899-12-30T00:18:00Z"/>
        <d v="1899-12-30T00:11:00Z"/>
        <d v="1899-12-30T00:31:00Z"/>
        <d v="1899-12-30T00:54:00Z"/>
        <d v="1899-12-30T00:08:00Z"/>
        <d v="1899-12-30T00:09:00Z"/>
        <d v="1899-12-30T00:02:00Z"/>
        <d v="1899-12-30T00:29:00Z"/>
        <d v="1899-12-30T00:10:00Z"/>
        <d v="1899-12-30T00:22:00Z"/>
        <d v="1899-12-30T00:32:00Z"/>
        <d v="1899-12-30T00:30:00Z"/>
        <d v="1899-12-30T00:23:00Z"/>
        <d v="1899-12-30T00:21:00Z"/>
        <d v="1899-12-30T00:19:00Z"/>
        <d v="1899-12-30T00:40:00Z"/>
        <d v="1899-12-30T00:33:00Z"/>
        <d v="1899-12-30T00:24:00Z"/>
        <d v="1899-12-30T00:42:00Z"/>
        <d v="1899-12-30T00:34:00Z"/>
        <d v="1899-12-30T00:17:00Z"/>
        <d v="1899-12-30T00:52:00Z"/>
        <d v="1899-12-30T01:05:00Z"/>
        <d v="1899-12-30T00:03:00Z"/>
        <d v="1899-12-30T00:46:00Z"/>
        <d v="1899-12-30T00:44:00Z"/>
        <d v="1899-12-30T00:41:00Z"/>
        <d v="1899-12-30T01:04:00Z"/>
        <d v="1899-12-30T00:55:00Z"/>
        <d v="1899-12-30T00:39:00Z"/>
        <d v="1899-12-30T00:57:00Z"/>
        <d v="1899-12-30T00:37:00Z"/>
        <d v="1899-12-30T00:25:00Z"/>
        <d v="1899-12-30T02:19:00Z"/>
        <d v="1899-12-30T00:56:00Z"/>
        <d v="1899-12-30T01:06:00Z"/>
        <d v="1899-12-30T02:58:00Z"/>
        <d v="1899-12-30T05:30:00Z"/>
        <d v="1899-12-30T02:45:00Z"/>
        <d v="1899-12-30T00:53:00Z"/>
        <d v="1899-12-30T00:50:00Z"/>
        <d v="1899-12-30T00:48:00Z"/>
        <d v="1899-12-30T02:26:00Z"/>
        <d v="1899-12-30T01:12:00Z"/>
        <d v="1899-12-30T02:23:00Z"/>
        <d v="1899-12-30T02:16:00Z"/>
        <d v="1899-12-30T00:47:00Z"/>
        <d v="1899-12-30T01:09:00Z"/>
        <d v="1899-12-30T00:51:00Z"/>
        <d v="1899-12-30T01:28:00Z"/>
        <d v="1899-12-30T01:11:00Z"/>
        <d v="1899-12-30T03:26:00Z"/>
        <d v="1899-12-30T03:05:00Z"/>
        <d v="1899-12-30T00:01:00Z"/>
        <d v="1899-12-30T00:45:00Z"/>
        <d v="1899-12-30T00:38:00Z"/>
        <d v="1899-12-30T01:22:00Z"/>
        <d v="1899-12-30T01:17:00Z"/>
        <d v="1899-12-30T02:01:00Z"/>
        <d v="1899-12-30T00:49:00Z"/>
        <d v="1899-12-30T02:24:00Z"/>
        <d v="1899-12-30T01:43:00Z"/>
        <d v="1899-12-30T02:00:00Z"/>
        <d v="1899-12-30T01:20:00Z"/>
        <d v="1899-12-30T05:36:00Z"/>
        <d v="1899-12-30T02:15:00Z"/>
        <d v="1899-12-30T02:34:00Z"/>
        <d v="1899-12-30T02:41:00Z"/>
        <d v="1899-12-30T01:35:00Z"/>
        <d v="1899-12-30T01:02:00Z"/>
        <d v="1899-12-30T02:47:00Z"/>
        <d v="1899-12-30T02:12:00Z"/>
        <d v="1899-12-30T02:06:00Z"/>
        <d v="1899-12-30T01:54:00Z"/>
        <d v="1899-12-30T01:47:00Z"/>
        <d v="1899-12-30T01:13:00Z"/>
        <d v="1899-12-30T03:01:00Z"/>
        <d v="1899-12-30T01:01:00Z"/>
        <d v="1899-12-30T02:46:00Z"/>
        <d v="1899-12-30T01:10:00Z"/>
      </sharedItems>
    </cacheField>
    <cacheField name="START_TIME_DAYPART" numFmtId="0">
      <sharedItems>
        <s v="Evening"/>
        <s v="Night"/>
        <s v="Day"/>
        <s v="Morning"/>
      </sharedItems>
    </cacheField>
    <cacheField name="CATEGORY" numFmtId="0">
      <sharedItems>
        <s v="Business"/>
        <s v="Personal"/>
      </sharedItems>
    </cacheField>
    <cacheField name="PURPOSE" numFmtId="0">
      <sharedItems>
        <s v="Meal/Entertain"/>
        <s v="NOT DEFINED"/>
        <s v="Errand/Supplies"/>
        <s v="Meeting"/>
        <s v="Customer Visit"/>
        <s v="Temporary Site"/>
        <s v="Between Offices"/>
        <s v="Charity ($)"/>
        <s v="Commute"/>
        <s v="Moving"/>
        <s v="Airport/Travel"/>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N1152" sheet="Uber Drives"/>
  </cacheSource>
  <cacheFields>
    <cacheField name="TRAVEL_ID" numFmtId="0">
      <sharedItems>
        <s v="id_237"/>
        <s v="id_238"/>
        <s v="id_239"/>
        <s v="id_240"/>
        <s v="id_241"/>
        <s v="id_242"/>
        <s v="id_243"/>
        <s v="id_244"/>
        <s v="id_245"/>
        <s v="id_246"/>
        <s v="id_247"/>
        <s v="id_248"/>
        <s v="id_249"/>
        <s v="id_250"/>
        <s v="id_251"/>
        <s v="id_252"/>
        <s v="id_253"/>
        <s v="id_254"/>
        <s v="id_255"/>
        <s v="id_256"/>
        <s v="id_257"/>
        <s v="id_258"/>
        <s v="id_259"/>
        <s v="id_260"/>
        <s v="id_261"/>
        <s v="id_262"/>
        <s v="id_263"/>
        <s v="id_264"/>
        <s v="id_265"/>
        <s v="id_266"/>
        <s v="id_267"/>
        <s v="id_268"/>
        <s v="id_269"/>
        <s v="id_270"/>
        <s v="id_271"/>
        <s v="id_272"/>
        <s v="id_273"/>
        <s v="id_274"/>
        <s v="id_275"/>
        <s v="id_276"/>
        <s v="id_277"/>
        <s v="id_278"/>
        <s v="id_279"/>
        <s v="id_280"/>
        <s v="id_281"/>
        <s v="id_282"/>
        <s v="id_283"/>
        <s v="id_284"/>
        <s v="id_285"/>
        <s v="id_286"/>
        <s v="id_287"/>
        <s v="id_288"/>
        <s v="id_289"/>
        <s v="id_290"/>
        <s v="id_291"/>
        <s v="id_292"/>
        <s v="id_293"/>
        <s v="id_294"/>
        <s v="id_295"/>
        <s v="id_296"/>
        <s v="id_297"/>
        <s v="id_298"/>
        <s v="id_299"/>
        <s v="id_300"/>
        <s v="id_301"/>
        <s v="id_302"/>
        <s v="id_303"/>
        <s v="id_304"/>
        <s v="id_305"/>
        <s v="id_306"/>
        <s v="id_307"/>
        <s v="id_308"/>
        <s v="id_309"/>
        <s v="id_310"/>
        <s v="id_311"/>
        <s v="id_312"/>
        <s v="id_313"/>
        <s v="id_314"/>
        <s v="id_315"/>
        <s v="id_316"/>
        <s v="id_317"/>
        <s v="id_318"/>
        <s v="id_319"/>
        <s v="id_320"/>
        <s v="id_321"/>
        <s v="id_322"/>
        <s v="id_323"/>
        <s v="id_324"/>
        <s v="id_325"/>
        <s v="id_326"/>
        <s v="id_327"/>
        <s v="id_328"/>
        <s v="id_329"/>
        <s v="id_330"/>
        <s v="id_331"/>
        <s v="id_332"/>
        <s v="id_333"/>
        <s v="id_334"/>
        <s v="id_335"/>
        <s v="id_336"/>
        <s v="id_337"/>
        <s v="id_338"/>
        <s v="id_339"/>
        <s v="id_340"/>
        <s v="id_341"/>
        <s v="id_342"/>
        <s v="id_343"/>
        <s v="id_344"/>
        <s v="id_345"/>
        <s v="id_346"/>
        <s v="id_347"/>
        <s v="id_348"/>
        <s v="id_349"/>
        <s v="id_350"/>
        <s v="id_351"/>
        <s v="id_352"/>
        <s v="id_353"/>
        <s v="id_354"/>
        <s v="id_355"/>
        <s v="id_356"/>
        <s v="id_357"/>
        <s v="id_358"/>
        <s v="id_359"/>
        <s v="id_360"/>
        <s v="id_361"/>
        <s v="id_362"/>
        <s v="id_363"/>
        <s v="id_364"/>
        <s v="id_365"/>
        <s v="id_366"/>
        <s v="id_367"/>
        <s v="id_368"/>
        <s v="id_369"/>
        <s v="id_370"/>
        <s v="id_371"/>
        <s v="id_372"/>
        <s v="id_373"/>
        <s v="id_374"/>
        <s v="id_375"/>
        <s v="id_376"/>
        <s v="id_377"/>
        <s v="id_378"/>
        <s v="id_379"/>
        <s v="id_380"/>
        <s v="id_381"/>
        <s v="id_382"/>
        <s v="id_383"/>
        <s v="id_384"/>
        <s v="id_385"/>
        <s v="id_386"/>
        <s v="id_387"/>
        <s v="id_388"/>
        <s v="id_389"/>
        <s v="id_390"/>
        <s v="id_391"/>
        <s v="id_392"/>
        <s v="id_393"/>
        <s v="id_394"/>
        <s v="id_395"/>
        <s v="id_396"/>
        <s v="id_397"/>
        <s v="id_398"/>
        <s v="id_399"/>
        <s v="id_400"/>
        <s v="id_401"/>
        <s v="id_402"/>
        <s v="id_403"/>
        <s v="id_404"/>
        <s v="id_405"/>
        <s v="id_406"/>
        <s v="id_407"/>
        <s v="id_408"/>
        <s v="id_409"/>
        <s v="id_410"/>
        <s v="id_411"/>
        <s v="id_412"/>
        <s v="id_413"/>
        <s v="id_414"/>
        <s v="id_415"/>
        <s v="id_416"/>
        <s v="id_417"/>
        <s v="id_418"/>
        <s v="id_419"/>
        <s v="id_420"/>
        <s v="id_421"/>
        <s v="id_422"/>
        <s v="id_423"/>
        <s v="id_424"/>
        <s v="id_425"/>
        <s v="id_426"/>
        <s v="id_427"/>
        <s v="id_428"/>
        <s v="id_429"/>
        <s v="id_430"/>
        <s v="id_431"/>
        <s v="id_432"/>
        <s v="id_433"/>
        <s v="id_434"/>
        <s v="id_435"/>
        <s v="id_436"/>
        <s v="id_437"/>
        <s v="id_438"/>
        <s v="id_439"/>
        <s v="id_440"/>
        <s v="id_441"/>
        <s v="id_442"/>
        <s v="id_443"/>
        <s v="id_444"/>
        <s v="id_445"/>
        <s v="id_446"/>
        <s v="id_447"/>
        <s v="id_448"/>
        <s v="id_449"/>
        <s v="id_450"/>
        <s v="id_451"/>
        <s v="id_452"/>
        <s v="id_453"/>
        <s v="id_454"/>
        <s v="id_455"/>
        <s v="id_456"/>
        <s v="id_457"/>
        <s v="id_458"/>
        <s v="id_459"/>
        <s v="id_460"/>
        <s v="id_461"/>
        <s v="id_462"/>
        <s v="id_463"/>
        <s v="id_464"/>
        <s v="id_465"/>
        <s v="id_466"/>
        <s v="id_467"/>
        <s v="id_468"/>
        <s v="id_469"/>
        <s v="id_470"/>
        <s v="id_471"/>
        <s v="id_472"/>
        <s v="id_473"/>
        <s v="id_474"/>
        <s v="id_475"/>
        <s v="id_476"/>
        <s v="id_477"/>
        <s v="id_478"/>
        <s v="id_479"/>
        <s v="id_480"/>
        <s v="id_481"/>
        <s v="id_482"/>
        <s v="id_483"/>
        <s v="id_484"/>
        <s v="id_485"/>
        <s v="id_486"/>
        <s v="id_487"/>
        <s v="id_488"/>
        <s v="id_489"/>
        <s v="id_490"/>
        <s v="id_491"/>
        <s v="id_492"/>
        <s v="id_493"/>
        <s v="id_494"/>
        <s v="id_495"/>
        <s v="id_496"/>
        <s v="id_497"/>
        <s v="id_498"/>
        <s v="id_499"/>
        <s v="id_500"/>
        <s v="id_501"/>
        <s v="id_502"/>
        <s v="id_503"/>
        <s v="id_504"/>
        <s v="id_505"/>
        <s v="id_506"/>
        <s v="id_507"/>
        <s v="id_508"/>
        <s v="id_509"/>
        <s v="id_510"/>
        <s v="id_511"/>
        <s v="id_512"/>
        <s v="id_513"/>
        <s v="id_514"/>
        <s v="id_515"/>
        <s v="id_516"/>
        <s v="id_517"/>
        <s v="id_518"/>
        <s v="id_519"/>
        <s v="id_520"/>
        <s v="id_521"/>
        <s v="id_522"/>
        <s v="id_523"/>
        <s v="id_524"/>
        <s v="id_525"/>
        <s v="id_526"/>
        <s v="id_527"/>
        <s v="id_528"/>
        <s v="id_529"/>
        <s v="id_530"/>
        <s v="id_531"/>
        <s v="id_532"/>
        <s v="id_533"/>
        <s v="id_534"/>
        <s v="id_535"/>
        <s v="id_536"/>
        <s v="id_537"/>
        <s v="id_538"/>
        <s v="id_539"/>
        <s v="id_540"/>
        <s v="id_541"/>
        <s v="id_542"/>
        <s v="id_543"/>
        <s v="id_544"/>
        <s v="id_545"/>
        <s v="id_546"/>
        <s v="id_547"/>
        <s v="id_548"/>
        <s v="id_549"/>
        <s v="id_550"/>
        <s v="id_551"/>
        <s v="id_552"/>
        <s v="id_553"/>
        <s v="id_554"/>
        <s v="id_555"/>
        <s v="id_556"/>
        <s v="id_557"/>
        <s v="id_558"/>
        <s v="id_559"/>
        <s v="id_560"/>
        <s v="id_561"/>
        <s v="id_562"/>
        <s v="id_563"/>
        <s v="id_564"/>
        <s v="id_565"/>
        <s v="id_566"/>
        <s v="id_567"/>
        <s v="id_568"/>
        <s v="id_569"/>
        <s v="id_570"/>
        <s v="id_571"/>
        <s v="id_572"/>
        <s v="id_573"/>
        <s v="id_574"/>
        <s v="id_575"/>
        <s v="id_576"/>
        <s v="id_577"/>
        <s v="id_578"/>
        <s v="id_579"/>
        <s v="id_580"/>
        <s v="id_581"/>
        <s v="id_582"/>
        <s v="id_583"/>
        <s v="id_584"/>
        <s v="id_585"/>
        <s v="id_586"/>
        <s v="id_587"/>
        <s v="id_588"/>
        <s v="id_589"/>
        <s v="id_590"/>
        <s v="id_591"/>
        <s v="id_592"/>
        <s v="id_593"/>
        <s v="id_594"/>
        <s v="id_595"/>
        <s v="id_596"/>
        <s v="id_597"/>
        <s v="id_598"/>
        <s v="id_599"/>
        <s v="id_600"/>
        <s v="id_601"/>
        <s v="id_602"/>
        <s v="id_603"/>
        <s v="id_604"/>
        <s v="id_605"/>
        <s v="id_606"/>
        <s v="id_607"/>
        <s v="id_608"/>
        <s v="id_609"/>
        <s v="id_610"/>
        <s v="id_611"/>
        <s v="id_612"/>
        <s v="id_613"/>
        <s v="id_614"/>
        <s v="id_615"/>
        <s v="id_616"/>
        <s v="id_617"/>
        <s v="id_618"/>
        <s v="id_619"/>
        <s v="id_620"/>
        <s v="id_621"/>
        <s v="id_622"/>
        <s v="id_623"/>
        <s v="id_624"/>
        <s v="id_625"/>
        <s v="id_626"/>
        <s v="id_627"/>
        <s v="id_628"/>
        <s v="id_629"/>
        <s v="id_630"/>
        <s v="id_631"/>
        <s v="id_632"/>
        <s v="id_633"/>
        <s v="id_634"/>
        <s v="id_635"/>
        <s v="id_636"/>
        <s v="id_637"/>
        <s v="id_638"/>
        <s v="id_639"/>
        <s v="id_640"/>
        <s v="id_641"/>
        <s v="id_642"/>
        <s v="id_643"/>
        <s v="id_644"/>
        <s v="id_645"/>
        <s v="id_646"/>
        <s v="id_647"/>
        <s v="id_648"/>
        <s v="id_649"/>
        <s v="id_650"/>
        <s v="id_651"/>
        <s v="id_652"/>
        <s v="id_653"/>
        <s v="id_654"/>
        <s v="id_655"/>
        <s v="id_656"/>
        <s v="id_657"/>
        <s v="id_658"/>
        <s v="id_659"/>
        <s v="id_660"/>
        <s v="id_661"/>
        <s v="id_662"/>
        <s v="id_663"/>
        <s v="id_664"/>
        <s v="id_665"/>
        <s v="id_666"/>
        <s v="id_667"/>
        <s v="id_668"/>
        <s v="id_669"/>
        <s v="id_670"/>
        <s v="id_671"/>
        <s v="id_672"/>
        <s v="id_673"/>
        <s v="id_674"/>
        <s v="id_675"/>
        <s v="id_676"/>
        <s v="id_677"/>
        <s v="id_678"/>
        <s v="id_679"/>
        <s v="id_680"/>
        <s v="id_681"/>
        <s v="id_682"/>
        <s v="id_683"/>
        <s v="id_684"/>
        <s v="id_685"/>
        <s v="id_686"/>
        <s v="id_687"/>
        <s v="id_688"/>
        <s v="id_689"/>
        <s v="id_690"/>
        <s v="id_691"/>
        <s v="id_692"/>
        <s v="id_693"/>
        <s v="id_694"/>
        <s v="id_695"/>
        <s v="id_696"/>
        <s v="id_697"/>
        <s v="id_698"/>
        <s v="id_699"/>
        <s v="id_700"/>
        <s v="id_701"/>
        <s v="id_702"/>
        <s v="id_703"/>
        <s v="id_704"/>
        <s v="id_705"/>
        <s v="id_706"/>
        <s v="id_707"/>
        <s v="id_708"/>
        <s v="id_709"/>
        <s v="id_710"/>
        <s v="id_711"/>
        <s v="id_712"/>
        <s v="id_713"/>
        <s v="id_714"/>
        <s v="id_715"/>
        <s v="id_716"/>
        <s v="id_717"/>
        <s v="id_718"/>
        <s v="id_719"/>
        <s v="id_720"/>
        <s v="id_721"/>
        <s v="id_722"/>
        <s v="id_723"/>
        <s v="id_724"/>
        <s v="id_725"/>
        <s v="id_726"/>
        <s v="id_727"/>
        <s v="id_728"/>
        <s v="id_729"/>
        <s v="id_730"/>
        <s v="id_731"/>
        <s v="id_732"/>
        <s v="id_733"/>
        <s v="id_734"/>
        <s v="id_735"/>
        <s v="id_736"/>
        <s v="id_737"/>
        <s v="id_738"/>
        <s v="id_739"/>
        <s v="id_740"/>
        <s v="id_741"/>
        <s v="id_742"/>
        <s v="id_743"/>
        <s v="id_744"/>
        <s v="id_745"/>
        <s v="id_746"/>
        <s v="id_747"/>
        <s v="id_748"/>
        <s v="id_749"/>
        <s v="id_750"/>
        <s v="id_751"/>
        <s v="id_752"/>
        <s v="id_753"/>
        <s v="id_754"/>
        <s v="id_755"/>
        <s v="id_756"/>
        <s v="id_757"/>
        <s v="id_758"/>
        <s v="id_759"/>
        <s v="id_760"/>
        <s v="id_761"/>
        <s v="id_762"/>
        <s v="id_763"/>
        <s v="id_764"/>
        <s v="id_765"/>
        <s v="id_766"/>
        <s v="id_767"/>
        <s v="id_768"/>
        <s v="id_769"/>
        <s v="id_770"/>
        <s v="id_771"/>
        <s v="id_772"/>
        <s v="id_773"/>
        <s v="id_774"/>
        <s v="id_775"/>
        <s v="id_776"/>
        <s v="id_777"/>
        <s v="id_778"/>
        <s v="id_779"/>
        <s v="id_780"/>
        <s v="id_781"/>
        <s v="id_782"/>
        <s v="id_783"/>
        <s v="id_784"/>
        <s v="id_785"/>
        <s v="id_786"/>
        <s v="id_787"/>
        <s v="id_788"/>
        <s v="id_789"/>
        <s v="id_790"/>
        <s v="id_791"/>
        <s v="id_792"/>
        <s v="id_793"/>
        <s v="id_794"/>
        <s v="id_795"/>
        <s v="id_796"/>
        <s v="id_797"/>
        <s v="id_798"/>
        <s v="id_799"/>
        <s v="id_800"/>
        <s v="id_801"/>
        <s v="id_802"/>
        <s v="id_803"/>
        <s v="id_804"/>
        <s v="id_805"/>
        <s v="id_806"/>
        <s v="id_807"/>
        <s v="id_808"/>
        <s v="id_809"/>
        <s v="id_810"/>
        <s v="id_811"/>
        <s v="id_812"/>
        <s v="id_813"/>
        <s v="id_814"/>
        <s v="id_815"/>
        <s v="id_816"/>
        <s v="id_817"/>
        <s v="id_818"/>
        <s v="id_819"/>
        <s v="id_820"/>
        <s v="id_821"/>
        <s v="id_822"/>
        <s v="id_823"/>
        <s v="id_824"/>
        <s v="id_825"/>
        <s v="id_826"/>
        <s v="id_827"/>
        <s v="id_828"/>
        <s v="id_829"/>
        <s v="id_830"/>
        <s v="id_831"/>
        <s v="id_832"/>
        <s v="id_833"/>
        <s v="id_834"/>
        <s v="id_835"/>
        <s v="id_836"/>
        <s v="id_837"/>
        <s v="id_838"/>
        <s v="id_839"/>
        <s v="id_840"/>
        <s v="id_841"/>
        <s v="id_842"/>
        <s v="id_843"/>
        <s v="id_844"/>
        <s v="id_845"/>
        <s v="id_846"/>
        <s v="id_847"/>
        <s v="id_848"/>
        <s v="id_849"/>
        <s v="id_850"/>
        <s v="id_851"/>
        <s v="id_852"/>
        <s v="id_853"/>
        <s v="id_854"/>
        <s v="id_855"/>
        <s v="id_856"/>
        <s v="id_857"/>
        <s v="id_858"/>
        <s v="id_859"/>
        <s v="id_860"/>
        <s v="id_861"/>
        <s v="id_862"/>
        <s v="id_863"/>
        <s v="id_864"/>
        <s v="id_865"/>
        <s v="id_866"/>
        <s v="id_867"/>
        <s v="id_868"/>
        <s v="id_869"/>
        <s v="id_870"/>
        <s v="id_871"/>
        <s v="id_872"/>
        <s v="id_873"/>
        <s v="id_874"/>
        <s v="id_875"/>
        <s v="id_876"/>
        <s v="id_877"/>
        <s v="id_878"/>
        <s v="id_879"/>
        <s v="id_880"/>
        <s v="id_881"/>
        <s v="id_882"/>
        <s v="id_883"/>
        <s v="id_884"/>
        <s v="id_885"/>
        <s v="id_886"/>
        <s v="id_887"/>
        <s v="id_888"/>
        <s v="id_889"/>
        <s v="id_890"/>
        <s v="id_891"/>
        <s v="id_892"/>
        <s v="id_893"/>
        <s v="id_894"/>
        <s v="id_895"/>
        <s v="id_896"/>
        <s v="id_897"/>
        <s v="id_898"/>
        <s v="id_899"/>
        <s v="id_900"/>
        <s v="id_901"/>
        <s v="id_902"/>
        <s v="id_903"/>
        <s v="id_904"/>
        <s v="id_905"/>
        <s v="id_906"/>
        <s v="id_907"/>
        <s v="id_908"/>
        <s v="id_909"/>
        <s v="id_910"/>
        <s v="id_911"/>
        <s v="id_912"/>
        <s v="id_913"/>
        <s v="id_914"/>
        <s v="id_915"/>
        <s v="id_916"/>
        <s v="id_917"/>
        <s v="id_918"/>
        <s v="id_919"/>
        <s v="id_920"/>
        <s v="id_921"/>
        <s v="id_922"/>
        <s v="id_923"/>
        <s v="id_924"/>
        <s v="id_925"/>
        <s v="id_926"/>
        <s v="id_927"/>
        <s v="id_928"/>
        <s v="id_929"/>
        <s v="id_930"/>
        <s v="id_931"/>
        <s v="id_932"/>
        <s v="id_933"/>
        <s v="id_934"/>
        <s v="id_935"/>
        <s v="id_936"/>
        <s v="id_937"/>
        <s v="id_938"/>
        <s v="id_939"/>
        <s v="id_940"/>
        <s v="id_941"/>
        <s v="id_942"/>
        <s v="id_943"/>
        <s v="id_944"/>
        <s v="id_945"/>
        <s v="id_946"/>
        <s v="id_947"/>
        <s v="id_948"/>
        <s v="id_949"/>
        <s v="id_950"/>
        <s v="id_951"/>
        <s v="id_952"/>
        <s v="id_953"/>
        <s v="id_954"/>
        <s v="id_955"/>
        <s v="id_956"/>
        <s v="id_957"/>
        <s v="id_958"/>
        <s v="id_959"/>
        <s v="id_960"/>
        <s v="id_961"/>
        <s v="id_962"/>
        <s v="id_963"/>
        <s v="id_964"/>
        <s v="id_965"/>
        <s v="id_966"/>
        <s v="id_967"/>
        <s v="id_968"/>
        <s v="id_969"/>
        <s v="id_970"/>
        <s v="id_971"/>
        <s v="id_972"/>
        <s v="id_973"/>
        <s v="id_974"/>
        <s v="id_975"/>
        <s v="id_976"/>
        <s v="id_977"/>
        <s v="id_978"/>
        <s v="id_979"/>
        <s v="id_980"/>
        <s v="id_981"/>
        <s v="id_982"/>
        <s v="id_983"/>
        <s v="id_984"/>
        <s v="id_985"/>
        <s v="id_986"/>
        <s v="id_987"/>
        <s v="id_989"/>
        <s v="id_990"/>
        <s v="id_991"/>
        <s v="id_992"/>
        <s v="id_993"/>
        <s v="id_994"/>
        <s v="id_995"/>
        <s v="id_996"/>
        <s v="id_997"/>
        <s v="id_999"/>
        <s v="id_1000"/>
        <s v="id_1001"/>
        <s v="id_1002"/>
        <s v="id_1003"/>
        <s v="id_1004"/>
        <s v="id_1005"/>
        <s v="id_1006"/>
        <s v="id_1007"/>
        <s v="id_1008"/>
        <s v="id_1009"/>
        <s v="id_1010"/>
        <s v="id_1011"/>
        <s v="id_1012"/>
        <s v="id_1013"/>
        <s v="id_1014"/>
        <s v="id_1015"/>
        <s v="id_1016"/>
        <s v="id_1017"/>
        <s v="id_1018"/>
        <s v="id_1019"/>
        <s v="id_1020"/>
        <s v="id_1021"/>
        <s v="id_1022"/>
        <s v="id_1023"/>
        <s v="id_1024"/>
        <s v="id_1025"/>
        <s v="id_1026"/>
        <s v="id_1027"/>
        <s v="id_1028"/>
        <s v="id_1029"/>
        <s v="id_1030"/>
        <s v="id_1031"/>
        <s v="id_1032"/>
        <s v="id_1033"/>
        <s v="id_1034"/>
        <s v="id_1036"/>
        <s v="id_1037"/>
        <s v="id_1038"/>
        <s v="id_1039"/>
        <s v="id_1040"/>
        <s v="id_1041"/>
        <s v="id_1042"/>
        <s v="id_1043"/>
        <s v="id_1045"/>
        <s v="id_1046"/>
        <s v="id_1047"/>
        <s v="id_1048"/>
        <s v="id_1049"/>
        <s v="id_1050"/>
        <s v="id_1051"/>
        <s v="id_1052"/>
        <s v="id_1053"/>
        <s v="id_1054"/>
        <s v="id_1055"/>
        <s v="id_1056"/>
        <s v="id_1057"/>
        <s v="id_1058"/>
        <s v="id_1059"/>
        <s v="id_1060"/>
        <s v="id_1061"/>
        <s v="id_1062"/>
        <s v="id_1063"/>
        <s v="id_1064"/>
        <s v="id_1065"/>
        <s v="id_1066"/>
        <s v="id_1067"/>
        <s v="id_1068"/>
        <s v="id_1069"/>
        <s v="id_1070"/>
        <s v="id_1071"/>
        <s v="id_1072"/>
        <s v="id_1073"/>
        <s v="id_1074"/>
        <s v="id_1075"/>
        <s v="id_1076"/>
        <s v="id_1077"/>
        <s v="id_1078"/>
        <s v="id_1079"/>
        <s v="id_1080"/>
        <s v="id_1081"/>
        <s v="id_1082"/>
        <s v="id_1083"/>
        <s v="id_1084"/>
        <s v="id_1085"/>
        <s v="id_1086"/>
        <s v="id_1087"/>
        <s v="id_1088"/>
        <s v="id_1089"/>
        <s v="id_1090"/>
        <s v="id_1091"/>
        <s v="id_1092"/>
        <s v="id_1093"/>
        <s v="id_1094"/>
        <s v="id_1095"/>
        <s v="id_1096"/>
        <s v="id_1097"/>
        <s v="id_1098"/>
        <s v="id_1099"/>
        <s v="id_1100"/>
        <s v="id_1101"/>
        <s v="id_1102"/>
        <s v="id_1103"/>
        <s v="id_1104"/>
        <s v="id_1105"/>
        <s v="id_1106"/>
        <s v="id_1107"/>
        <s v="id_1108"/>
        <s v="id_1109"/>
        <s v="id_1110"/>
        <s v="id_1111"/>
        <s v="id_1112"/>
        <s v="id_1113"/>
        <s v="id_1114"/>
        <s v="id_1115"/>
        <s v="id_1116"/>
        <s v="id_1117"/>
        <s v="id_1118"/>
        <s v="id_1119"/>
        <s v="id_1120"/>
        <s v="id_1121"/>
        <s v="id_1122"/>
        <s v="id_1123"/>
        <s v="id_1124"/>
        <s v="id_1125"/>
        <s v="id_1126"/>
        <s v="id_1127"/>
        <s v="id_1128"/>
        <s v="id_1129"/>
        <s v="id_1130"/>
        <s v="id_1131"/>
        <s v="id_1132"/>
        <s v="id_1133"/>
        <s v="id_1134"/>
        <s v="id_1135"/>
        <s v="id_1136"/>
        <s v="id_1137"/>
        <s v="id_1138"/>
        <s v="id_1139"/>
        <s v="id_1140"/>
        <s v="id_1141"/>
        <s v="id_1142"/>
        <s v="id_1143"/>
        <s v="id_1144"/>
        <s v="id_1145"/>
        <s v="id_1146"/>
        <s v="id_1147"/>
        <s v="id_1148"/>
        <s v="id_1149"/>
        <s v="id_1150"/>
        <s v="id_1151"/>
        <s v="id_1152"/>
        <s v="id_1153"/>
        <s v="id_1154"/>
        <s v="id_1155"/>
        <s v="id_1156"/>
        <s v="id_1157"/>
        <s v="id_1158"/>
        <s v="id_1159"/>
        <s v="id_1160"/>
        <s v="id_1161"/>
        <s v="id_1162"/>
        <s v="id_1163"/>
        <s v="id_1164"/>
        <s v="id_1165"/>
        <s v="id_1166"/>
        <s v="id_1167"/>
        <s v="id_1168"/>
        <s v="id_1169"/>
        <s v="id_1170"/>
        <s v="id_1171"/>
        <s v="id_1172"/>
        <s v="id_1173"/>
        <s v="id_1174"/>
        <s v="id_1175"/>
        <s v="id_1176"/>
        <s v="id_1177"/>
        <s v="id_1178"/>
        <s v="id_1179"/>
        <s v="id_1180"/>
        <s v="id_1181"/>
        <s v="id_1182"/>
        <s v="id_1183"/>
        <s v="id_1184"/>
        <s v="id_1185"/>
        <s v="id_1186"/>
        <s v="id_1187"/>
        <s v="id_1188"/>
        <s v="id_1189"/>
        <s v="id_1190"/>
        <s v="id_1191"/>
        <s v="id_1192"/>
        <s v="id_1193"/>
        <s v="id_1194"/>
        <s v="id_1195"/>
        <s v="id_1196"/>
        <s v="id_1197"/>
        <s v="id_1198"/>
        <s v="id_1199"/>
        <s v="id_1200"/>
        <s v="id_1201"/>
        <s v="id_1202"/>
        <s v="id_1203"/>
        <s v="id_1204"/>
        <s v="id_1205"/>
        <s v="id_1206"/>
        <s v="id_1207"/>
        <s v="id_1208"/>
        <s v="id_1209"/>
        <s v="id_1210"/>
        <s v="id_1211"/>
        <s v="id_1212"/>
        <s v="id_1213"/>
        <s v="id_1214"/>
        <s v="id_1215"/>
        <s v="id_1216"/>
        <s v="id_1217"/>
        <s v="id_1218"/>
        <s v="id_1219"/>
        <s v="id_1220"/>
        <s v="id_1221"/>
        <s v="id_1222"/>
        <s v="id_1223"/>
        <s v="id_1224"/>
        <s v="id_1225"/>
        <s v="id_1226"/>
        <s v="id_1227"/>
        <s v="id_1228"/>
        <s v="id_1229"/>
        <s v="id_1230"/>
        <s v="id_1231"/>
        <s v="id_1232"/>
        <s v="id_1233"/>
        <s v="id_1234"/>
        <s v="id_1235"/>
        <s v="id_1236"/>
        <s v="id_1237"/>
        <s v="id_1238"/>
        <s v="id_1239"/>
        <s v="id_1240"/>
        <s v="id_1241"/>
        <s v="id_1242"/>
        <s v="id_1243"/>
        <s v="id_1244"/>
        <s v="id_1245"/>
        <s v="id_1246"/>
        <s v="id_1247"/>
        <s v="id_1248"/>
        <s v="id_1249"/>
        <s v="id_1250"/>
        <s v="id_1251"/>
        <s v="id_1252"/>
        <s v="id_1253"/>
        <s v="id_1254"/>
        <s v="id_1255"/>
        <s v="id_1256"/>
        <s v="id_1257"/>
        <s v="id_1258"/>
        <s v="id_1259"/>
        <s v="id_1260"/>
        <s v="id_1261"/>
        <s v="id_1262"/>
        <s v="id_1263"/>
        <s v="id_1264"/>
        <s v="id_1265"/>
        <s v="id_1266"/>
        <s v="id_1267"/>
        <s v="id_1268"/>
        <s v="id_1269"/>
        <s v="id_1270"/>
        <s v="id_1271"/>
        <s v="id_1272"/>
        <s v="id_1273"/>
        <s v="id_1274"/>
        <s v="id_1275"/>
        <s v="id_1276"/>
        <s v="id_1277"/>
        <s v="id_1278"/>
        <s v="id_1279"/>
        <s v="id_1280"/>
        <s v="id_1281"/>
        <s v="id_1282"/>
        <s v="id_1283"/>
        <s v="id_1284"/>
        <s v="id_1285"/>
        <s v="id_1286"/>
        <s v="id_1287"/>
        <s v="id_1288"/>
        <s v="id_1289"/>
        <s v="id_1290"/>
        <s v="id_1291"/>
        <s v="id_1292"/>
        <s v="id_1293"/>
        <s v="id_1294"/>
        <s v="id_1295"/>
        <s v="id_1296"/>
        <s v="id_1297"/>
        <s v="id_1298"/>
        <s v="id_1299"/>
        <s v="id_1300"/>
        <s v="id_1301"/>
        <s v="id_1302"/>
        <s v="id_1303"/>
        <s v="id_1304"/>
        <s v="id_1305"/>
        <s v="id_1306"/>
        <s v="id_1307"/>
        <s v="id_1308"/>
        <s v="id_1309"/>
        <s v="id_1310"/>
        <s v="id_1311"/>
        <s v="id_1312"/>
        <s v="id_1313"/>
        <s v="id_1314"/>
        <s v="id_1315"/>
        <s v="id_1316"/>
        <s v="id_1317"/>
        <s v="id_1318"/>
        <s v="id_1319"/>
        <s v="id_1320"/>
        <s v="id_1321"/>
        <s v="id_1322"/>
        <s v="id_1323"/>
        <s v="id_1324"/>
        <s v="id_1325"/>
        <s v="id_1326"/>
        <s v="id_1327"/>
        <s v="id_1328"/>
        <s v="id_1329"/>
        <s v="id_1330"/>
        <s v="id_1331"/>
        <s v="id_1332"/>
        <s v="id_1333"/>
        <s v="id_1334"/>
        <s v="id_1335"/>
        <s v="id_1336"/>
        <s v="id_1337"/>
        <s v="id_1338"/>
        <s v="id_1339"/>
        <s v="id_1340"/>
        <s v="id_1341"/>
        <s v="id_1342"/>
        <s v="id_1343"/>
        <s v="id_1344"/>
        <s v="id_1345"/>
        <s v="id_1346"/>
        <s v="id_1347"/>
        <s v="id_1348"/>
        <s v="id_1349"/>
        <s v="id_1350"/>
        <s v="id_1351"/>
        <s v="id_1352"/>
        <s v="id_1353"/>
        <s v="id_1354"/>
        <s v="id_1355"/>
        <s v="id_1356"/>
        <s v="id_1357"/>
        <s v="id_1358"/>
        <s v="id_1359"/>
        <s v="id_1360"/>
        <s v="id_1361"/>
        <s v="id_1362"/>
        <s v="id_1363"/>
        <s v="id_1364"/>
        <s v="id_1365"/>
        <s v="id_1366"/>
        <s v="id_1367"/>
        <s v="id_1368"/>
        <s v="id_1369"/>
        <s v="id_1370"/>
        <s v="id_1371"/>
        <s v="id_1372"/>
        <s v="id_1373"/>
        <s v="id_1374"/>
        <s v="id_1375"/>
        <s v="id_1376"/>
        <s v="id_1377"/>
        <s v="id_1378"/>
        <s v="id_1379"/>
        <s v="id_1380"/>
        <s v="id_1381"/>
        <s v="id_1382"/>
        <s v="id_1383"/>
        <s v="id_1384"/>
        <s v="id_1385"/>
        <s v="id_1386"/>
        <s v="id_1387"/>
        <s v="id_1388"/>
        <s v="id_1389"/>
        <s v="id_1390"/>
        <s v="id_1391"/>
      </sharedItems>
    </cacheField>
    <cacheField name="START_DATE" numFmtId="164">
      <sharedItems containsSemiMixedTypes="0" containsDate="1" containsString="0">
        <d v="2016-01-01T21:11:00Z"/>
        <d v="2016-01-02T01:25:00Z"/>
        <d v="2016-01-02T20:25:00Z"/>
        <d v="2016-01-05T17:31:00Z"/>
        <d v="2016-01-06T14:42:00Z"/>
        <d v="2016-01-06T17:15:00Z"/>
        <d v="2016-01-06T17:30:00Z"/>
        <d v="2016-01-07T13:27:00Z"/>
        <d v="2016-01-10T08:05:00Z"/>
        <d v="2016-01-10T12:17:00Z"/>
        <d v="2016-01-10T15:08:00Z"/>
        <d v="2016-01-10T18:18:00Z"/>
        <d v="2016-01-10T19:12:00Z"/>
        <d v="2016-01-11T08:55:00Z"/>
        <d v="2016-01-11T11:56:00Z"/>
        <d v="2016-01-11T13:32:00Z"/>
        <d v="2016-01-11T14:30:00Z"/>
        <d v="2016-01-12T12:33:00Z"/>
        <d v="2016-01-12T12:53:00Z"/>
        <d v="2016-01-12T14:42:00Z"/>
        <d v="2016-01-12T15:13:00Z"/>
        <d v="2016-01-12T15:42:00Z"/>
        <d v="2016-01-12T16:02:00Z"/>
        <d v="2016-01-13T13:54:00Z"/>
        <d v="2016-01-13T15:00:00Z"/>
        <d v="2016-01-14T16:29:00Z"/>
        <d v="2016-01-14T21:39:00Z"/>
        <d v="2016-01-15T00:41:00Z"/>
        <d v="2016-01-15T11:43:00Z"/>
        <d v="2016-01-15T13:26:00Z"/>
        <d v="2016-01-18T14:55:00Z"/>
        <d v="2016-01-18T16:13:00Z"/>
        <d v="2016-01-19T09:09:00Z"/>
        <d v="2016-01-19T10:55:00Z"/>
        <d v="2016-01-20T10:36:00Z"/>
        <d v="2016-01-20T11:48:00Z"/>
        <d v="2016-01-20T13:25:00Z"/>
        <d v="2016-01-21T14:25:00Z"/>
        <d v="2016-01-21T14:43:00Z"/>
        <d v="2016-01-21T16:01:00Z"/>
        <d v="2016-01-26T10:41:00Z"/>
        <d v="2016-01-26T12:33:00Z"/>
        <d v="2016-01-26T16:24:00Z"/>
        <d v="2016-01-26T17:17:00Z"/>
        <d v="2016-01-26T17:27:00Z"/>
        <d v="2016-01-27T09:24:00Z"/>
        <d v="2016-01-27T10:19:00Z"/>
        <d v="2016-01-27T12:34:00Z"/>
        <d v="2016-01-27T14:05:00Z"/>
        <d v="2016-01-27T14:46:00Z"/>
        <d v="2016-01-28T12:28:00Z"/>
        <d v="2016-01-28T15:11:00Z"/>
        <d v="2016-01-28T16:21:00Z"/>
        <d v="2016-01-29T09:31:00Z"/>
        <d v="2016-01-29T10:56:00Z"/>
        <d v="2016-01-29T11:43:00Z"/>
        <d v="2016-01-29T13:24:00Z"/>
        <d v="2016-01-29T18:31:00Z"/>
        <d v="2016-01-29T21:21:00Z"/>
        <d v="2016-01-30T16:21:00Z"/>
        <d v="2016-01-30T18:09:00Z"/>
        <d v="2016-02-01T10:35:00Z"/>
        <d v="2016-02-01T12:10:00Z"/>
        <d v="2016-02-01T12:56:00Z"/>
        <d v="2016-02-02T13:04:00Z"/>
        <d v="2016-02-02T13:51:00Z"/>
        <d v="2016-02-02T14:38:00Z"/>
        <d v="2016-02-04T08:40:00Z"/>
        <d v="2016-02-04T09:37:00Z"/>
        <d v="2016-02-04T10:26:00Z"/>
        <d v="2016-02-04T15:59:00Z"/>
        <d v="2016-02-04T16:35:00Z"/>
        <d v="2016-02-04T18:04:00Z"/>
        <d v="2016-02-04T20:36:00Z"/>
        <d v="2016-02-05T11:47:00Z"/>
        <d v="2016-02-05T13:22:00Z"/>
        <d v="2016-02-06T16:20:00Z"/>
        <d v="2016-02-06T18:57:00Z"/>
        <d v="2016-02-06T19:28:00Z"/>
        <d v="2016-02-07T16:49:00Z"/>
        <d v="2016-02-07T18:03:00Z"/>
        <d v="2016-02-07T18:39:00Z"/>
        <d v="2016-02-07T20:22:00Z"/>
        <d v="2016-02-08T12:57:00Z"/>
        <d v="2016-02-08T14:00:00Z"/>
        <d v="2016-02-09T10:54:00Z"/>
        <d v="2016-02-09T11:43:00Z"/>
        <d v="2016-02-09T13:36:00Z"/>
        <d v="2016-02-09T13:58:00Z"/>
        <d v="2016-02-09T18:55:00Z"/>
        <d v="2016-02-09T20:24:00Z"/>
        <d v="2016-02-11T16:28:00Z"/>
        <d v="2016-02-11T17:49:00Z"/>
        <d v="2016-02-11T18:24:00Z"/>
        <d v="2016-02-11T20:36:00Z"/>
        <d v="2016-02-12T08:21:00Z"/>
        <d v="2016-02-12T10:45:00Z"/>
        <d v="2016-02-12T11:14:00Z"/>
        <d v="2016-02-12T13:02:00Z"/>
        <d v="2016-02-12T14:49:00Z"/>
        <d v="2016-02-12T15:33:00Z"/>
        <d v="2016-02-13T14:21:00Z"/>
        <d v="2016-02-13T23:45:00Z"/>
        <d v="2016-02-14T00:50:00Z"/>
        <d v="2016-02-14T14:07:00Z"/>
        <d v="2016-02-14T14:46:00Z"/>
        <d v="2016-02-14T16:35:00Z"/>
        <d v="2016-02-14T17:06:00Z"/>
        <d v="2016-02-16T03:21:00Z"/>
        <d v="2016-02-16T08:29:00Z"/>
        <d v="2016-02-16T10:31:00Z"/>
        <d v="2016-02-16T11:32:00Z"/>
        <d v="2016-02-16T12:39:00Z"/>
        <d v="2016-02-16T13:43:00Z"/>
        <d v="2016-02-16T16:34:00Z"/>
        <d v="2016-02-16T17:17:00Z"/>
        <d v="2016-02-16T17:40:00Z"/>
        <d v="2016-02-17T13:18:00Z"/>
        <d v="2016-02-17T15:17:00Z"/>
        <d v="2016-02-17T15:33:00Z"/>
        <d v="2016-02-17T16:38:00Z"/>
        <d v="2016-02-18T08:19:00Z"/>
        <d v="2016-02-18T14:03:00Z"/>
        <d v="2016-02-18T15:16:00Z"/>
        <d v="2016-02-18T18:44:00Z"/>
        <d v="2016-02-18T19:27:00Z"/>
        <d v="2016-02-19T09:02:00Z"/>
        <d v="2016-02-19T09:21:00Z"/>
        <d v="2016-02-19T10:21:00Z"/>
        <d v="2016-02-19T11:20:00Z"/>
        <d v="2016-02-19T11:45:00Z"/>
        <d v="2016-02-19T12:09:00Z"/>
        <d v="2016-02-19T16:26:00Z"/>
        <d v="2016-02-19T17:09:00Z"/>
        <d v="2016-02-19T20:08:00Z"/>
        <d v="2016-02-19T20:34:00Z"/>
        <d v="2016-02-20T07:59:00Z"/>
        <d v="2016-02-20T10:48:00Z"/>
        <d v="2016-02-20T11:45:00Z"/>
        <d v="2016-02-20T12:41:00Z"/>
        <d v="2016-02-20T14:50:00Z"/>
        <d v="2016-02-20T16:59:00Z"/>
        <d v="2016-02-20T18:00:00Z"/>
        <d v="2016-02-20T19:28:00Z"/>
        <d v="2016-02-21T09:07:00Z"/>
        <d v="2016-02-21T11:39:00Z"/>
        <d v="2016-02-21T11:47:00Z"/>
        <d v="2016-02-21T12:13:00Z"/>
        <d v="2016-02-21T12:51:00Z"/>
        <d v="2016-02-21T13:33:00Z"/>
        <d v="2016-02-21T14:36:00Z"/>
        <d v="2016-02-21T15:14:00Z"/>
        <d v="2016-02-21T15:36:00Z"/>
        <d v="2016-02-21T16:04:00Z"/>
        <d v="2016-02-21T23:15:00Z"/>
        <d v="2016-02-22T21:54:00Z"/>
        <d v="2016-02-24T14:30:00Z"/>
        <d v="2016-02-24T15:19:00Z"/>
        <d v="2016-02-25T16:27:00Z"/>
        <d v="2016-02-25T16:47:00Z"/>
        <d v="2016-02-25T17:16:00Z"/>
        <d v="2016-02-25T18:22:00Z"/>
        <d v="2016-02-26T09:06:00Z"/>
        <d v="2016-02-26T11:05:00Z"/>
        <d v="2016-02-26T11:35:00Z"/>
        <d v="2016-02-26T13:01:00Z"/>
        <d v="2016-02-26T14:38:00Z"/>
        <d v="2016-02-26T15:00:00Z"/>
        <d v="2016-02-26T17:01:00Z"/>
        <d v="2016-02-28T05:22:00Z"/>
        <d v="2016-02-28T09:26:00Z"/>
        <d v="2016-02-29T11:07:00Z"/>
        <d v="2016-02-29T11:30:00Z"/>
        <d v="2016-02-29T12:36:00Z"/>
        <d v="2016-02-29T14:55:00Z"/>
        <d v="2016-02-29T16:40:00Z"/>
        <d v="2016-03-01T18:47:00Z"/>
        <d v="2016-03-01T21:27:00Z"/>
        <d v="2016-03-03T09:45:00Z"/>
        <d v="2016-03-03T11:04:00Z"/>
        <d v="2016-03-03T14:44:00Z"/>
        <d v="2016-03-03T15:27:00Z"/>
        <d v="2016-03-03T16:02:00Z"/>
        <d v="2016-03-04T07:47:00Z"/>
        <d v="2016-03-04T09:46:00Z"/>
        <d v="2016-03-04T11:46:00Z"/>
        <d v="2016-03-04T13:03:00Z"/>
        <d v="2016-03-04T13:40:00Z"/>
        <d v="2016-03-04T15:56:00Z"/>
        <d v="2016-03-04T16:16:00Z"/>
        <d v="2016-03-04T16:43:00Z"/>
        <d v="2016-03-04T19:02:00Z"/>
        <d v="2016-03-04T19:16:00Z"/>
        <d v="2016-03-05T11:44:00Z"/>
        <d v="2016-03-05T12:57:00Z"/>
        <d v="2016-03-05T14:08:00Z"/>
        <d v="2016-03-05T14:39:00Z"/>
        <d v="2016-03-05T16:52:00Z"/>
        <d v="2016-03-05T17:23:00Z"/>
        <d v="2016-03-07T09:10:00Z"/>
        <d v="2016-03-07T09:23:00Z"/>
        <d v="2016-03-07T12:10:00Z"/>
        <d v="2016-03-07T13:57:00Z"/>
        <d v="2016-03-07T15:19:00Z"/>
        <d v="2016-03-08T14:38:00Z"/>
        <d v="2016-03-08T15:35:00Z"/>
        <d v="2016-03-08T16:13:00Z"/>
        <d v="2016-03-10T03:36:00Z"/>
        <d v="2016-03-10T10:08:00Z"/>
        <d v="2016-03-10T14:39:00Z"/>
        <d v="2016-03-10T16:18:00Z"/>
        <d v="2016-03-11T09:47:00Z"/>
        <d v="2016-03-11T10:29:00Z"/>
        <d v="2016-03-11T11:57:00Z"/>
        <d v="2016-03-11T13:43:00Z"/>
        <d v="2016-03-11T19:21:00Z"/>
        <d v="2016-03-12T09:13:00Z"/>
        <d v="2016-03-12T18:27:00Z"/>
        <d v="2016-03-13T09:07:00Z"/>
        <d v="2016-03-13T18:23:00Z"/>
        <d v="2016-03-13T20:07:00Z"/>
        <d v="2016-03-13T20:39:00Z"/>
        <d v="2016-03-13T21:11:00Z"/>
        <d v="2016-03-13T22:19:00Z"/>
        <d v="2016-03-14T08:34:00Z"/>
        <d v="2016-03-14T18:39:00Z"/>
        <d v="2016-03-15T08:45:00Z"/>
        <d v="2016-03-15T20:48:00Z"/>
        <d v="2016-03-16T11:34:00Z"/>
        <d v="2016-03-16T14:44:00Z"/>
        <d v="2016-03-16T18:43:00Z"/>
        <d v="2016-03-17T00:33:00Z"/>
        <d v="2016-03-17T12:52:00Z"/>
        <d v="2016-03-17T15:16:00Z"/>
        <d v="2016-03-17T17:20:00Z"/>
        <d v="2016-03-17T18:47:00Z"/>
        <d v="2016-03-17T20:57:00Z"/>
        <d v="2016-03-17T21:48:00Z"/>
        <d v="2016-03-18T07:15:00Z"/>
        <d v="2016-03-18T08:35:00Z"/>
        <d v="2016-03-18T18:24:00Z"/>
        <d v="2016-03-18T19:23:00Z"/>
        <d v="2016-03-18T21:01:00Z"/>
        <d v="2016-03-19T09:10:00Z"/>
        <d v="2016-03-19T12:50:00Z"/>
        <d v="2016-03-19T14:01:00Z"/>
        <d v="2016-03-19T15:34:00Z"/>
        <d v="2016-03-19T17:17:00Z"/>
        <d v="2016-03-19T17:37:00Z"/>
        <d v="2016-03-19T17:52:00Z"/>
        <d v="2016-03-19T18:53:00Z"/>
        <d v="2016-03-19T19:33:00Z"/>
        <d v="2016-03-20T07:37:00Z"/>
        <d v="2016-03-20T11:42:00Z"/>
        <d v="2016-03-20T17:08:00Z"/>
        <d v="2016-03-20T18:34:00Z"/>
        <d v="2016-03-20T18:45:00Z"/>
        <d v="2016-03-21T10:21:00Z"/>
        <d v="2016-03-21T16:05:00Z"/>
        <d v="2016-03-21T18:59:00Z"/>
        <d v="2016-03-21T20:18:00Z"/>
        <d v="2016-03-22T06:17:00Z"/>
        <d v="2016-03-22T12:06:00Z"/>
        <d v="2016-03-22T19:12:00Z"/>
        <d v="2016-03-23T14:37:00Z"/>
        <d v="2016-03-23T14:53:00Z"/>
        <d v="2016-03-24T19:47:00Z"/>
        <d v="2016-03-24T20:34:00Z"/>
        <d v="2016-03-25T13:24:00Z"/>
        <d v="2016-03-25T16:52:00Z"/>
        <d v="2016-03-25T22:54:00Z"/>
        <d v="2016-03-26T14:05:00Z"/>
        <d v="2016-03-26T15:19:00Z"/>
        <d v="2016-03-26T16:26:00Z"/>
        <d v="2016-03-27T00:31:00Z"/>
        <d v="2016-03-27T01:11:00Z"/>
        <d v="2016-03-27T15:31:00Z"/>
        <d v="2016-03-27T21:26:00Z"/>
        <d v="2016-03-27T23:04:00Z"/>
        <d v="2016-03-28T12:29:00Z"/>
        <d v="2016-03-28T19:30:00Z"/>
        <d v="2016-03-28T22:55:00Z"/>
        <d v="2016-03-29T15:27:00Z"/>
        <d v="2016-03-29T18:20:00Z"/>
        <d v="2016-03-29T20:29:00Z"/>
        <d v="2016-03-29T23:04:00Z"/>
        <d v="2016-03-30T22:05:00Z"/>
        <d v="2016-03-31T12:47:00Z"/>
        <d v="2016-03-31T14:37:00Z"/>
        <d v="2016-04-01T13:43:00Z"/>
        <d v="2016-04-01T14:36:00Z"/>
        <d v="2016-04-01T16:01:00Z"/>
        <d v="2016-04-01T16:52:00Z"/>
        <d v="2016-04-02T08:48:00Z"/>
        <d v="2016-04-02T11:01:00Z"/>
        <d v="2016-04-02T12:21:00Z"/>
        <d v="2016-04-02T16:57:00Z"/>
        <d v="2016-04-02T19:38:00Z"/>
        <d v="2016-04-02T23:11:00Z"/>
        <d v="2016-04-03T02:00:00Z"/>
        <d v="2016-04-05T21:39:00Z"/>
        <d v="2016-04-06T00:19:00Z"/>
        <d v="2016-04-07T18:20:00Z"/>
        <d v="2016-04-07T19:45:00Z"/>
        <d v="2016-04-08T12:30:00Z"/>
        <d v="2016-04-08T13:34:00Z"/>
        <d v="2016-04-08T13:55:00Z"/>
        <d v="2016-04-08T14:43:00Z"/>
        <d v="2016-04-08T16:05:00Z"/>
        <d v="2016-04-12T09:15:00Z"/>
        <d v="2016-04-12T09:34:00Z"/>
        <d v="2016-04-12T10:58:00Z"/>
        <d v="2016-04-12T12:22:00Z"/>
        <d v="2016-04-12T13:42:00Z"/>
        <d v="2016-04-14T07:29:00Z"/>
        <d v="2016-04-14T16:00:00Z"/>
        <d v="2016-04-15T11:36:00Z"/>
        <d v="2016-04-15T12:29:00Z"/>
        <d v="2016-04-15T14:31:00Z"/>
        <d v="2016-04-16T12:59:00Z"/>
        <d v="2016-04-16T15:10:00Z"/>
        <d v="2016-04-19T17:44:00Z"/>
        <d v="2016-04-19T19:57:00Z"/>
        <d v="2016-04-22T08:25:00Z"/>
        <d v="2016-04-22T10:10:00Z"/>
        <d v="2016-04-22T12:08:00Z"/>
        <d v="2016-04-22T13:02:00Z"/>
        <d v="2016-04-23T17:03:00Z"/>
        <d v="2016-04-23T18:49:00Z"/>
        <d v="2016-04-24T19:07:00Z"/>
        <d v="2016-04-24T19:46:00Z"/>
        <d v="2016-04-24T21:41:00Z"/>
        <d v="2016-04-27T13:30:00Z"/>
        <d v="2016-04-27T14:13:00Z"/>
        <d v="2016-04-28T12:09:00Z"/>
        <d v="2016-04-28T13:30:00Z"/>
        <d v="2016-04-28T22:10:00Z"/>
        <d v="2016-04-29T11:44:00Z"/>
        <d v="2016-04-29T13:13:00Z"/>
        <d v="2016-04-29T18:46:00Z"/>
        <d v="2016-04-29T22:44:00Z"/>
        <d v="2016-04-30T18:42:00Z"/>
        <d v="2016-04-30T22:16:00Z"/>
        <d v="2016-05-01T13:45:00Z"/>
        <d v="2016-05-01T14:26:00Z"/>
        <d v="2016-05-01T17:33:00Z"/>
        <d v="2016-05-01T17:54:00Z"/>
        <d v="2016-05-01T22:38:00Z"/>
        <d v="2016-05-02T14:14:00Z"/>
        <d v="2016-05-02T15:37:00Z"/>
        <d v="2016-05-03T22:20:00Z"/>
        <d v="2016-05-04T15:16:00Z"/>
        <d v="2016-05-04T20:55:00Z"/>
        <d v="2016-05-04T21:30:00Z"/>
        <d v="2016-05-04T22:19:00Z"/>
        <d v="2016-05-05T21:24:00Z"/>
        <d v="2016-05-05T22:34:00Z"/>
        <d v="2016-05-05T23:55:00Z"/>
        <d v="2016-05-06T05:47:00Z"/>
        <d v="2016-05-06T16:45:00Z"/>
        <d v="2016-05-06T17:18:00Z"/>
        <d v="2016-05-09T06:08:00Z"/>
        <d v="2016-05-09T14:39:00Z"/>
        <d v="2016-05-09T17:58:00Z"/>
        <d v="2016-05-09T19:35:00Z"/>
        <d v="2016-05-10T09:03:00Z"/>
        <d v="2016-05-10T17:19:00Z"/>
        <d v="2016-05-11T08:35:00Z"/>
        <d v="2016-05-11T21:47:00Z"/>
        <d v="2016-05-14T18:35:00Z"/>
        <d v="2016-05-14T23:01:00Z"/>
        <d v="2016-05-17T13:15:00Z"/>
        <d v="2016-05-17T13:56:00Z"/>
        <d v="2016-05-17T14:34:00Z"/>
        <d v="2016-05-18T09:11:00Z"/>
        <d v="2016-05-18T13:00:00Z"/>
        <d v="2016-05-19T14:37:00Z"/>
        <d v="2016-05-20T10:56:00Z"/>
        <d v="2016-05-20T15:43:00Z"/>
        <d v="2016-05-22T15:39:00Z"/>
        <d v="2016-05-22T18:46:00Z"/>
        <d v="2016-05-23T20:19:00Z"/>
        <d v="2016-05-23T21:09:00Z"/>
        <d v="2016-05-27T20:26:00Z"/>
        <d v="2016-05-27T20:47:00Z"/>
        <d v="2016-05-27T22:11:00Z"/>
        <d v="2016-05-28T00:15:00Z"/>
        <d v="2016-05-28T12:52:00Z"/>
        <d v="2016-05-28T14:35:00Z"/>
        <d v="2016-05-31T13:54:00Z"/>
        <d v="2016-05-31T16:02:00Z"/>
        <d v="2016-05-31T17:50:00Z"/>
        <d v="2016-06-01T10:19:00Z"/>
        <d v="2016-06-01T13:10:00Z"/>
        <d v="2016-06-03T11:29:00Z"/>
        <d v="2016-06-03T13:08:00Z"/>
        <d v="2016-06-03T15:31:00Z"/>
        <d v="2016-06-03T18:14:00Z"/>
        <d v="2016-06-03T18:41:00Z"/>
        <d v="2016-06-03T19:36:00Z"/>
        <d v="2016-06-03T22:47:00Z"/>
        <d v="2016-06-05T14:03:00Z"/>
        <d v="2016-06-05T15:06:00Z"/>
        <d v="2016-06-05T15:57:00Z"/>
        <d v="2016-06-05T18:05:00Z"/>
        <d v="2016-06-05T21:53:00Z"/>
        <d v="2016-06-05T23:52:00Z"/>
        <d v="2016-06-06T15:36:00Z"/>
        <d v="2016-06-06T16:16:00Z"/>
        <d v="2016-06-06T20:06:00Z"/>
        <d v="2016-06-06T21:08:00Z"/>
        <d v="2016-06-06T21:41:00Z"/>
        <d v="2016-06-06T23:34:00Z"/>
        <d v="2016-06-07T21:42:00Z"/>
        <d v="2016-06-07T23:41:00Z"/>
        <d v="2016-06-08T08:23:00Z"/>
        <d v="2016-06-08T12:04:00Z"/>
        <d v="2016-06-08T13:12:00Z"/>
        <d v="2016-06-08T14:31:00Z"/>
        <d v="2016-06-08T16:55:00Z"/>
        <d v="2016-06-08T17:16:00Z"/>
        <d v="2016-06-08T17:59:00Z"/>
        <d v="2016-06-08T20:11:00Z"/>
        <d v="2016-06-10T15:19:00Z"/>
        <d v="2016-06-10T21:47:00Z"/>
        <d v="2016-06-10T23:53:00Z"/>
        <d v="2016-06-11T17:08:00Z"/>
        <d v="2016-06-11T17:34:00Z"/>
        <d v="2016-06-11T17:50:00Z"/>
        <d v="2016-06-11T21:45:00Z"/>
        <d v="2016-06-11T23:39:00Z"/>
        <d v="2016-06-12T19:53:00Z"/>
        <d v="2016-06-12T20:05:00Z"/>
        <d v="2016-06-12T21:58:00Z"/>
        <d v="2016-06-13T05:23:00Z"/>
        <d v="2016-06-13T14:17:00Z"/>
        <d v="2016-06-13T18:08:00Z"/>
        <d v="2016-06-13T18:54:00Z"/>
        <d v="2016-06-13T20:00:00Z"/>
        <d v="2016-06-14T12:03:00Z"/>
        <d v="2016-06-14T16:09:00Z"/>
        <d v="2016-06-14T17:15:00Z"/>
        <d v="2016-06-14T17:27:00Z"/>
        <d v="2016-06-15T01:46:00Z"/>
        <d v="2016-06-15T15:26:00Z"/>
        <d v="2016-06-15T16:37:00Z"/>
        <d v="2016-06-15T17:29:00Z"/>
        <d v="2016-06-15T19:52:00Z"/>
        <d v="2016-06-16T13:36:00Z"/>
        <d v="2016-06-16T14:42:00Z"/>
        <d v="2016-06-16T15:17:00Z"/>
        <d v="2016-06-16T19:39:00Z"/>
        <d v="2016-06-16T21:43:00Z"/>
        <d v="2016-06-17T16:11:00Z"/>
        <d v="2016-06-18T00:29:00Z"/>
        <d v="2016-06-19T02:39:00Z"/>
        <d v="2016-06-19T05:51:00Z"/>
        <d v="2016-06-21T15:39:00Z"/>
        <d v="2016-06-21T17:11:00Z"/>
        <d v="2016-06-24T10:41:00Z"/>
        <d v="2016-06-24T11:54:00Z"/>
        <d v="2016-06-24T12:19:00Z"/>
        <d v="2016-06-24T12:50:00Z"/>
        <d v="2016-06-24T13:18:00Z"/>
        <d v="2016-06-24T14:01:00Z"/>
        <d v="2016-06-24T20:44:00Z"/>
        <d v="2016-06-25T09:03:00Z"/>
        <d v="2016-06-25T09:15:00Z"/>
        <d v="2016-06-25T10:18:00Z"/>
        <d v="2016-06-25T10:50:00Z"/>
        <d v="2016-06-25T11:25:00Z"/>
        <d v="2016-06-25T11:53:00Z"/>
        <d v="2016-06-25T19:47:00Z"/>
        <d v="2016-06-25T23:19:00Z"/>
        <d v="2016-06-26T17:43:00Z"/>
        <d v="2016-06-26T18:45:00Z"/>
        <d v="2016-06-26T19:41:00Z"/>
        <d v="2016-06-26T21:14:00Z"/>
        <d v="2016-06-27T07:37:00Z"/>
        <d v="2016-06-27T08:51:00Z"/>
        <d v="2016-06-27T09:05:00Z"/>
        <d v="2016-06-27T09:43:00Z"/>
        <d v="2016-06-27T10:22:00Z"/>
        <d v="2016-06-27T10:51:00Z"/>
        <d v="2016-06-27T11:06:00Z"/>
        <d v="2016-06-27T11:30:00Z"/>
        <d v="2016-06-27T12:22:00Z"/>
        <d v="2016-06-27T13:56:00Z"/>
        <d v="2016-06-27T21:09:00Z"/>
        <d v="2016-06-28T00:48:00Z"/>
        <d v="2016-06-28T20:13:00Z"/>
        <d v="2016-06-28T23:34:00Z"/>
        <d v="2016-06-29T08:56:00Z"/>
        <d v="2016-06-29T10:22:00Z"/>
        <d v="2016-06-29T11:49:00Z"/>
        <d v="2016-06-29T12:11:00Z"/>
        <d v="2016-06-29T20:11:00Z"/>
        <d v="2016-06-29T23:38:00Z"/>
        <d v="2016-06-30T20:09:00Z"/>
        <d v="2016-07-01T00:00:00Z"/>
        <d v="2016-07-01T09:34:00Z"/>
        <d v="2016-07-01T12:36:00Z"/>
        <d v="2016-07-01T20:06:00Z"/>
        <d v="2016-07-01T23:48:00Z"/>
        <d v="2016-07-02T20:18:00Z"/>
        <d v="2016-07-02T23:48:00Z"/>
        <d v="2016-07-03T00:28:00Z"/>
        <d v="2016-07-03T03:02:00Z"/>
        <d v="2016-07-03T20:00:00Z"/>
        <d v="2016-07-04T00:32:00Z"/>
        <d v="2016-07-04T17:31:00Z"/>
        <d v="2016-07-04T18:23:00Z"/>
        <d v="2016-07-04T20:00:00Z"/>
        <d v="2016-07-05T00:00:00Z"/>
        <d v="2016-07-05T00:08:00Z"/>
        <d v="2016-07-05T16:48:00Z"/>
        <d v="2016-07-05T20:06:00Z"/>
        <d v="2016-07-05T22:41:00Z"/>
        <d v="2016-07-06T00:33:00Z"/>
        <d v="2016-07-06T09:06:00Z"/>
        <d v="2016-07-06T12:48:00Z"/>
        <d v="2016-07-06T20:04:00Z"/>
        <d v="2016-07-06T23:46:00Z"/>
        <d v="2016-07-07T08:22:00Z"/>
        <d v="2016-07-07T10:27:00Z"/>
        <d v="2016-07-07T12:59:00Z"/>
        <d v="2016-07-08T09:50:00Z"/>
        <d v="2016-07-08T10:51:00Z"/>
        <d v="2016-07-08T13:48:00Z"/>
        <d v="2016-07-08T17:11:00Z"/>
        <d v="2016-07-09T09:03:00Z"/>
        <d v="2016-07-09T09:52:00Z"/>
        <d v="2016-07-09T10:15:00Z"/>
        <d v="2016-07-10T14:10:00Z"/>
        <d v="2016-07-10T16:04:00Z"/>
        <d v="2016-07-10T18:05:00Z"/>
        <d v="2016-07-10T19:51:00Z"/>
        <d v="2016-07-12T16:10:00Z"/>
        <d v="2016-07-12T19:21:00Z"/>
        <d v="2016-07-12T23:47:00Z"/>
        <d v="2016-07-13T12:39:00Z"/>
        <d v="2016-07-13T13:25:00Z"/>
        <d v="2016-07-13T13:42:00Z"/>
        <d v="2016-07-14T15:51:00Z"/>
        <d v="2016-07-14T16:03:00Z"/>
        <d v="2016-07-14T16:39:00Z"/>
        <d v="2016-07-15T11:32:00Z"/>
        <d v="2016-07-15T12:09:00Z"/>
        <d v="2016-07-15T12:35:00Z"/>
        <d v="2016-07-15T15:03:00Z"/>
        <d v="2016-07-15T15:40:00Z"/>
        <d v="2016-07-16T13:14:00Z"/>
        <d v="2016-07-16T14:14:00Z"/>
        <d v="2016-07-16T15:29:00Z"/>
        <d v="2016-07-16T19:42:00Z"/>
        <d v="2016-07-16T21:45:00Z"/>
        <d v="2016-07-16T22:50:00Z"/>
        <d v="2016-07-17T11:23:00Z"/>
        <d v="2016-07-17T12:20:00Z"/>
        <d v="2016-07-18T10:37:00Z"/>
        <d v="2016-07-18T10:54:00Z"/>
        <d v="2016-07-18T11:25:00Z"/>
        <d v="2016-07-18T11:40:00Z"/>
        <d v="2016-07-18T17:12:00Z"/>
        <d v="2016-07-18T18:32:00Z"/>
        <d v="2016-07-18T19:07:00Z"/>
        <d v="2016-07-18T20:28:00Z"/>
        <d v="2016-07-18T21:11:00Z"/>
        <d v="2016-07-19T10:35:00Z"/>
        <d v="2016-07-19T10:56:00Z"/>
        <d v="2016-07-19T11:30:00Z"/>
        <d v="2016-07-19T17:14:00Z"/>
        <d v="2016-07-19T17:50:00Z"/>
        <d v="2016-07-20T17:12:00Z"/>
        <d v="2016-07-20T17:50:00Z"/>
        <d v="2016-07-20T18:16:00Z"/>
        <d v="2016-07-21T17:17:00Z"/>
        <d v="2016-07-21T17:42:00Z"/>
        <d v="2016-07-21T18:27:00Z"/>
        <d v="2016-07-21T19:30:00Z"/>
        <d v="2016-07-22T10:42:00Z"/>
        <d v="2016-07-22T11:11:00Z"/>
        <d v="2016-07-22T11:37:00Z"/>
        <d v="2016-07-22T12:14:00Z"/>
        <d v="2016-07-22T13:21:00Z"/>
        <d v="2016-07-22T14:27:00Z"/>
        <d v="2016-07-22T15:49:00Z"/>
        <d v="2016-07-22T18:33:00Z"/>
        <d v="2016-07-23T14:27:00Z"/>
        <d v="2016-07-23T14:48:00Z"/>
        <d v="2016-07-23T15:15:00Z"/>
        <d v="2016-07-23T15:50:00Z"/>
        <d v="2016-07-23T20:17:00Z"/>
        <d v="2016-07-23T23:18:00Z"/>
        <d v="2016-07-25T10:35:00Z"/>
        <d v="2016-07-25T10:47:00Z"/>
        <d v="2016-07-25T11:04:00Z"/>
        <d v="2016-07-25T11:37:00Z"/>
        <d v="2016-07-26T15:43:00Z"/>
        <d v="2016-07-26T17:14:00Z"/>
        <d v="2016-07-26T20:52:00Z"/>
        <d v="2016-07-26T22:31:00Z"/>
        <d v="2016-07-27T19:08:00Z"/>
        <d v="2016-07-27T21:34:00Z"/>
        <d v="2016-07-27T22:00:00Z"/>
        <d v="2016-07-28T00:04:00Z"/>
        <d v="2016-07-29T15:45:00Z"/>
        <d v="2016-07-29T17:27:00Z"/>
        <d v="2016-07-30T17:02:00Z"/>
        <d v="2016-07-30T21:16:00Z"/>
        <d v="2016-07-31T17:30:00Z"/>
        <d v="2016-08-01T12:47:00Z"/>
        <d v="2016-08-01T13:08:00Z"/>
        <d v="2016-08-01T13:28:00Z"/>
        <d v="2016-08-01T13:52:00Z"/>
        <d v="2016-08-01T15:40:00Z"/>
        <d v="2016-08-01T16:18:00Z"/>
        <d v="2016-08-01T16:29:00Z"/>
        <d v="2016-08-01T17:23:00Z"/>
        <d v="2016-08-02T08:11:00Z"/>
        <d v="2016-08-02T11:51:00Z"/>
        <d v="2016-08-02T19:15:00Z"/>
        <d v="2016-08-02T21:23:00Z"/>
        <d v="2016-08-03T12:46:00Z"/>
        <d v="2016-08-03T14:59:00Z"/>
        <d v="2016-08-03T16:00:00Z"/>
        <d v="2016-08-05T17:23:00Z"/>
        <d v="2016-08-05T18:17:00Z"/>
        <d v="2016-08-05T19:17:00Z"/>
        <d v="2016-08-06T06:40:00Z"/>
        <d v="2016-08-06T09:31:00Z"/>
        <d v="2016-08-07T17:14:00Z"/>
        <d v="2016-08-07T17:28:00Z"/>
        <d v="2016-08-07T18:17:00Z"/>
        <d v="2016-08-07T20:15:00Z"/>
        <d v="2016-08-08T16:17:00Z"/>
        <d v="2016-08-08T16:37:00Z"/>
        <d v="2016-08-08T17:02:00Z"/>
        <d v="2016-08-08T21:50:00Z"/>
        <d v="2016-08-08T23:28:00Z"/>
        <d v="2016-08-09T14:20:00Z"/>
        <d v="2016-08-09T15:15:00Z"/>
        <d v="2016-08-09T16:04:00Z"/>
        <d v="2016-08-10T16:56:00Z"/>
        <d v="2016-08-10T17:53:00Z"/>
        <d v="2016-08-10T18:49:00Z"/>
        <d v="2016-08-10T19:47:00Z"/>
        <d v="2016-08-11T12:53:00Z"/>
        <d v="2016-08-11T13:14:00Z"/>
        <d v="2016-08-11T13:32:00Z"/>
        <d v="2016-08-11T18:37:00Z"/>
        <d v="2016-08-11T20:59:00Z"/>
        <d v="2016-08-12T18:49:00Z"/>
        <d v="2016-08-12T18:56:00Z"/>
        <d v="2016-08-13T15:35:00Z"/>
        <d v="2016-08-15T09:05:00Z"/>
        <d v="2016-08-15T15:20:00Z"/>
        <d v="2016-08-15T16:52:00Z"/>
        <d v="2016-08-15T19:08:00Z"/>
        <d v="2016-08-16T07:58:00Z"/>
        <d v="2016-08-16T08:16:00Z"/>
        <d v="2016-08-16T08:46:00Z"/>
        <d v="2016-08-16T10:06:00Z"/>
        <d v="2016-08-16T10:31:00Z"/>
        <d v="2016-08-16T11:47:00Z"/>
        <d v="2016-08-16T15:13:00Z"/>
        <d v="2016-08-17T10:17:00Z"/>
        <d v="2016-08-17T10:57:00Z"/>
        <d v="2016-08-17T14:45:00Z"/>
        <d v="2016-08-17T15:32:00Z"/>
        <d v="2016-08-17T16:29:00Z"/>
        <d v="2016-08-17T16:54:00Z"/>
        <d v="2016-08-17T17:05:00Z"/>
        <d v="2016-08-17T18:38:00Z"/>
        <d v="2016-08-18T18:40:00Z"/>
        <d v="2016-08-19T08:24:00Z"/>
        <d v="2016-08-19T08:54:00Z"/>
        <d v="2016-08-19T09:27:00Z"/>
        <d v="2016-08-19T10:57:00Z"/>
        <d v="2016-08-19T12:07:00Z"/>
        <d v="2016-08-19T15:51:00Z"/>
        <d v="2016-08-19T17:12:00Z"/>
        <d v="2016-08-21T10:00:00Z"/>
        <d v="2016-08-21T14:05:00Z"/>
        <d v="2016-08-21T16:30:00Z"/>
        <d v="2016-08-21T18:10:00Z"/>
        <d v="2016-08-21T18:48:00Z"/>
        <d v="2016-08-22T10:00:00Z"/>
        <d v="2016-08-22T11:07:00Z"/>
        <d v="2016-08-22T12:36:00Z"/>
        <d v="2016-08-22T13:02:00Z"/>
        <d v="2016-08-22T14:07:00Z"/>
        <d v="2016-08-22T15:14:00Z"/>
        <d v="2016-08-22T15:59:00Z"/>
        <d v="2016-08-22T19:58:00Z"/>
        <d v="2016-08-22T20:53:00Z"/>
        <d v="2016-08-22T22:31:00Z"/>
        <d v="2016-08-23T08:10:00Z"/>
        <d v="2016-08-23T09:35:00Z"/>
        <d v="2016-08-23T12:59:00Z"/>
        <d v="2016-08-23T13:19:00Z"/>
        <d v="2016-08-23T13:49:00Z"/>
        <d v="2016-08-23T15:07:00Z"/>
        <d v="2016-08-23T15:15:00Z"/>
        <d v="2016-08-23T17:42:00Z"/>
        <d v="2016-08-24T12:05:00Z"/>
        <d v="2016-08-24T13:01:00Z"/>
        <d v="2016-08-25T15:17:00Z"/>
        <d v="2016-08-25T16:36:00Z"/>
        <d v="2016-08-25T17:19:00Z"/>
        <d v="2016-08-25T19:25:00Z"/>
        <d v="2016-08-25T22:58:00Z"/>
        <d v="2016-08-26T09:06:00Z"/>
        <d v="2016-08-26T11:14:00Z"/>
        <d v="2016-08-26T12:10:00Z"/>
        <d v="2016-08-26T14:10:00Z"/>
        <d v="2016-08-26T15:23:00Z"/>
        <d v="2016-08-26T15:59:00Z"/>
        <d v="2016-08-26T16:55:00Z"/>
        <d v="2016-08-26T18:42:00Z"/>
        <d v="2016-08-26T19:31:00Z"/>
        <d v="2016-08-26T20:06:00Z"/>
        <d v="2016-08-27T09:34:00Z"/>
        <d v="2016-08-27T11:47:00Z"/>
        <d v="2016-08-27T12:12:00Z"/>
        <d v="2016-08-27T14:01:00Z"/>
        <d v="2016-08-27T16:15:00Z"/>
        <d v="2016-08-28T09:57:00Z"/>
        <d v="2016-08-28T16:39:00Z"/>
        <d v="2016-08-28T17:37:00Z"/>
        <d v="2016-08-28T21:15:00Z"/>
        <d v="2016-08-29T12:02:00Z"/>
        <d v="2016-08-29T13:38:00Z"/>
        <d v="2016-08-29T14:31:00Z"/>
        <d v="2016-08-29T14:49:00Z"/>
        <d v="2016-08-29T15:49:00Z"/>
        <d v="2016-08-29T16:06:00Z"/>
        <d v="2016-08-29T17:24:00Z"/>
        <d v="2016-08-29T18:27:00Z"/>
        <d v="2016-08-30T11:53:00Z"/>
        <d v="2016-08-30T12:46:00Z"/>
        <d v="2016-08-30T13:25:00Z"/>
        <d v="2016-08-30T14:00:00Z"/>
        <d v="2016-08-30T17:27:00Z"/>
        <d v="2016-09-01T11:51:00Z"/>
        <d v="2016-09-01T17:21:00Z"/>
        <d v="2016-09-01T18:49:00Z"/>
        <d v="2016-09-02T11:37:00Z"/>
        <d v="2016-09-02T18:56:00Z"/>
        <d v="2016-09-05T10:25:00Z"/>
        <d v="2016-09-10T10:28:00Z"/>
        <d v="2016-09-11T09:51:00Z"/>
        <d v="2016-09-11T21:40:00Z"/>
        <d v="2016-09-12T08:07:00Z"/>
        <d v="2016-09-12T11:15:00Z"/>
        <d v="2016-09-12T13:04:00Z"/>
        <d v="2016-09-13T16:56:00Z"/>
        <d v="2016-09-14T11:55:00Z"/>
        <d v="2016-09-15T20:33:00Z"/>
        <d v="2016-09-18T18:07:00Z"/>
        <d v="2016-09-19T06:18:00Z"/>
        <d v="2016-09-19T14:40:00Z"/>
        <d v="2016-09-19T16:23:00Z"/>
        <d v="2016-09-19T17:36:00Z"/>
        <d v="2016-09-19T19:10:00Z"/>
        <d v="2016-09-20T11:29:00Z"/>
        <d v="2016-09-20T20:47:00Z"/>
        <d v="2016-09-23T13:15:00Z"/>
        <d v="2016-09-24T14:34:00Z"/>
        <d v="2016-09-24T20:29:00Z"/>
        <d v="2016-09-27T08:33:00Z"/>
        <d v="2016-09-27T13:21:00Z"/>
        <d v="2016-09-27T19:14:00Z"/>
        <d v="2016-09-27T21:01:00Z"/>
        <d v="2016-09-28T17:21:00Z"/>
        <d v="2016-09-29T16:13:00Z"/>
        <d v="2016-09-30T17:39:00Z"/>
        <d v="2016-09-30T20:59:00Z"/>
        <d v="2016-10-03T17:09:00Z"/>
        <d v="2016-10-03T18:17:00Z"/>
        <d v="2016-10-03T18:51:00Z"/>
        <d v="2016-10-03T22:04:00Z"/>
        <d v="2016-10-04T09:50:00Z"/>
        <d v="2016-10-04T12:17:00Z"/>
        <d v="2016-10-06T08:49:00Z"/>
        <d v="2016-10-06T17:23:00Z"/>
        <d v="2016-10-06T18:37:00Z"/>
        <d v="2016-10-06T19:46:00Z"/>
        <d v="2016-10-07T10:56:00Z"/>
        <d v="2016-10-07T11:27:00Z"/>
        <d v="2016-10-07T13:52:00Z"/>
        <d v="2016-10-07T14:29:00Z"/>
        <d v="2016-10-07T15:47:00Z"/>
        <d v="2016-10-07T18:08:00Z"/>
        <d v="2016-10-07T18:33:00Z"/>
        <d v="2016-10-08T18:15:00Z"/>
        <d v="2016-10-09T14:04:00Z"/>
        <d v="2016-10-10T17:22:00Z"/>
        <d v="2016-10-10T17:33:00Z"/>
        <d v="2016-10-11T01:27:00Z"/>
        <d v="2016-10-12T19:18:00Z"/>
        <d v="2016-10-13T11:20:00Z"/>
        <d v="2016-10-13T12:08:00Z"/>
        <d v="2016-10-13T13:37:00Z"/>
        <d v="2016-10-13T16:08:00Z"/>
        <d v="2016-10-14T08:50:00Z"/>
        <d v="2016-10-14T10:16:00Z"/>
        <d v="2016-10-14T15:56:00Z"/>
        <d v="2016-10-14T23:54:00Z"/>
        <d v="2016-10-15T22:28:00Z"/>
        <d v="2016-10-16T00:01:00Z"/>
        <d v="2016-10-16T12:52:00Z"/>
        <d v="2016-10-16T14:40:00Z"/>
        <d v="2016-10-16T15:10:00Z"/>
        <d v="2016-10-16T19:27:00Z"/>
        <d v="2016-10-16T20:30:00Z"/>
        <d v="2016-10-16T21:34:00Z"/>
        <d v="2016-10-17T15:19:00Z"/>
        <d v="2016-10-17T16:29:00Z"/>
        <d v="2016-10-17T18:02:00Z"/>
        <d v="2016-10-17T18:31:00Z"/>
        <d v="2016-10-17T19:08:00Z"/>
        <d v="2016-10-18T08:12:00Z"/>
        <d v="2016-10-18T08:53:00Z"/>
        <d v="2016-10-18T10:41:00Z"/>
        <d v="2016-10-18T18:12:00Z"/>
        <d v="2016-10-18T19:03:00Z"/>
        <d v="2016-10-18T20:31:00Z"/>
        <d v="2016-10-19T09:33:00Z"/>
        <d v="2016-10-19T09:54:00Z"/>
        <d v="2016-10-19T13:45:00Z"/>
        <d v="2016-10-19T14:02:00Z"/>
        <d v="2016-10-19T15:44:00Z"/>
        <d v="2016-10-19T16:06:00Z"/>
        <d v="2016-10-19T16:33:00Z"/>
        <d v="2016-10-20T11:26:00Z"/>
        <d v="2016-10-20T12:19:00Z"/>
        <d v="2016-10-20T20:44:00Z"/>
        <d v="2016-10-21T10:06:00Z"/>
        <d v="2016-10-22T00:54:00Z"/>
        <d v="2016-10-22T13:26:00Z"/>
        <d v="2016-10-22T17:08:00Z"/>
        <d v="2016-10-23T09:24:00Z"/>
        <d v="2016-10-23T12:17:00Z"/>
        <d v="2016-10-23T19:04:00Z"/>
        <d v="2016-10-23T21:10:00Z"/>
        <d v="2016-10-24T14:57:00Z"/>
        <d v="2016-10-24T15:33:00Z"/>
        <d v="2016-10-24T16:34:00Z"/>
        <d v="2016-10-25T13:27:00Z"/>
        <d v="2016-10-25T15:04:00Z"/>
        <d v="2016-10-25T15:16:00Z"/>
        <d v="2016-10-25T20:00:00Z"/>
        <d v="2016-10-25T20:54:00Z"/>
        <d v="2016-10-25T22:24:00Z"/>
        <d v="2016-10-26T19:25:00Z"/>
        <d v="2016-10-26T20:53:00Z"/>
        <d v="2016-10-27T18:51:00Z"/>
        <d v="2016-10-27T19:20:00Z"/>
        <d v="2016-10-27T19:52:00Z"/>
        <d v="2016-10-27T20:47:00Z"/>
        <d v="2016-10-27T21:26:00Z"/>
        <d v="2016-10-28T11:34:00Z"/>
        <d v="2016-10-28T13:06:00Z"/>
        <d v="2016-10-28T15:53:00Z"/>
        <d v="2016-10-28T18:13:00Z"/>
        <d v="2016-10-28T20:13:00Z"/>
        <d v="2016-10-29T15:22:00Z"/>
        <d v="2016-10-29T17:13:00Z"/>
        <d v="2016-10-30T07:49:00Z"/>
        <d v="2016-10-30T09:07:00Z"/>
        <d v="2016-10-30T10:11:00Z"/>
        <d v="2016-10-30T10:51:00Z"/>
        <d v="2016-10-30T12:24:00Z"/>
        <d v="2016-10-30T12:58:00Z"/>
        <d v="2016-10-30T13:24:00Z"/>
        <d v="2016-10-30T15:22:00Z"/>
        <d v="2016-10-30T18:26:00Z"/>
        <d v="2016-10-31T18:11:00Z"/>
        <d v="2016-10-31T18:47:00Z"/>
        <d v="2016-10-31T20:18:00Z"/>
        <d v="2016-10-31T21:45:00Z"/>
        <d v="2016-11-01T11:50:00Z"/>
        <d v="2016-11-01T16:29:00Z"/>
        <d v="2016-11-01T17:35:00Z"/>
        <d v="2016-11-01T19:14:00Z"/>
        <d v="2016-11-01T19:59:00Z"/>
        <d v="2016-11-01T20:41:00Z"/>
        <d v="2016-11-02T15:10:00Z"/>
        <d v="2016-11-02T15:45:00Z"/>
        <d v="2016-11-02T16:46:00Z"/>
        <d v="2016-11-02T17:34:00Z"/>
        <d v="2016-11-02T17:53:00Z"/>
        <d v="2016-11-03T11:28:00Z"/>
        <d v="2016-11-03T12:43:00Z"/>
        <d v="2016-11-03T13:42:00Z"/>
        <d v="2016-11-03T14:13:00Z"/>
        <d v="2016-11-03T18:51:00Z"/>
        <d v="2016-11-03T22:46:00Z"/>
        <d v="2016-11-04T10:02:00Z"/>
        <d v="2016-11-04T18:14:00Z"/>
        <d v="2016-11-04T21:04:00Z"/>
        <d v="2016-11-04T22:12:00Z"/>
        <d v="2016-11-05T08:34:00Z"/>
        <d v="2016-11-05T17:29:00Z"/>
        <d v="2016-11-05T19:20:00Z"/>
        <d v="2016-11-06T10:50:00Z"/>
        <d v="2016-11-06T16:05:00Z"/>
        <d v="2016-11-06T16:27:00Z"/>
        <d v="2016-11-06T19:04:00Z"/>
        <d v="2016-11-06T20:06:00Z"/>
        <d v="2016-11-07T12:28:00Z"/>
        <d v="2016-11-07T19:17:00Z"/>
        <d v="2016-11-08T10:29:00Z"/>
        <d v="2016-11-08T12:16:00Z"/>
        <d v="2016-11-08T13:41:00Z"/>
        <d v="2016-11-08T16:21:00Z"/>
        <d v="2016-11-09T13:08:00Z"/>
        <d v="2016-11-09T15:58:00Z"/>
        <d v="2016-11-09T17:31:00Z"/>
        <d v="2016-11-09T18:09:00Z"/>
        <d v="2016-11-09T18:21:00Z"/>
        <d v="2016-11-09T18:40:00Z"/>
        <d v="2016-11-09T20:52:00Z"/>
        <d v="2016-11-09T21:56:00Z"/>
        <d v="2016-11-10T09:46:00Z"/>
        <d v="2016-11-10T10:20:00Z"/>
        <d v="2016-11-10T14:57:00Z"/>
        <d v="2016-11-10T15:17:00Z"/>
        <d v="2016-11-10T15:30:00Z"/>
        <d v="2016-11-10T19:18:00Z"/>
        <d v="2016-11-11T09:35:00Z"/>
        <d v="2016-11-11T12:58:00Z"/>
        <d v="2016-11-11T14:20:00Z"/>
        <d v="2016-11-11T14:39:00Z"/>
        <d v="2016-11-11T18:30:00Z"/>
        <d v="2016-11-11T21:08:00Z"/>
        <d v="2016-11-12T10:32:00Z"/>
        <d v="2016-11-12T10:55:00Z"/>
        <d v="2016-11-12T13:07:00Z"/>
        <d v="2016-11-12T13:46:00Z"/>
        <d v="2016-11-12T14:22:00Z"/>
        <d v="2016-11-12T15:14:00Z"/>
        <d v="2016-11-12T15:25:00Z"/>
        <d v="2016-11-12T15:40:00Z"/>
        <d v="2016-11-13T08:54:00Z"/>
        <d v="2016-11-13T09:27:00Z"/>
        <d v="2016-11-13T10:31:00Z"/>
        <d v="2016-11-13T11:04:00Z"/>
        <d v="2016-11-13T12:22:00Z"/>
        <d v="2016-11-13T13:05:00Z"/>
        <d v="2016-11-13T13:14:00Z"/>
        <d v="2016-11-13T14:35:00Z"/>
        <d v="2016-11-13T15:14:00Z"/>
        <d v="2016-11-13T15:47:00Z"/>
        <d v="2016-11-14T11:24:00Z"/>
        <d v="2016-11-14T13:40:00Z"/>
        <d v="2016-11-14T15:27:00Z"/>
        <d v="2016-11-14T20:19:00Z"/>
        <d v="2016-11-15T13:59:00Z"/>
        <d v="2016-11-15T14:09:00Z"/>
        <d v="2016-11-15T20:44:00Z"/>
        <d v="2016-11-16T20:21:00Z"/>
        <d v="2016-11-16T22:52:00Z"/>
        <d v="2016-11-17T10:13:00Z"/>
        <d v="2016-11-18T20:09:00Z"/>
        <d v="2016-11-18T21:23:00Z"/>
        <d v="2016-11-18T21:56:00Z"/>
        <d v="2016-11-19T13:51:00Z"/>
        <d v="2016-11-19T14:30:00Z"/>
        <d v="2016-11-19T16:01:00Z"/>
        <d v="2016-11-19T16:27:00Z"/>
        <d v="2016-11-19T17:41:00Z"/>
        <d v="2016-11-19T21:14:00Z"/>
        <d v="2016-11-20T10:27:00Z"/>
        <d v="2016-11-20T11:58:00Z"/>
        <d v="2016-11-20T14:58:00Z"/>
        <d v="2016-11-20T17:45:00Z"/>
        <d v="2016-11-21T13:37:00Z"/>
        <d v="2016-11-21T14:34:00Z"/>
        <d v="2016-11-21T17:50:00Z"/>
        <d v="2016-11-21T18:18:00Z"/>
        <d v="2016-11-21T18:43:00Z"/>
        <d v="2016-11-22T15:12:00Z"/>
        <d v="2016-11-22T15:31:00Z"/>
        <d v="2016-11-22T15:51:00Z"/>
        <d v="2016-11-22T18:18:00Z"/>
        <d v="2016-11-22T21:02:00Z"/>
        <d v="2016-11-23T15:34:00Z"/>
        <d v="2016-11-23T16:18:00Z"/>
        <d v="2016-11-23T16:49:00Z"/>
        <d v="2016-11-23T18:37:00Z"/>
        <d v="2016-11-25T11:47:00Z"/>
        <d v="2016-11-25T13:13:00Z"/>
        <d v="2016-11-26T15:54:00Z"/>
        <d v="2016-11-26T17:00:00Z"/>
        <d v="2016-11-26T17:36:00Z"/>
        <d v="2016-11-26T18:29:00Z"/>
        <d v="2016-11-26T19:47:00Z"/>
        <d v="2016-11-27T15:59:00Z"/>
        <d v="2016-11-27T18:55:00Z"/>
        <d v="2016-11-30T11:03:00Z"/>
        <d v="2016-11-30T11:53:00Z"/>
        <d v="2016-11-30T12:43:00Z"/>
        <d v="2016-12-01T07:44:00Z"/>
        <d v="2016-12-01T08:37:00Z"/>
        <d v="2016-12-01T18:00:00Z"/>
        <d v="2016-12-01T20:36:00Z"/>
        <d v="2016-12-02T12:12:00Z"/>
        <d v="2016-12-02T13:07:00Z"/>
        <d v="2016-12-02T20:41:00Z"/>
        <d v="2016-12-02T22:59:00Z"/>
        <d v="2016-12-03T18:35:00Z"/>
        <d v="2016-12-03T19:08:00Z"/>
        <d v="2016-12-03T20:31:00Z"/>
        <d v="2016-12-04T18:56:00Z"/>
        <d v="2016-12-04T20:23:00Z"/>
        <d v="2016-12-05T18:04:00Z"/>
        <d v="2016-12-05T19:22:00Z"/>
        <d v="2016-12-07T12:03:00Z"/>
        <d v="2016-12-07T12:35:00Z"/>
        <d v="2016-12-07T19:53:00Z"/>
        <d v="2016-12-07T21:13:00Z"/>
        <d v="2016-12-08T14:19:00Z"/>
        <d v="2016-12-08T14:53:00Z"/>
        <d v="2016-12-08T19:22:00Z"/>
        <d v="2016-12-08T21:26:00Z"/>
        <d v="2016-12-09T12:09:00Z"/>
        <d v="2016-12-09T13:15:00Z"/>
        <d v="2016-12-09T20:11:00Z"/>
        <d v="2016-12-09T22:03:00Z"/>
        <d v="2016-12-10T12:43:00Z"/>
        <d v="2016-12-10T14:42:00Z"/>
        <d v="2016-12-10T18:17:00Z"/>
        <d v="2016-12-10T22:09:00Z"/>
        <d v="2016-12-11T16:06:00Z"/>
        <d v="2016-12-11T19:05:00Z"/>
        <d v="2016-12-11T21:48:00Z"/>
        <d v="2016-12-12T13:22:00Z"/>
        <d v="2016-12-12T13:36:00Z"/>
        <d v="2016-12-12T14:26:00Z"/>
        <d v="2016-12-12T17:51:00Z"/>
        <d v="2016-12-12T20:48:00Z"/>
        <d v="2016-12-13T18:19:00Z"/>
        <d v="2016-12-13T20:20:00Z"/>
        <d v="2016-12-14T16:52:00Z"/>
        <d v="2016-12-14T17:22:00Z"/>
        <d v="2016-12-14T17:50:00Z"/>
        <d v="2016-12-14T20:24:00Z"/>
        <d v="2016-12-15T14:20:00Z"/>
        <d v="2016-12-17T15:38:00Z"/>
        <d v="2016-12-17T17:19:00Z"/>
        <d v="2016-12-18T13:03:00Z"/>
        <d v="2016-12-18T16:38:00Z"/>
        <d v="2016-12-18T20:35:00Z"/>
        <d v="2016-12-19T09:08:00Z"/>
        <d v="2016-12-19T10:15:00Z"/>
        <d v="2016-12-19T13:04:00Z"/>
        <d v="2016-12-19T13:24:00Z"/>
        <d v="2016-12-19T14:07:00Z"/>
        <d v="2016-12-19T14:18:00Z"/>
        <d v="2016-12-19T14:37:00Z"/>
        <d v="2016-12-19T15:09:00Z"/>
        <d v="2016-12-19T16:50:00Z"/>
        <d v="2016-12-19T19:05:00Z"/>
        <d v="2016-12-19T19:55:00Z"/>
        <d v="2016-12-20T08:49:00Z"/>
        <d v="2016-12-20T10:30:00Z"/>
        <d v="2016-12-20T11:30:00Z"/>
        <d v="2016-12-20T13:14:00Z"/>
        <d v="2016-12-20T13:54:00Z"/>
        <d v="2016-12-20T16:14:00Z"/>
        <d v="2016-12-20T16:56:00Z"/>
        <d v="2016-12-20T18:47:00Z"/>
        <d v="2016-12-21T07:42:00Z"/>
        <d v="2016-12-21T10:14:00Z"/>
        <d v="2016-12-21T11:35:00Z"/>
        <d v="2016-12-21T12:51:00Z"/>
        <d v="2016-12-21T15:38:00Z"/>
        <d v="2016-12-21T15:55:00Z"/>
        <d v="2016-12-21T17:45:00Z"/>
        <d v="2016-12-21T17:59:00Z"/>
        <d v="2016-12-21T19:49:00Z"/>
        <d v="2016-12-21T20:56:00Z"/>
        <d v="2016-12-22T15:40:00Z"/>
        <d v="2016-12-22T17:04:00Z"/>
        <d v="2016-12-22T17:27:00Z"/>
        <d v="2016-12-22T17:56:00Z"/>
        <d v="2016-12-22T18:31:00Z"/>
        <d v="2016-12-22T18:38:00Z"/>
        <d v="2016-12-22T19:04:00Z"/>
        <d v="2016-12-22T21:41:00Z"/>
        <d v="2016-12-22T23:27:00Z"/>
        <d v="2016-12-23T09:21:00Z"/>
        <d v="2016-12-23T11:33:00Z"/>
        <d v="2016-12-23T14:15:00Z"/>
        <d v="2016-12-23T16:23:00Z"/>
        <d v="2016-12-23T17:34:00Z"/>
        <d v="2016-12-24T07:43:00Z"/>
        <d v="2016-12-24T09:19:00Z"/>
        <d v="2016-12-24T10:34:00Z"/>
        <d v="2016-12-24T12:51:00Z"/>
        <d v="2016-12-24T13:08:00Z"/>
        <d v="2016-12-24T17:12:00Z"/>
        <d v="2016-12-24T19:12:00Z"/>
        <d v="2016-12-24T22:04:00Z"/>
        <d v="2016-12-25T00:10:00Z"/>
        <d v="2016-12-25T19:15:00Z"/>
        <d v="2016-12-25T21:58:00Z"/>
        <d v="2016-12-26T08:30:00Z"/>
        <d v="2016-12-26T09:05:00Z"/>
        <d v="2016-12-26T10:15:00Z"/>
        <d v="2016-12-26T11:29:00Z"/>
        <d v="2016-12-26T13:09:00Z"/>
        <d v="2016-12-27T07:02:00Z"/>
        <d v="2016-12-27T08:37:00Z"/>
        <d v="2016-12-27T12:53:00Z"/>
        <d v="2016-12-27T14:49:00Z"/>
        <d v="2016-12-27T16:34:00Z"/>
        <d v="2016-12-27T19:19:00Z"/>
        <d v="2016-12-28T08:34:00Z"/>
        <d v="2016-12-28T11:42:00Z"/>
        <d v="2016-12-28T13:53:00Z"/>
        <d v="2016-12-28T15:04:00Z"/>
        <d v="2016-12-28T17:02:00Z"/>
        <d v="2016-12-28T18:33:00Z"/>
        <d v="2016-12-28T22:44:00Z"/>
        <d v="2016-12-29T00:49:00Z"/>
        <d v="2016-12-29T09:44:00Z"/>
        <d v="2016-12-29T11:28:00Z"/>
        <d v="2016-12-29T12:25:00Z"/>
        <d v="2016-12-29T13:17:00Z"/>
        <d v="2016-12-29T13:56:00Z"/>
        <d v="2016-12-29T14:42:00Z"/>
        <d v="2016-12-29T15:05:00Z"/>
        <d v="2016-12-29T18:59:00Z"/>
        <d v="2016-12-29T19:50:00Z"/>
        <d v="2016-12-29T20:15:00Z"/>
        <d v="2016-12-29T20:53:00Z"/>
        <d v="2016-12-29T23:14:00Z"/>
        <d v="2016-12-30T10:15:00Z"/>
        <d v="2016-12-30T11:31:00Z"/>
        <d v="2016-12-30T15:41:00Z"/>
        <d v="2016-12-30T16:45:00Z"/>
        <d v="2016-12-30T23:06:00Z"/>
        <d v="2016-12-31T01:07:00Z"/>
        <d v="2016-12-31T13:24:00Z"/>
        <d v="2016-12-31T15:03:00Z"/>
        <d v="2016-12-31T21:32:00Z"/>
        <d v="2016-12-31T22:08:00Z"/>
      </sharedItems>
    </cacheField>
    <cacheField name="END_DATE" numFmtId="164">
      <sharedItems containsSemiMixedTypes="0" containsDate="1" containsString="0">
        <d v="2016-01-01T21:17:00Z"/>
        <d v="2016-01-02T01:37:00Z"/>
        <d v="2016-01-02T20:38:00Z"/>
        <d v="2016-01-05T17:45:00Z"/>
        <d v="2016-01-06T15:49:00Z"/>
        <d v="2016-01-06T17:19:00Z"/>
        <d v="2016-01-06T17:35:00Z"/>
        <d v="2016-01-07T13:33:00Z"/>
        <d v="2016-01-10T08:25:00Z"/>
        <d v="2016-01-10T12:44:00Z"/>
        <d v="2016-01-10T15:51:00Z"/>
        <d v="2016-01-10T18:53:00Z"/>
        <d v="2016-01-10T19:32:00Z"/>
        <d v="2016-01-11T09:21:00Z"/>
        <d v="2016-01-11T12:03:00Z"/>
        <d v="2016-01-11T13:46:00Z"/>
        <d v="2016-01-11T14:43:00Z"/>
        <d v="2016-01-12T12:49:00Z"/>
        <d v="2016-01-12T13:09:00Z"/>
        <d v="2016-01-12T14:56:00Z"/>
        <d v="2016-01-12T15:28:00Z"/>
        <d v="2016-01-12T15:54:00Z"/>
        <d v="2016-01-12T17:00:00Z"/>
        <d v="2016-01-13T14:07:00Z"/>
        <d v="2016-01-13T15:28:00Z"/>
        <d v="2016-01-14T17:05:00Z"/>
        <d v="2016-01-14T21:45:00Z"/>
        <d v="2016-01-15T01:01:00Z"/>
        <d v="2016-01-15T12:03:00Z"/>
        <d v="2016-01-15T13:44:00Z"/>
        <d v="2016-01-18T15:06:00Z"/>
        <d v="2016-01-18T16:24:00Z"/>
        <d v="2016-01-19T09:23:00Z"/>
        <d v="2016-01-19T11:09:00Z"/>
        <d v="2016-01-20T11:11:00Z"/>
        <d v="2016-01-20T12:19:00Z"/>
        <d v="2016-01-20T14:19:00Z"/>
        <d v="2016-01-21T14:29:00Z"/>
        <d v="2016-01-21T14:51:00Z"/>
        <d v="2016-01-21T16:06:00Z"/>
        <d v="2016-01-26T10:50:00Z"/>
        <d v="2016-01-26T12:41:00Z"/>
        <d v="2016-01-26T16:32:00Z"/>
        <d v="2016-01-26T17:22:00Z"/>
        <d v="2016-01-26T17:29:00Z"/>
        <d v="2016-01-27T09:31:00Z"/>
        <d v="2016-01-27T10:48:00Z"/>
        <d v="2016-01-27T12:44:00Z"/>
        <d v="2016-01-27T14:13:00Z"/>
        <d v="2016-01-27T15:08:00Z"/>
        <d v="2016-01-28T13:00:00Z"/>
        <d v="2016-01-28T15:31:00Z"/>
        <d v="2016-01-28T16:51:00Z"/>
        <d v="2016-01-29T09:45:00Z"/>
        <d v="2016-01-29T11:07:00Z"/>
        <d v="2016-01-29T12:03:00Z"/>
        <d v="2016-01-29T13:47:00Z"/>
        <d v="2016-01-29T18:52:00Z"/>
        <d v="2016-01-29T21:40:00Z"/>
        <d v="2016-01-30T16:33:00Z"/>
        <d v="2016-01-30T18:24:00Z"/>
        <d v="2016-02-01T11:15:00Z"/>
        <d v="2016-02-01T12:43:00Z"/>
        <d v="2016-02-01T13:07:00Z"/>
        <d v="2016-02-02T13:23:00Z"/>
        <d v="2016-02-02T14:06:00Z"/>
        <d v="2016-02-02T14:42:00Z"/>
        <d v="2016-02-04T09:01:00Z"/>
        <d v="2016-02-04T10:09:00Z"/>
        <d v="2016-02-04T10:32:00Z"/>
        <d v="2016-02-04T16:03:00Z"/>
        <d v="2016-02-04T16:39:00Z"/>
        <d v="2016-02-04T18:31:00Z"/>
        <d v="2016-02-04T20:55:00Z"/>
        <d v="2016-02-05T12:07:00Z"/>
        <d v="2016-02-05T13:41:00Z"/>
        <d v="2016-02-06T16:53:00Z"/>
        <d v="2016-02-06T19:21:00Z"/>
        <d v="2016-02-06T19:37:00Z"/>
        <d v="2016-02-07T17:01:00Z"/>
        <d v="2016-02-07T18:17:00Z"/>
        <d v="2016-02-07T18:53:00Z"/>
        <d v="2016-02-07T20:40:00Z"/>
        <d v="2016-02-08T13:08:00Z"/>
        <d v="2016-02-08T14:10:00Z"/>
        <d v="2016-02-09T11:07:00Z"/>
        <d v="2016-02-09T11:50:00Z"/>
        <d v="2016-02-09T13:52:00Z"/>
        <d v="2016-02-09T14:02:00Z"/>
        <d v="2016-02-09T19:11:00Z"/>
        <d v="2016-02-09T20:40:00Z"/>
        <d v="2016-02-11T17:10:00Z"/>
        <d v="2016-02-11T18:10:00Z"/>
        <d v="2016-02-11T18:46:00Z"/>
        <d v="2016-02-11T20:51:00Z"/>
        <d v="2016-02-12T08:42:00Z"/>
        <d v="2016-02-12T10:52:00Z"/>
        <d v="2016-02-12T11:35:00Z"/>
        <d v="2016-02-12T13:36:00Z"/>
        <d v="2016-02-12T15:06:00Z"/>
        <d v="2016-02-12T16:06:00Z"/>
        <d v="2016-02-13T14:41:00Z"/>
        <d v="2016-02-14T00:01:00Z"/>
        <d v="2016-02-14T01:00:00Z"/>
        <d v="2016-02-14T14:40:00Z"/>
        <d v="2016-02-14T15:03:00Z"/>
        <d v="2016-02-14T17:02:00Z"/>
        <d v="2016-02-14T17:29:00Z"/>
        <d v="2016-02-16T04:13:00Z"/>
        <d v="2016-02-16T09:34:00Z"/>
        <d v="2016-02-16T10:41:00Z"/>
        <d v="2016-02-16T12:02:00Z"/>
        <d v="2016-02-16T12:42:00Z"/>
        <d v="2016-02-16T13:55:00Z"/>
        <d v="2016-02-16T17:10:00Z"/>
        <d v="2016-02-16T17:26:00Z"/>
        <d v="2016-02-16T17:44:00Z"/>
        <d v="2016-02-17T14:04:00Z"/>
        <d v="2016-02-17T15:22:00Z"/>
        <d v="2016-02-17T16:17:00Z"/>
        <d v="2016-02-17T16:43:00Z"/>
        <d v="2016-02-18T08:27:00Z"/>
        <d v="2016-02-18T14:45:00Z"/>
        <d v="2016-02-18T15:31:00Z"/>
        <d v="2016-02-18T18:58:00Z"/>
        <d v="2016-02-18T20:08:00Z"/>
        <d v="2016-02-19T09:14:00Z"/>
        <d v="2016-02-19T09:51:00Z"/>
        <d v="2016-02-19T10:48:00Z"/>
        <d v="2016-02-19T11:26:00Z"/>
        <d v="2016-02-19T11:50:00Z"/>
        <d v="2016-02-19T12:27:00Z"/>
        <d v="2016-02-19T16:45:00Z"/>
        <d v="2016-02-19T17:20:00Z"/>
        <d v="2016-02-19T20:30:00Z"/>
        <d v="2016-02-19T20:51:00Z"/>
        <d v="2016-02-20T08:32:00Z"/>
        <d v="2016-02-20T10:56:00Z"/>
        <d v="2016-02-20T11:53:00Z"/>
        <d v="2016-02-20T13:17:00Z"/>
        <d v="2016-02-20T15:54:00Z"/>
        <d v="2016-02-20T17:54:00Z"/>
        <d v="2016-02-20T18:03:00Z"/>
        <d v="2016-02-20T19:49:00Z"/>
        <d v="2016-02-21T09:46:00Z"/>
        <d v="2016-02-21T11:43:00Z"/>
        <d v="2016-02-21T12:01:00Z"/>
        <d v="2016-02-21T12:35:00Z"/>
        <d v="2016-02-21T13:12:00Z"/>
        <d v="2016-02-21T14:30:00Z"/>
        <d v="2016-02-21T15:03:00Z"/>
        <d v="2016-02-21T15:31:00Z"/>
        <d v="2016-02-21T15:41:00Z"/>
        <d v="2016-02-21T16:32:00Z"/>
        <d v="2016-02-21T23:52:00Z"/>
        <d v="2016-02-22T22:09:00Z"/>
        <d v="2016-02-24T14:35:00Z"/>
        <d v="2016-02-24T15:25:00Z"/>
        <d v="2016-02-25T16:35:00Z"/>
        <d v="2016-02-25T17:02:00Z"/>
        <d v="2016-02-25T17:36:00Z"/>
        <d v="2016-02-25T18:39:00Z"/>
        <d v="2016-02-26T09:29:00Z"/>
        <d v="2016-02-26T11:11:00Z"/>
        <d v="2016-02-26T11:59:00Z"/>
        <d v="2016-02-26T13:24:00Z"/>
        <d v="2016-02-26T14:46:00Z"/>
        <d v="2016-02-26T15:18:00Z"/>
        <d v="2016-02-26T17:12:00Z"/>
        <d v="2016-02-28T05:38:00Z"/>
        <d v="2016-02-28T09:42:00Z"/>
        <d v="2016-02-29T11:14:00Z"/>
        <d v="2016-02-29T11:40:00Z"/>
        <d v="2016-02-29T12:48:00Z"/>
        <d v="2016-02-29T15:03:00Z"/>
        <d v="2016-02-29T17:00:00Z"/>
        <d v="2016-03-01T19:10:00Z"/>
        <d v="2016-03-01T21:45:00Z"/>
        <d v="2016-03-03T09:52:00Z"/>
        <d v="2016-03-03T11:10:00Z"/>
        <d v="2016-03-03T14:58:00Z"/>
        <d v="2016-03-03T15:48:00Z"/>
        <d v="2016-03-03T16:42:00Z"/>
        <d v="2016-03-04T08:06:00Z"/>
        <d v="2016-03-04T10:03:00Z"/>
        <d v="2016-03-04T12:06:00Z"/>
        <d v="2016-03-04T13:25:00Z"/>
        <d v="2016-03-04T14:09:00Z"/>
        <d v="2016-03-04T16:08:00Z"/>
        <d v="2016-03-04T16:22:00Z"/>
        <d v="2016-03-04T17:12:00Z"/>
        <d v="2016-03-04T19:08:00Z"/>
        <d v="2016-03-04T19:25:00Z"/>
        <d v="2016-03-05T11:59:00Z"/>
        <d v="2016-03-05T13:12:00Z"/>
        <d v="2016-03-05T14:18:00Z"/>
        <d v="2016-03-05T15:01:00Z"/>
        <d v="2016-03-05T17:13:00Z"/>
        <d v="2016-03-05T17:34:00Z"/>
        <d v="2016-03-07T09:20:00Z"/>
        <d v="2016-03-07T09:47:00Z"/>
        <d v="2016-03-07T12:26:00Z"/>
        <d v="2016-03-07T14:18:00Z"/>
        <d v="2016-03-07T15:45:00Z"/>
        <d v="2016-03-08T14:55:00Z"/>
        <d v="2016-03-08T16:00:00Z"/>
        <d v="2016-03-08T16:25:00Z"/>
        <d v="2016-03-10T03:53:00Z"/>
        <d v="2016-03-10T10:37:00Z"/>
        <d v="2016-03-10T14:55:00Z"/>
        <d v="2016-03-10T16:28:00Z"/>
        <d v="2016-03-11T09:59:00Z"/>
        <d v="2016-03-11T10:36:00Z"/>
        <d v="2016-03-11T12:04:00Z"/>
        <d v="2016-03-11T13:51:00Z"/>
        <d v="2016-03-11T19:35:00Z"/>
        <d v="2016-03-12T09:22:00Z"/>
        <d v="2016-03-12T18:37:00Z"/>
        <d v="2016-03-13T09:37:00Z"/>
        <d v="2016-03-13T18:43:00Z"/>
        <d v="2016-03-13T20:28:00Z"/>
        <d v="2016-03-13T20:58:00Z"/>
        <d v="2016-03-13T21:23:00Z"/>
        <d v="2016-03-13T22:39:00Z"/>
        <d v="2016-03-14T08:49:00Z"/>
        <d v="2016-03-14T18:55:00Z"/>
        <d v="2016-03-15T08:57:00Z"/>
        <d v="2016-03-15T21:01:00Z"/>
        <d v="2016-03-16T11:45:00Z"/>
        <d v="2016-03-16T14:55:00Z"/>
        <d v="2016-03-16T18:56:00Z"/>
        <d v="2016-03-17T00:44:00Z"/>
        <d v="2016-03-17T15:11:00Z"/>
        <d v="2016-03-17T15:58:00Z"/>
        <d v="2016-03-17T18:02:00Z"/>
        <d v="2016-03-17T19:09:00Z"/>
        <d v="2016-03-17T21:28:00Z"/>
        <d v="2016-03-17T22:04:00Z"/>
        <d v="2016-03-18T07:21:00Z"/>
        <d v="2016-03-18T08:43:00Z"/>
        <d v="2016-03-18T19:08:00Z"/>
        <d v="2016-03-18T19:29:00Z"/>
        <d v="2016-03-18T21:15:00Z"/>
        <d v="2016-03-19T09:25:00Z"/>
        <d v="2016-03-19T13:13:00Z"/>
        <d v="2016-03-19T14:57:00Z"/>
        <d v="2016-03-19T16:38:00Z"/>
        <d v="2016-03-19T17:32:00Z"/>
        <d v="2016-03-19T17:47:00Z"/>
        <d v="2016-03-19T18:00:00Z"/>
        <d v="2016-03-19T19:29:00Z"/>
        <d v="2016-03-19T20:39:00Z"/>
        <d v="2016-03-20T07:48:00Z"/>
        <d v="2016-03-20T11:56:00Z"/>
        <d v="2016-03-20T17:34:00Z"/>
        <d v="2016-03-20T18:40:00Z"/>
        <d v="2016-03-20T19:06:00Z"/>
        <d v="2016-03-21T10:26:00Z"/>
        <d v="2016-03-21T16:13:00Z"/>
        <d v="2016-03-21T19:15:00Z"/>
        <d v="2016-03-21T20:55:00Z"/>
        <d v="2016-03-22T06:43:00Z"/>
        <d v="2016-03-22T12:24:00Z"/>
        <d v="2016-03-22T19:25:00Z"/>
        <d v="2016-03-23T14:42:00Z"/>
        <d v="2016-03-23T14:59:00Z"/>
        <d v="2016-03-24T19:54:00Z"/>
        <d v="2016-03-24T20:40:00Z"/>
        <d v="2016-03-25T16:22:00Z"/>
        <d v="2016-03-25T22:22:00Z"/>
        <d v="2016-03-26T01:39:00Z"/>
        <d v="2016-03-26T14:29:00Z"/>
        <d v="2016-03-26T15:49:00Z"/>
        <d v="2016-03-26T16:30:00Z"/>
        <d v="2016-03-27T00:40:00Z"/>
        <d v="2016-03-27T01:23:00Z"/>
        <d v="2016-03-27T15:56:00Z"/>
        <d v="2016-03-27T21:41:00Z"/>
        <d v="2016-03-27T23:18:00Z"/>
        <d v="2016-03-28T12:42:00Z"/>
        <d v="2016-03-28T20:23:00Z"/>
        <d v="2016-03-28T23:26:00Z"/>
        <d v="2016-03-29T16:11:00Z"/>
        <d v="2016-03-29T18:39:00Z"/>
        <d v="2016-03-29T20:44:00Z"/>
        <d v="2016-03-29T23:21:00Z"/>
        <d v="2016-03-30T22:55:00Z"/>
        <d v="2016-03-31T13:22:00Z"/>
        <d v="2016-03-31T15:09:00Z"/>
        <d v="2016-04-01T14:01:00Z"/>
        <d v="2016-04-01T15:24:00Z"/>
        <d v="2016-04-01T16:49:00Z"/>
        <d v="2016-04-01T16:57:00Z"/>
        <d v="2016-04-02T09:04:00Z"/>
        <d v="2016-04-02T11:16:00Z"/>
        <d v="2016-04-02T14:47:00Z"/>
        <d v="2016-04-02T18:09:00Z"/>
        <d v="2016-04-02T22:36:00Z"/>
        <d v="2016-04-03T01:34:00Z"/>
        <d v="2016-04-03T04:16:00Z"/>
        <d v="2016-04-05T21:55:00Z"/>
        <d v="2016-04-06T00:39:00Z"/>
        <d v="2016-04-07T18:39:00Z"/>
        <d v="2016-04-07T20:00:00Z"/>
        <d v="2016-04-08T12:48:00Z"/>
        <d v="2016-04-08T13:51:00Z"/>
        <d v="2016-04-08T14:03:00Z"/>
        <d v="2016-04-08T15:20:00Z"/>
        <d v="2016-04-08T16:47:00Z"/>
        <d v="2016-04-12T09:26:00Z"/>
        <d v="2016-04-12T09:53:00Z"/>
        <d v="2016-04-12T11:18:00Z"/>
        <d v="2016-04-12T12:44:00Z"/>
        <d v="2016-04-12T14:01:00Z"/>
        <d v="2016-04-14T08:09:00Z"/>
        <d v="2016-04-14T16:43:00Z"/>
        <d v="2016-04-15T12:07:00Z"/>
        <d v="2016-04-15T12:32:00Z"/>
        <d v="2016-04-15T15:01:00Z"/>
        <d v="2016-04-16T13:17:00Z"/>
        <d v="2016-04-16T15:26:00Z"/>
        <d v="2016-04-19T18:08:00Z"/>
        <d v="2016-04-19T20:19:00Z"/>
        <d v="2016-04-22T09:04:00Z"/>
        <d v="2016-04-22T10:40:00Z"/>
        <d v="2016-04-22T12:28:00Z"/>
        <d v="2016-04-22T13:26:00Z"/>
        <d v="2016-04-23T17:16:00Z"/>
        <d v="2016-04-23T19:05:00Z"/>
        <d v="2016-04-24T19:16:00Z"/>
        <d v="2016-04-24T19:52:00Z"/>
        <d v="2016-04-24T21:50:00Z"/>
        <d v="2016-04-27T13:40:00Z"/>
        <d v="2016-04-27T14:25:00Z"/>
        <d v="2016-04-28T12:34:00Z"/>
        <d v="2016-04-28T13:49:00Z"/>
        <d v="2016-04-28T22:28:00Z"/>
        <d v="2016-04-29T12:01:00Z"/>
        <d v="2016-04-29T13:34:00Z"/>
        <d v="2016-04-29T19:18:00Z"/>
        <d v="2016-04-29T23:19:00Z"/>
        <d v="2016-04-30T18:57:00Z"/>
        <d v="2016-04-30T22:34:00Z"/>
        <d v="2016-05-01T13:53:00Z"/>
        <d v="2016-05-01T14:31:00Z"/>
        <d v="2016-05-01T17:45:00Z"/>
        <d v="2016-05-01T18:10:00Z"/>
        <d v="2016-05-01T22:49:00Z"/>
        <d v="2016-05-02T14:21:00Z"/>
        <d v="2016-05-02T15:48:00Z"/>
        <d v="2016-05-03T22:28:00Z"/>
        <d v="2016-05-04T15:37:00Z"/>
        <d v="2016-05-04T21:14:00Z"/>
        <d v="2016-05-04T21:36:00Z"/>
        <d v="2016-05-04T22:27:00Z"/>
        <d v="2016-05-05T21:36:00Z"/>
        <d v="2016-05-05T22:40:00Z"/>
        <d v="2016-05-06T00:08:00Z"/>
        <d v="2016-05-06T06:02:00Z"/>
        <d v="2016-05-06T16:59:00Z"/>
        <d v="2016-05-06T17:44:00Z"/>
        <d v="2016-05-09T06:25:00Z"/>
        <d v="2016-05-09T15:06:00Z"/>
        <d v="2016-05-09T18:26:00Z"/>
        <d v="2016-05-09T19:59:00Z"/>
        <d v="2016-05-10T09:20:00Z"/>
        <d v="2016-05-10T17:31:00Z"/>
        <d v="2016-05-11T09:12:00Z"/>
        <d v="2016-05-11T22:04:00Z"/>
        <d v="2016-05-14T18:39:00Z"/>
        <d v="2016-05-14T23:05:00Z"/>
        <d v="2016-05-17T13:23:00Z"/>
        <d v="2016-05-17T14:08:00Z"/>
        <d v="2016-05-17T14:40:00Z"/>
        <d v="2016-05-18T09:41:00Z"/>
        <d v="2016-05-18T13:02:00Z"/>
        <d v="2016-05-19T15:01:00Z"/>
        <d v="2016-05-20T11:07:00Z"/>
        <d v="2016-05-20T16:12:00Z"/>
        <d v="2016-05-22T15:46:00Z"/>
        <d v="2016-05-22T18:53:00Z"/>
        <d v="2016-05-23T20:27:00Z"/>
        <d v="2016-05-23T21:21:00Z"/>
        <d v="2016-05-27T20:30:00Z"/>
        <d v="2016-05-27T20:53:00Z"/>
        <d v="2016-05-27T22:14:00Z"/>
        <d v="2016-05-28T00:21:00Z"/>
        <d v="2016-05-28T13:06:00Z"/>
        <d v="2016-05-28T15:04:00Z"/>
        <d v="2016-05-31T14:41:00Z"/>
        <d v="2016-05-31T16:39:00Z"/>
        <d v="2016-05-31T17:59:00Z"/>
        <d v="2016-06-01T10:47:00Z"/>
        <d v="2016-06-01T13:39:00Z"/>
        <d v="2016-06-03T11:49:00Z"/>
        <d v="2016-06-03T13:38:00Z"/>
        <d v="2016-06-03T15:54:00Z"/>
        <d v="2016-06-03T18:29:00Z"/>
        <d v="2016-06-03T18:53:00Z"/>
        <d v="2016-06-03T19:42:00Z"/>
        <d v="2016-06-03T23:06:00Z"/>
        <d v="2016-06-05T14:33:00Z"/>
        <d v="2016-06-05T15:22:00Z"/>
        <d v="2016-06-05T16:08:00Z"/>
        <d v="2016-06-05T18:14:00Z"/>
        <d v="2016-06-05T22:05:00Z"/>
        <d v="2016-06-06T00:08:00Z"/>
        <d v="2016-06-06T15:45:00Z"/>
        <d v="2016-06-06T16:24:00Z"/>
        <d v="2016-06-06T20:20:00Z"/>
        <d v="2016-06-06T21:37:00Z"/>
        <d v="2016-06-06T22:00:00Z"/>
        <d v="2016-06-06T23:48:00Z"/>
        <d v="2016-06-07T22:00:00Z"/>
        <d v="2016-06-08T00:04:00Z"/>
        <d v="2016-06-08T08:53:00Z"/>
        <d v="2016-06-08T13:01:00Z"/>
        <d v="2016-06-08T13:29:00Z"/>
        <d v="2016-06-08T14:37:00Z"/>
        <d v="2016-06-08T17:11:00Z"/>
        <d v="2016-06-08T17:18:00Z"/>
        <d v="2016-06-08T18:05:00Z"/>
        <d v="2016-06-08T20:25:00Z"/>
        <d v="2016-06-10T16:28:00Z"/>
        <d v="2016-06-10T22:04:00Z"/>
        <d v="2016-06-11T00:01:00Z"/>
        <d v="2016-06-11T17:16:00Z"/>
        <d v="2016-06-11T17:39:00Z"/>
        <d v="2016-06-11T17:56:00Z"/>
        <d v="2016-06-11T22:04:00Z"/>
        <d v="2016-06-12T00:05:00Z"/>
        <d v="2016-06-12T19:56:00Z"/>
        <d v="2016-06-12T20:16:00Z"/>
        <d v="2016-06-12T22:19:00Z"/>
        <d v="2016-06-13T05:42:00Z"/>
        <d v="2016-06-13T14:46:00Z"/>
        <d v="2016-06-13T18:47:00Z"/>
        <d v="2016-06-13T19:23:00Z"/>
        <d v="2016-06-13T20:05:00Z"/>
        <d v="2016-06-14T12:21:00Z"/>
        <d v="2016-06-14T16:39:00Z"/>
        <d v="2016-06-14T17:24:00Z"/>
        <d v="2016-06-14T17:57:00Z"/>
        <d v="2016-06-15T02:06:00Z"/>
        <d v="2016-06-15T15:34:00Z"/>
        <d v="2016-06-15T17:02:00Z"/>
        <d v="2016-06-15T17:49:00Z"/>
        <d v="2016-06-15T19:58:00Z"/>
        <d v="2016-06-16T14:30:00Z"/>
        <d v="2016-06-16T14:46:00Z"/>
        <d v="2016-06-16T15:41:00Z"/>
        <d v="2016-06-16T19:56:00Z"/>
        <d v="2016-06-16T21:56:00Z"/>
        <d v="2016-06-17T16:44:00Z"/>
        <d v="2016-06-18T00:51:00Z"/>
        <d v="2016-06-19T02:50:00Z"/>
        <d v="2016-06-19T06:00:00Z"/>
        <d v="2016-06-21T16:08:00Z"/>
        <d v="2016-06-21T18:02:00Z"/>
        <d v="2016-06-24T10:57:00Z"/>
        <d v="2016-06-24T12:01:00Z"/>
        <d v="2016-06-24T12:37:00Z"/>
        <d v="2016-06-24T13:12:00Z"/>
        <d v="2016-06-24T13:27:00Z"/>
        <d v="2016-06-24T14:20:00Z"/>
        <d v="2016-06-24T21:02:00Z"/>
        <d v="2016-06-25T09:12:00Z"/>
        <d v="2016-06-25T10:08:00Z"/>
        <d v="2016-06-25T10:25:00Z"/>
        <d v="2016-06-25T11:18:00Z"/>
        <d v="2016-06-25T11:34:00Z"/>
        <d v="2016-06-25T13:21:00Z"/>
        <d v="2016-06-25T19:58:00Z"/>
        <d v="2016-06-25T23:26:00Z"/>
        <d v="2016-06-26T18:18:00Z"/>
        <d v="2016-06-26T19:12:00Z"/>
        <d v="2016-06-26T19:50:00Z"/>
        <d v="2016-06-26T21:42:00Z"/>
        <d v="2016-06-27T08:48:00Z"/>
        <d v="2016-06-27T09:00:00Z"/>
        <d v="2016-06-27T09:33:00Z"/>
        <d v="2016-06-27T10:08:00Z"/>
        <d v="2016-06-27T10:39:00Z"/>
        <d v="2016-06-27T10:58:00Z"/>
        <d v="2016-06-27T11:24:00Z"/>
        <d v="2016-06-27T11:42:00Z"/>
        <d v="2016-06-27T13:02:00Z"/>
        <d v="2016-06-27T14:05:00Z"/>
        <d v="2016-06-27T21:19:00Z"/>
        <d v="2016-06-28T01:05:00Z"/>
        <d v="2016-06-28T20:33:00Z"/>
        <d v="2016-06-28T23:59:00Z"/>
        <d v="2016-06-29T09:24:00Z"/>
        <d v="2016-06-29T10:38:00Z"/>
        <d v="2016-06-29T11:51:00Z"/>
        <d v="2016-06-29T12:16:00Z"/>
        <d v="2016-06-29T20:29:00Z"/>
        <d v="2016-06-30T00:00:00Z"/>
        <d v="2016-06-30T20:26:00Z"/>
        <d v="2016-07-01T00:25:00Z"/>
        <d v="2016-07-01T09:57:00Z"/>
        <d v="2016-07-01T13:00:00Z"/>
        <d v="2016-07-01T20:24:00Z"/>
        <d v="2016-07-02T00:09:00Z"/>
        <d v="2016-07-02T20:36:00Z"/>
        <d v="2016-07-03T00:12:00Z"/>
        <d v="2016-07-03T00:38:00Z"/>
        <d v="2016-07-03T03:08:00Z"/>
        <d v="2016-07-03T20:18:00Z"/>
        <d v="2016-07-04T00:47:00Z"/>
        <d v="2016-07-04T17:49:00Z"/>
        <d v="2016-07-04T18:49:00Z"/>
        <d v="2016-07-04T20:17:00Z"/>
        <d v="2016-07-05T00:05:00Z"/>
        <d v="2016-07-05T00:28:00Z"/>
        <d v="2016-07-05T16:52:00Z"/>
        <d v="2016-07-05T20:26:00Z"/>
        <d v="2016-07-05T23:02:00Z"/>
        <d v="2016-07-06T00:53:00Z"/>
        <d v="2016-07-06T09:25:00Z"/>
        <d v="2016-07-06T13:08:00Z"/>
        <d v="2016-07-06T20:14:00Z"/>
        <d v="2016-07-06T23:59:00Z"/>
        <d v="2016-07-07T08:50:00Z"/>
        <d v="2016-07-07T10:33:00Z"/>
        <d v="2016-07-07T13:35:00Z"/>
        <d v="2016-07-08T10:13:00Z"/>
        <d v="2016-07-08T11:12:00Z"/>
        <d v="2016-07-08T14:11:00Z"/>
        <d v="2016-07-08T17:30:00Z"/>
        <d v="2016-07-09T09:46:00Z"/>
        <d v="2016-07-09T10:06:00Z"/>
        <d v="2016-07-09T10:33:00Z"/>
        <d v="2016-07-10T14:17:00Z"/>
        <d v="2016-07-10T16:15:00Z"/>
        <d v="2016-07-10T18:21:00Z"/>
        <d v="2016-07-10T20:08:00Z"/>
        <d v="2016-07-12T16:45:00Z"/>
        <d v="2016-07-12T19:26:00Z"/>
        <d v="2016-07-13T00:11:00Z"/>
        <d v="2016-07-13T13:20:00Z"/>
        <d v="2016-07-13T13:39:00Z"/>
        <d v="2016-07-13T13:54:00Z"/>
        <d v="2016-07-14T15:59:00Z"/>
        <d v="2016-07-14T16:34:00Z"/>
        <d v="2016-07-14T20:05:00Z"/>
        <d v="2016-07-15T11:53:00Z"/>
        <d v="2016-07-15T12:19:00Z"/>
        <d v="2016-07-15T13:15:00Z"/>
        <d v="2016-07-15T15:33:00Z"/>
        <d v="2016-07-15T15:52:00Z"/>
        <d v="2016-07-16T14:10:00Z"/>
        <d v="2016-07-16T14:30:00Z"/>
        <d v="2016-07-16T16:57:00Z"/>
        <d v="2016-07-16T20:35:00Z"/>
        <d v="2016-07-16T22:18:00Z"/>
        <d v="2016-07-16T23:03:00Z"/>
        <d v="2016-07-17T11:50:00Z"/>
        <d v="2016-07-17T15:25:00Z"/>
        <d v="2016-07-18T10:49:00Z"/>
        <d v="2016-07-18T11:15:00Z"/>
        <d v="2016-07-18T11:36:00Z"/>
        <d v="2016-07-18T11:56:00Z"/>
        <d v="2016-07-18T17:33:00Z"/>
        <d v="2016-07-18T18:47:00Z"/>
        <d v="2016-07-18T19:14:00Z"/>
        <d v="2016-07-18T20:32:00Z"/>
        <d v="2016-07-18T21:19:00Z"/>
        <d v="2016-07-19T10:51:00Z"/>
        <d v="2016-07-19T11:11:00Z"/>
        <d v="2016-07-19T12:00:00Z"/>
        <d v="2016-07-19T17:24:00Z"/>
        <d v="2016-07-19T18:08:00Z"/>
        <d v="2016-07-20T17:24:00Z"/>
        <d v="2016-07-20T17:57:00Z"/>
        <d v="2016-07-20T18:20:00Z"/>
        <d v="2016-07-21T17:23:00Z"/>
        <d v="2016-07-21T17:51:00Z"/>
        <d v="2016-07-21T18:42:00Z"/>
        <d v="2016-07-21T19:39:00Z"/>
        <d v="2016-07-22T10:53:00Z"/>
        <d v="2016-07-22T11:25:00Z"/>
        <d v="2016-07-22T12:00:00Z"/>
        <d v="2016-07-22T12:31:00Z"/>
        <d v="2016-07-22T13:42:00Z"/>
        <d v="2016-07-22T14:43:00Z"/>
        <d v="2016-07-22T16:22:00Z"/>
        <d v="2016-07-22T18:51:00Z"/>
        <d v="2016-07-23T14:44:00Z"/>
        <d v="2016-07-23T15:12:00Z"/>
        <d v="2016-07-23T15:27:00Z"/>
        <d v="2016-07-23T16:10:00Z"/>
        <d v="2016-07-23T20:33:00Z"/>
        <d v="2016-07-23T23:43:00Z"/>
        <d v="2016-07-25T10:41:00Z"/>
        <d v="2016-07-25T10:58:00Z"/>
        <d v="2016-07-25T11:33:00Z"/>
        <d v="2016-07-25T11:44:00Z"/>
        <d v="2016-07-26T15:49:00Z"/>
        <d v="2016-07-26T17:24:00Z"/>
        <d v="2016-07-26T21:00:00Z"/>
        <d v="2016-07-26T22:39:00Z"/>
        <d v="2016-07-27T19:20:00Z"/>
        <d v="2016-07-27T21:57:00Z"/>
        <d v="2016-07-27T22:26:00Z"/>
        <d v="2016-07-28T00:09:00Z"/>
        <d v="2016-07-29T15:47:00Z"/>
        <d v="2016-07-29T17:45:00Z"/>
        <d v="2016-07-30T17:27:00Z"/>
        <d v="2016-07-30T21:41:00Z"/>
        <d v="2016-07-31T17:37:00Z"/>
        <d v="2016-08-01T13:04:00Z"/>
        <d v="2016-08-01T13:19:00Z"/>
        <d v="2016-08-01T13:46:00Z"/>
        <d v="2016-08-01T14:14:00Z"/>
        <d v="2016-08-01T15:47:00Z"/>
        <d v="2016-08-01T16:25:00Z"/>
        <d v="2016-08-01T16:59:00Z"/>
        <d v="2016-08-01T17:55:00Z"/>
        <d v="2016-08-02T08:32:00Z"/>
        <d v="2016-08-02T12:15:00Z"/>
        <d v="2016-08-02T19:23:00Z"/>
        <d v="2016-08-02T21:29:00Z"/>
        <d v="2016-08-03T13:00:00Z"/>
        <d v="2016-08-03T15:03:00Z"/>
        <d v="2016-08-03T16:04:00Z"/>
        <d v="2016-08-05T17:30:00Z"/>
        <d v="2016-08-05T18:21:00Z"/>
        <d v="2016-08-05T19:27:00Z"/>
        <d v="2016-08-06T06:58:00Z"/>
        <d v="2016-08-06T09:53:00Z"/>
        <d v="2016-08-07T17:23:00Z"/>
        <d v="2016-08-07T17:43:00Z"/>
        <d v="2016-08-07T18:23:00Z"/>
        <d v="2016-08-07T20:23:00Z"/>
        <d v="2016-08-08T16:31:00Z"/>
        <d v="2016-08-08T16:50:00Z"/>
        <d v="2016-08-08T17:13:00Z"/>
        <d v="2016-08-08T22:15:00Z"/>
        <d v="2016-08-08T23:37:00Z"/>
        <d v="2016-08-09T14:38:00Z"/>
        <d v="2016-08-09T15:36:00Z"/>
        <d v="2016-08-09T16:37:00Z"/>
        <d v="2016-08-10T17:24:00Z"/>
        <d v="2016-08-10T18:28:00Z"/>
        <d v="2016-08-10T18:50:00Z"/>
        <d v="2016-08-10T20:02:00Z"/>
        <d v="2016-08-11T13:00:00Z"/>
        <d v="2016-08-11T13:28:00Z"/>
        <d v="2016-08-11T13:42:00Z"/>
        <d v="2016-08-11T19:29:00Z"/>
        <d v="2016-08-11T21:44:00Z"/>
        <d v="2016-08-12T18:52:00Z"/>
        <d v="2016-08-12T19:05:00Z"/>
        <d v="2016-08-13T15:58:00Z"/>
        <d v="2016-08-15T09:52:00Z"/>
        <d v="2016-08-15T15:47:00Z"/>
        <d v="2016-08-15T17:30:00Z"/>
        <d v="2016-08-15T20:30:00Z"/>
        <d v="2016-08-16T08:11:00Z"/>
        <d v="2016-08-16T08:23:00Z"/>
        <d v="2016-08-16T08:53:00Z"/>
        <d v="2016-08-16T10:27:00Z"/>
        <d v="2016-08-16T10:38:00Z"/>
        <d v="2016-08-16T12:03:00Z"/>
        <d v="2016-08-16T15:36:00Z"/>
        <d v="2016-08-17T10:41:00Z"/>
        <d v="2016-08-17T11:20:00Z"/>
        <d v="2016-08-17T14:50:00Z"/>
        <d v="2016-08-17T15:47:00Z"/>
        <d v="2016-08-17T16:50:00Z"/>
        <d v="2016-08-17T17:00:00Z"/>
        <d v="2016-08-17T17:34:00Z"/>
        <d v="2016-08-17T18:57:00Z"/>
        <d v="2016-08-18T19:07:00Z"/>
        <d v="2016-08-19T08:45:00Z"/>
        <d v="2016-08-19T09:07:00Z"/>
        <d v="2016-08-19T09:47:00Z"/>
        <d v="2016-08-19T11:06:00Z"/>
        <d v="2016-08-19T12:24:00Z"/>
        <d v="2016-08-19T16:06:00Z"/>
        <d v="2016-08-19T17:52:00Z"/>
        <d v="2016-08-21T10:29:00Z"/>
        <d v="2016-08-21T14:34:00Z"/>
        <d v="2016-08-21T17:02:00Z"/>
        <d v="2016-08-21T18:17:00Z"/>
        <d v="2016-08-21T19:24:00Z"/>
        <d v="2016-08-22T10:44:00Z"/>
        <d v="2016-08-22T11:23:00Z"/>
        <d v="2016-08-22T12:49:00Z"/>
        <d v="2016-08-22T13:11:00Z"/>
        <d v="2016-08-22T14:31:00Z"/>
        <d v="2016-08-22T15:49:00Z"/>
        <d v="2016-08-22T17:16:00Z"/>
        <d v="2016-08-22T20:50:00Z"/>
        <d v="2016-08-22T21:31:00Z"/>
        <d v="2016-08-22T23:00:00Z"/>
        <d v="2016-08-23T08:25:00Z"/>
        <d v="2016-08-23T10:09:00Z"/>
        <d v="2016-08-23T13:15:00Z"/>
        <d v="2016-08-23T13:30:00Z"/>
        <d v="2016-08-23T14:04:00Z"/>
        <d v="2016-08-23T15:12:00Z"/>
        <d v="2016-08-23T17:16:00Z"/>
        <d v="2016-08-23T18:31:00Z"/>
        <d v="2016-08-24T12:56:00Z"/>
        <d v="2016-08-24T15:25:00Z"/>
        <d v="2016-08-25T16:22:00Z"/>
        <d v="2016-08-25T16:56:00Z"/>
        <d v="2016-08-25T19:20:00Z"/>
        <d v="2016-08-25T19:57:00Z"/>
        <d v="2016-08-25T23:16:00Z"/>
        <d v="2016-08-26T09:20:00Z"/>
        <d v="2016-08-26T11:26:00Z"/>
        <d v="2016-08-26T12:20:00Z"/>
        <d v="2016-08-26T14:33:00Z"/>
        <d v="2016-08-26T15:35:00Z"/>
        <d v="2016-08-26T16:24:00Z"/>
        <d v="2016-08-26T17:12:00Z"/>
        <d v="2016-08-26T18:56:00Z"/>
        <d v="2016-08-26T19:54:00Z"/>
        <d v="2016-08-26T20:16:00Z"/>
        <d v="2016-08-27T10:11:00Z"/>
        <d v="2016-08-27T12:06:00Z"/>
        <d v="2016-08-27T12:17:00Z"/>
        <d v="2016-08-27T15:44:00Z"/>
        <d v="2016-08-27T19:13:00Z"/>
        <d v="2016-08-28T10:18:00Z"/>
        <d v="2016-08-28T16:55:00Z"/>
        <d v="2016-08-28T17:55:00Z"/>
        <d v="2016-08-28T21:59:00Z"/>
        <d v="2016-08-29T12:31:00Z"/>
        <d v="2016-08-29T13:48:00Z"/>
        <d v="2016-08-29T14:41:00Z"/>
        <d v="2016-08-29T15:04:00Z"/>
        <d v="2016-08-29T15:59:00Z"/>
        <d v="2016-08-29T16:21:00Z"/>
        <d v="2016-08-29T17:41:00Z"/>
        <d v="2016-08-29T18:36:00Z"/>
        <d v="2016-08-30T12:05:00Z"/>
        <d v="2016-08-30T13:09:00Z"/>
        <d v="2016-08-30T13:46:00Z"/>
        <d v="2016-08-30T14:20:00Z"/>
        <d v="2016-08-30T18:09:00Z"/>
        <d v="2016-09-01T12:24:00Z"/>
        <d v="2016-09-01T17:36:00Z"/>
        <d v="2016-09-01T19:08:00Z"/>
        <d v="2016-09-02T12:24:00Z"/>
        <d v="2016-09-02T19:37:00Z"/>
        <d v="2016-09-05T10:44:00Z"/>
        <d v="2016-09-10T10:45:00Z"/>
        <d v="2016-09-11T09:55:00Z"/>
        <d v="2016-09-11T21:42:00Z"/>
        <d v="2016-09-12T08:12:00Z"/>
        <d v="2016-09-12T11:24:00Z"/>
        <d v="2016-09-12T13:44:00Z"/>
        <d v="2016-09-13T17:02:00Z"/>
        <d v="2016-09-14T11:59:00Z"/>
        <d v="2016-09-15T20:38:00Z"/>
        <d v="2016-09-18T18:11:00Z"/>
        <d v="2016-09-19T06:49:00Z"/>
        <d v="2016-09-19T14:56:00Z"/>
        <d v="2016-09-19T16:31:00Z"/>
        <d v="2016-09-19T18:20:00Z"/>
        <d v="2016-09-19T19:49:00Z"/>
        <d v="2016-09-20T11:48:00Z"/>
        <d v="2016-09-20T22:47:00Z"/>
        <d v="2016-09-23T13:40:00Z"/>
        <d v="2016-09-24T15:15:00Z"/>
        <d v="2016-09-24T20:33:00Z"/>
        <d v="2016-09-27T08:35:00Z"/>
        <d v="2016-09-27T14:43:00Z"/>
        <d v="2016-09-27T20:34:00Z"/>
        <d v="2016-09-28T02:37:00Z"/>
        <d v="2016-09-28T19:36:00Z"/>
        <d v="2016-09-29T18:47:00Z"/>
        <d v="2016-09-30T20:20:00Z"/>
        <d v="2016-09-30T22:34:00Z"/>
        <d v="2016-10-03T17:12:00Z"/>
        <d v="2016-10-03T18:34:00Z"/>
        <d v="2016-10-03T19:01:00Z"/>
        <d v="2016-10-03T22:33:00Z"/>
        <d v="2016-10-04T10:52:00Z"/>
        <d v="2016-10-04T12:18:00Z"/>
        <d v="2016-10-06T11:36:00Z"/>
        <d v="2016-10-06T17:40:00Z"/>
        <d v="2016-10-06T18:39:00Z"/>
        <d v="2016-10-06T20:26:00Z"/>
        <d v="2016-10-07T10:59:00Z"/>
        <d v="2016-10-07T11:50:00Z"/>
        <d v="2016-10-07T14:08:00Z"/>
        <d v="2016-10-07T15:11:00Z"/>
        <d v="2016-10-07T16:02:00Z"/>
        <d v="2016-10-07T18:27:00Z"/>
        <d v="2016-10-07T19:01:00Z"/>
        <d v="2016-10-08T18:18:00Z"/>
        <d v="2016-10-09T14:23:00Z"/>
        <d v="2016-10-10T17:28:00Z"/>
        <d v="2016-10-10T18:13:00Z"/>
        <d v="2016-10-11T02:08:00Z"/>
        <d v="2016-10-12T19:21:00Z"/>
        <d v="2016-10-13T11:58:00Z"/>
        <d v="2016-10-13T12:14:00Z"/>
        <d v="2016-10-13T13:46:00Z"/>
        <d v="2016-10-13T16:53:00Z"/>
        <d v="2016-10-14T09:44:00Z"/>
        <d v="2016-10-14T10:52:00Z"/>
        <d v="2016-10-14T16:20:00Z"/>
        <d v="2016-10-15T02:06:00Z"/>
        <d v="2016-10-15T22:48:00Z"/>
        <d v="2016-10-16T00:14:00Z"/>
        <d v="2016-10-16T13:11:00Z"/>
        <d v="2016-10-16T15:01:00Z"/>
        <d v="2016-10-16T15:19:00Z"/>
        <d v="2016-10-16T19:33:00Z"/>
        <d v="2016-10-16T20:39:00Z"/>
        <d v="2016-10-16T21:41:00Z"/>
        <d v="2016-10-17T15:57:00Z"/>
        <d v="2016-10-17T17:11:00Z"/>
        <d v="2016-10-17T18:16:00Z"/>
        <d v="2016-10-17T18:45:00Z"/>
        <d v="2016-10-17T19:25:00Z"/>
        <d v="2016-10-18T08:22:00Z"/>
        <d v="2016-10-18T09:02:00Z"/>
        <d v="2016-10-18T11:09:00Z"/>
        <d v="2016-10-18T18:33:00Z"/>
        <d v="2016-10-18T19:13:00Z"/>
        <d v="2016-10-18T20:37:00Z"/>
        <d v="2016-10-19T09:47:00Z"/>
        <d v="2016-10-19T10:21:00Z"/>
        <d v="2016-10-19T13:56:00Z"/>
        <d v="2016-10-19T14:31:00Z"/>
        <d v="2016-10-19T16:02:00Z"/>
        <d v="2016-10-19T16:19:00Z"/>
        <d v="2016-10-19T17:01:00Z"/>
        <d v="2016-10-20T11:34:00Z"/>
        <d v="2016-10-20T13:17:00Z"/>
        <d v="2016-10-20T21:37:00Z"/>
        <d v="2016-10-21T10:21:00Z"/>
        <d v="2016-10-22T01:09:00Z"/>
        <d v="2016-10-22T14:03:00Z"/>
        <d v="2016-10-22T17:55:00Z"/>
        <d v="2016-10-23T10:05:00Z"/>
        <d v="2016-10-23T12:59:00Z"/>
        <d v="2016-10-23T19:14:00Z"/>
        <d v="2016-10-23T21:25:00Z"/>
        <d v="2016-10-24T15:26:00Z"/>
        <d v="2016-10-24T16:13:00Z"/>
        <d v="2016-10-24T16:41:00Z"/>
        <d v="2016-10-25T14:08:00Z"/>
        <d v="2016-10-25T15:11:00Z"/>
        <d v="2016-10-25T15:33:00Z"/>
        <d v="2016-10-25T20:11:00Z"/>
        <d v="2016-10-25T21:03:00Z"/>
        <d v="2016-10-25T22:45:00Z"/>
        <d v="2016-10-26T19:31:00Z"/>
        <d v="2016-10-26T21:03:00Z"/>
        <d v="2016-10-27T19:16:00Z"/>
        <d v="2016-10-27T19:35:00Z"/>
        <d v="2016-10-27T20:21:00Z"/>
        <d v="2016-10-27T20:54:00Z"/>
        <d v="2016-10-27T21:48:00Z"/>
        <d v="2016-10-28T11:52:00Z"/>
        <d v="2016-10-28T13:36:00Z"/>
        <d v="2016-10-28T17:59:00Z"/>
        <d v="2016-10-28T20:07:00Z"/>
        <d v="2016-10-28T22:00:00Z"/>
        <d v="2016-10-29T17:05:00Z"/>
        <d v="2016-10-29T19:19:00Z"/>
        <d v="2016-10-30T08:30:00Z"/>
        <d v="2016-10-30T10:09:00Z"/>
        <d v="2016-10-30T10:38:00Z"/>
        <d v="2016-10-30T11:21:00Z"/>
        <d v="2016-10-30T12:35:00Z"/>
        <d v="2016-10-30T13:18:00Z"/>
        <d v="2016-10-30T14:37:00Z"/>
        <d v="2016-10-30T18:23:00Z"/>
        <d v="2016-10-30T19:39:00Z"/>
        <d v="2016-10-31T18:20:00Z"/>
        <d v="2016-10-31T19:16:00Z"/>
        <d v="2016-10-31T20:44:00Z"/>
        <d v="2016-10-31T22:10:00Z"/>
        <d v="2016-11-01T12:27:00Z"/>
        <d v="2016-11-01T17:02:00Z"/>
        <d v="2016-11-01T17:42:00Z"/>
        <d v="2016-11-01T19:20:00Z"/>
        <d v="2016-11-01T20:12:00Z"/>
        <d v="2016-11-01T20:55:00Z"/>
        <d v="2016-11-02T15:18:00Z"/>
        <d v="2016-11-02T15:52:00Z"/>
        <d v="2016-11-02T17:11:00Z"/>
        <d v="2016-11-02T17:49:00Z"/>
        <d v="2016-11-02T18:00:00Z"/>
        <d v="2016-11-03T11:34:00Z"/>
        <d v="2016-11-03T12:49:00Z"/>
        <d v="2016-11-03T13:47:00Z"/>
        <d v="2016-11-03T14:26:00Z"/>
        <d v="2016-11-03T19:08:00Z"/>
        <d v="2016-11-03T22:58:00Z"/>
        <d v="2016-11-04T10:18:00Z"/>
        <d v="2016-11-04T18:21:00Z"/>
        <d v="2016-11-04T21:20:00Z"/>
        <d v="2016-11-04T22:25:00Z"/>
        <d v="2016-11-05T08:43:00Z"/>
        <d v="2016-11-05T17:40:00Z"/>
        <d v="2016-11-05T19:28:00Z"/>
        <d v="2016-11-06T11:04:00Z"/>
        <d v="2016-11-06T16:22:00Z"/>
        <d v="2016-11-06T17:28:00Z"/>
        <d v="2016-11-06T19:12:00Z"/>
        <d v="2016-11-06T20:21:00Z"/>
        <d v="2016-11-07T12:57:00Z"/>
        <d v="2016-11-07T19:57:00Z"/>
        <d v="2016-11-08T10:57:00Z"/>
        <d v="2016-11-08T12:49:00Z"/>
        <d v="2016-11-08T14:01:00Z"/>
        <d v="2016-11-08T16:34:00Z"/>
        <d v="2016-11-09T13:41:00Z"/>
        <d v="2016-11-09T16:04:00Z"/>
        <d v="2016-11-09T18:03:00Z"/>
        <d v="2016-11-09T18:14:00Z"/>
        <d v="2016-11-09T18:35:00Z"/>
        <d v="2016-11-09T19:17:00Z"/>
        <d v="2016-11-09T21:02:00Z"/>
        <d v="2016-11-09T22:02:00Z"/>
        <d v="2016-11-10T10:15:00Z"/>
        <d v="2016-11-10T10:31:00Z"/>
        <d v="2016-11-10T15:07:00Z"/>
        <d v="2016-11-10T15:22:00Z"/>
        <d v="2016-11-10T15:53:00Z"/>
        <d v="2016-11-10T19:21:00Z"/>
        <d v="2016-11-11T10:23:00Z"/>
        <d v="2016-11-11T13:13:00Z"/>
        <d v="2016-11-11T14:32:00Z"/>
        <d v="2016-11-11T15:46:00Z"/>
        <d v="2016-11-11T18:43:00Z"/>
        <d v="2016-11-11T21:18:00Z"/>
        <d v="2016-11-12T10:52:00Z"/>
        <d v="2016-11-12T11:25:00Z"/>
        <d v="2016-11-12T13:15:00Z"/>
        <d v="2016-11-12T13:50:00Z"/>
        <d v="2016-11-12T14:53:00Z"/>
        <d v="2016-11-12T15:21:00Z"/>
        <d v="2016-11-12T15:36:00Z"/>
        <d v="2016-11-12T15:59:00Z"/>
        <d v="2016-11-13T09:02:00Z"/>
        <d v="2016-11-13T09:53:00Z"/>
        <d v="2016-11-13T10:37:00Z"/>
        <d v="2016-11-13T11:16:00Z"/>
        <d v="2016-11-13T12:51:00Z"/>
        <d v="2016-11-13T13:11:00Z"/>
        <d v="2016-11-13T13:18:00Z"/>
        <d v="2016-11-13T14:46:00Z"/>
        <d v="2016-11-13T15:24:00Z"/>
        <d v="2016-11-13T15:59:00Z"/>
        <d v="2016-11-14T12:13:00Z"/>
        <d v="2016-11-14T14:33:00Z"/>
        <d v="2016-11-14T15:36:00Z"/>
        <d v="2016-11-14T20:30:00Z"/>
        <d v="2016-11-15T14:06:00Z"/>
        <d v="2016-11-15T14:26:00Z"/>
        <d v="2016-11-15T21:00:00Z"/>
        <d v="2016-11-16T20:27:00Z"/>
        <d v="2016-11-16T23:02:00Z"/>
        <d v="2016-11-17T10:44:00Z"/>
        <d v="2016-11-18T20:19:00Z"/>
        <d v="2016-11-18T21:34:00Z"/>
        <d v="2016-11-18T22:21:00Z"/>
        <d v="2016-11-19T14:10:00Z"/>
        <d v="2016-11-19T14:51:00Z"/>
        <d v="2016-11-19T16:06:00Z"/>
        <d v="2016-11-19T16:41:00Z"/>
        <d v="2016-11-19T17:54:00Z"/>
        <d v="2016-11-19T21:35:00Z"/>
        <d v="2016-11-20T11:32:00Z"/>
        <d v="2016-11-20T12:28:00Z"/>
        <d v="2016-11-20T15:07:00Z"/>
        <d v="2016-11-20T18:37:00Z"/>
        <d v="2016-11-21T13:49:00Z"/>
        <d v="2016-11-21T14:44:00Z"/>
        <d v="2016-11-21T18:04:00Z"/>
        <d v="2016-11-21T18:27:00Z"/>
        <d v="2016-11-21T18:51:00Z"/>
        <d v="2016-11-22T15:27:00Z"/>
        <d v="2016-11-22T15:44:00Z"/>
        <d v="2016-11-22T16:43:00Z"/>
        <d v="2016-11-22T18:28:00Z"/>
        <d v="2016-11-22T21:14:00Z"/>
        <d v="2016-11-23T15:50:00Z"/>
        <d v="2016-11-23T16:29:00Z"/>
        <d v="2016-11-23T17:00:00Z"/>
        <d v="2016-11-23T18:47:00Z"/>
        <d v="2016-11-25T12:04:00Z"/>
        <d v="2016-11-25T13:31:00Z"/>
        <d v="2016-11-26T15:59:00Z"/>
        <d v="2016-11-26T17:12:00Z"/>
        <d v="2016-11-26T17:56:00Z"/>
        <d v="2016-11-26T19:04:00Z"/>
        <d v="2016-11-26T19:54:00Z"/>
        <d v="2016-11-27T16:06:00Z"/>
        <d v="2016-11-27T19:09:00Z"/>
        <d v="2016-11-30T11:34:00Z"/>
        <d v="2016-11-30T12:35:00Z"/>
        <d v="2016-11-30T12:53:00Z"/>
        <d v="2016-12-01T07:59:00Z"/>
        <d v="2016-12-01T08:53:00Z"/>
        <d v="2016-12-01T18:12:00Z"/>
        <d v="2016-12-01T20:46:00Z"/>
        <d v="2016-12-02T12:23:00Z"/>
        <d v="2016-12-02T13:22:00Z"/>
        <d v="2016-12-02T20:48:00Z"/>
        <d v="2016-12-02T23:07:00Z"/>
        <d v="2016-12-03T18:56:00Z"/>
        <d v="2016-12-03T19:15:00Z"/>
        <d v="2016-12-03T20:41:00Z"/>
        <d v="2016-12-04T19:03:00Z"/>
        <d v="2016-12-04T20:34:00Z"/>
        <d v="2016-12-05T18:17:00Z"/>
        <d v="2016-12-05T19:37:00Z"/>
        <d v="2016-12-07T12:32:00Z"/>
        <d v="2016-12-07T12:46:00Z"/>
        <d v="2016-12-07T20:13:00Z"/>
        <d v="2016-12-07T21:50:00Z"/>
        <d v="2016-12-08T14:32:00Z"/>
        <d v="2016-12-08T15:02:00Z"/>
        <d v="2016-12-08T19:27:00Z"/>
        <d v="2016-12-08T21:31:00Z"/>
        <d v="2016-12-09T12:24:00Z"/>
        <d v="2016-12-09T13:43:00Z"/>
        <d v="2016-12-09T20:34:00Z"/>
        <d v="2016-12-09T22:57:00Z"/>
        <d v="2016-12-10T13:16:00Z"/>
        <d v="2016-12-10T15:18:00Z"/>
        <d v="2016-12-10T18:27:00Z"/>
        <d v="2016-12-10T22:21:00Z"/>
        <d v="2016-12-11T16:16:00Z"/>
        <d v="2016-12-11T19:15:00Z"/>
        <d v="2016-12-11T21:56:00Z"/>
        <d v="2016-12-12T13:32:00Z"/>
        <d v="2016-12-12T13:51:00Z"/>
        <d v="2016-12-12T14:39:00Z"/>
        <d v="2016-12-12T18:01:00Z"/>
        <d v="2016-12-12T20:57:00Z"/>
        <d v="2016-12-13T18:29:00Z"/>
        <d v="2016-12-13T20:29:00Z"/>
        <d v="2016-12-14T17:10:00Z"/>
        <d v="2016-12-14T17:34:00Z"/>
        <d v="2016-12-14T18:00:00Z"/>
        <d v="2016-12-14T20:40:00Z"/>
        <d v="2016-12-15T14:54:00Z"/>
        <d v="2016-12-17T16:12:00Z"/>
        <d v="2016-12-17T17:59:00Z"/>
        <d v="2016-12-18T13:41:00Z"/>
        <d v="2016-12-18T17:25:00Z"/>
        <d v="2016-12-18T21:04:00Z"/>
        <d v="2016-12-19T09:36:00Z"/>
        <d v="2016-12-19T10:34:00Z"/>
        <d v="2016-12-19T13:08:00Z"/>
        <d v="2016-12-19T13:35:00Z"/>
        <d v="2016-12-19T14:15:00Z"/>
        <d v="2016-12-19T14:32:00Z"/>
        <d v="2016-12-19T14:50:00Z"/>
        <d v="2016-12-19T15:38:00Z"/>
        <d v="2016-12-19T17:09:00Z"/>
        <d v="2016-12-19T19:17:00Z"/>
        <d v="2016-12-19T20:30:00Z"/>
        <d v="2016-12-20T09:24:00Z"/>
        <d v="2016-12-20T10:48:00Z"/>
        <d v="2016-12-20T12:17:00Z"/>
        <d v="2016-12-20T13:20:00Z"/>
        <d v="2016-12-20T14:17:00Z"/>
        <d v="2016-12-20T16:24:00Z"/>
        <d v="2016-12-20T17:07:00Z"/>
        <d v="2016-12-20T19:21:00Z"/>
        <d v="2016-12-21T08:10:00Z"/>
        <d v="2016-12-21T10:30:00Z"/>
        <d v="2016-12-21T11:49:00Z"/>
        <d v="2016-12-21T13:33:00Z"/>
        <d v="2016-12-21T15:49:00Z"/>
        <d v="2016-12-21T16:05:00Z"/>
        <d v="2016-12-21T17:54:00Z"/>
        <d v="2016-12-21T18:31:00Z"/>
        <d v="2016-12-21T20:35:00Z"/>
        <d v="2016-12-21T23:42:00Z"/>
        <d v="2016-12-22T16:38:00Z"/>
        <d v="2016-12-22T17:20:00Z"/>
        <d v="2016-12-22T17:53:00Z"/>
        <d v="2016-12-22T18:29:00Z"/>
        <d v="2016-12-22T18:37:00Z"/>
        <d v="2016-12-22T18:47:00Z"/>
        <d v="2016-12-22T19:50:00Z"/>
        <d v="2016-12-22T21:53:00Z"/>
        <d v="2016-12-22T23:32:00Z"/>
        <d v="2016-12-23T09:41:00Z"/>
        <d v="2016-12-23T11:58:00Z"/>
        <d v="2016-12-23T15:25:00Z"/>
        <d v="2016-12-23T16:34:00Z"/>
        <d v="2016-12-23T18:27:00Z"/>
        <d v="2016-12-24T08:04:00Z"/>
        <d v="2016-12-24T09:55:00Z"/>
        <d v="2016-12-24T10:53:00Z"/>
        <d v="2016-12-24T12:53:00Z"/>
        <d v="2016-12-24T13:29:00Z"/>
        <d v="2016-12-24T17:27:00Z"/>
        <d v="2016-12-24T19:27:00Z"/>
        <d v="2016-12-24T22:09:00Z"/>
        <d v="2016-12-25T00:14:00Z"/>
        <d v="2016-12-25T19:26:00Z"/>
        <d v="2016-12-25T22:04:00Z"/>
        <d v="2016-12-26T08:41:00Z"/>
        <d v="2016-12-26T09:19:00Z"/>
        <d v="2016-12-26T10:36:00Z"/>
        <d v="2016-12-26T11:42:00Z"/>
        <d v="2016-12-26T13:43:00Z"/>
        <d v="2016-12-27T07:14:00Z"/>
        <d v="2016-12-27T08:59:00Z"/>
        <d v="2016-12-27T12:57:00Z"/>
        <d v="2016-12-27T15:03:00Z"/>
        <d v="2016-12-27T16:58:00Z"/>
        <d v="2016-12-27T19:50:00Z"/>
        <d v="2016-12-28T09:06:00Z"/>
        <d v="2016-12-28T12:12:00Z"/>
        <d v="2016-12-28T14:01:00Z"/>
        <d v="2016-12-28T15:39:00Z"/>
        <d v="2016-12-28T17:16:00Z"/>
        <d v="2016-12-28T18:56:00Z"/>
        <d v="2016-12-28T23:18:00Z"/>
        <d v="2016-12-29T01:06:00Z"/>
        <d v="2016-12-29T10:07:00Z"/>
        <d v="2016-12-29T12:00:00Z"/>
        <d v="2016-12-29T12:33:00Z"/>
        <d v="2016-12-29T13:24:00Z"/>
        <d v="2016-12-29T14:11:00Z"/>
        <d v="2016-12-29T14:58:00Z"/>
        <d v="2016-12-29T15:16:00Z"/>
        <d v="2016-12-29T19:14:00Z"/>
        <d v="2016-12-29T20:10:00Z"/>
        <d v="2016-12-29T20:45:00Z"/>
        <d v="2016-12-29T21:42:00Z"/>
        <d v="2016-12-29T23:47:00Z"/>
        <d v="2016-12-30T10:33:00Z"/>
        <d v="2016-12-30T11:56:00Z"/>
        <d v="2016-12-30T16:03:00Z"/>
        <d v="2016-12-30T17:08:00Z"/>
        <d v="2016-12-30T23:10:00Z"/>
        <d v="2016-12-31T01:14:00Z"/>
        <d v="2016-12-31T13:42:00Z"/>
        <d v="2016-12-31T15:38:00Z"/>
        <d v="2016-12-31T21:50:00Z"/>
        <d v="2016-12-31T23:51:00Z"/>
      </sharedItems>
    </cacheField>
    <cacheField name="CATEGORY_ID" numFmtId="3">
      <sharedItems containsSemiMixedTypes="0" containsString="0" containsNumber="1" containsInteger="1">
        <n v="423.0"/>
        <n v="527.0"/>
      </sharedItems>
    </cacheField>
    <cacheField name="START_LOCATION" numFmtId="0">
      <sharedItems>
        <s v="Fort Pierce"/>
        <s v="West Palm Beach"/>
        <s v="Cary"/>
        <s v="Jamaica"/>
        <s v="New York"/>
        <s v="Elmhurst"/>
        <s v="Midtown"/>
        <s v="East Harlem"/>
        <s v="Flatiron District"/>
        <s v="Midtown East"/>
        <s v="Hudson Square"/>
        <s v="Lower Manhattan"/>
        <s v="Hell's Kitchen"/>
        <s v="Downtown"/>
        <s v="Gulfton"/>
        <s v="Houston"/>
        <s v="Eagan Park"/>
        <s v="Morrisville"/>
        <s v="Durham"/>
        <s v="Farmington Woods"/>
        <s v="Whitebridge"/>
        <s v="Lake Wellingborough"/>
        <s v="Fayetteville Street"/>
        <s v="Raleigh"/>
        <s v="Hazelwood"/>
        <s v="Fairmont"/>
        <s v="Meredith Townes"/>
        <s v="Apex"/>
        <s v="Chapel Hill"/>
        <s v="Northwoods"/>
        <s v="Edgehill Farms"/>
        <s v="Tanglewood"/>
        <s v="Preston"/>
        <s v="Eastgate"/>
        <s v="East Elmhurst"/>
        <s v="Jackson Heights"/>
        <s v="Long Island City"/>
        <s v="Katunayaka"/>
        <s v="Unknown Location"/>
        <s v="Colombo"/>
        <s v="Nugegoda"/>
        <s v="Islamabad"/>
        <s v="R?walpindi"/>
        <s v="Noorpur Shahan"/>
        <s v="Heritage Pines"/>
        <s v="Westpark Place"/>
        <s v="Waverly Place"/>
        <s v="Wayne Ridge"/>
        <s v="Weston"/>
        <s v="East Austin"/>
        <s v="West University"/>
        <s v="South Congress"/>
        <s v="The Drag"/>
        <s v="Congress Ave District"/>
        <s v="Red River District"/>
        <s v="Georgian Acres"/>
        <s v="North Austin"/>
        <s v="Coxville"/>
        <s v="Convention Center District"/>
        <s v="Austin"/>
        <s v="Katy"/>
        <s v="Sharpstown"/>
        <s v="Sugar Land"/>
        <s v="Galveston"/>
        <s v="Port Bolivar"/>
        <s v="Washington Avenue"/>
        <s v="Briar Meadow"/>
        <s v="Latta"/>
        <s v="Jacksonville"/>
        <s v="Couples Glen"/>
        <s v="Kissimmee"/>
        <s v="Lake Reams"/>
        <s v="Orlando"/>
        <s v="Sand Lake Commons"/>
        <s v="Sky Lake"/>
        <s v="Daytona Beach"/>
        <s v="Ridgeland"/>
        <s v="Florence"/>
        <s v="Meredith"/>
        <s v="Holly Springs"/>
        <s v="Chessington"/>
        <s v="Burtrose"/>
        <s v="Parkway"/>
        <s v="Mcvan"/>
        <s v="Capitol One"/>
        <s v="University District"/>
        <s v="Seattle"/>
        <s v="Redmond"/>
        <s v="Bellevue"/>
        <s v="San Francisco"/>
        <s v="Palo Alto"/>
        <s v="Sunnyvale"/>
        <s v="Newark"/>
        <s v="Menlo Park"/>
        <s v="Old City"/>
        <s v="Savon Height"/>
        <s v="Kilarney Woods"/>
        <s v="Townes at Everett Crossing"/>
        <s v="Huntington Woods"/>
        <s v="Seaport"/>
        <s v="Medical Centre"/>
        <s v="Rose Hill"/>
        <s v="Soho"/>
        <s v="Tribeca"/>
        <s v="Financial District"/>
        <s v="Oakland"/>
        <s v="Emeryville"/>
        <s v="Berkeley"/>
        <s v="Kenner"/>
        <s v="CBD"/>
        <s v="Lower Garden District"/>
        <s v="Lakeview"/>
        <s v="Storyville"/>
        <s v="New Orleans"/>
        <s v="Metairie"/>
        <s v="Chalmette"/>
        <s v="Arabi"/>
        <s v="Pontchartrain Shores"/>
        <s v="Marigny"/>
        <s v="Covington"/>
        <s v="Mandeville"/>
        <s v="Jamestown Court"/>
        <s v="Summerwinds"/>
        <s v="Parkwood"/>
        <s v="Pontchartrain Beach"/>
        <s v="St Thomas"/>
        <s v="Banner Elk"/>
        <s v="Elk Park"/>
        <s v="Newland"/>
        <s v="Boone"/>
        <s v="Stonewater"/>
        <s v="Lexington Park at Amberly"/>
        <s v="Arlington Park at Amberly"/>
        <s v="Arlington"/>
        <s v="Kalorama Triangle"/>
        <s v="K Street"/>
        <s v="West End"/>
        <s v="Connecticut Avenue"/>
        <s v="Columbia Heights"/>
        <s v="Washington"/>
        <s v="Wake Forest"/>
        <s v="Lahore"/>
        <s v="Karachi"/>
        <s v="SOMISSPO"/>
        <s v="West Berkeley"/>
        <s v="North Berkeley Hills"/>
        <s v="San Jose"/>
        <s v="Eagle Rock"/>
        <s v="Winston Salem"/>
        <s v="Asheville"/>
        <s v="Topton"/>
        <s v="Hayesville"/>
        <s v="Bryson City"/>
        <s v="Almond"/>
        <s v="Mebane"/>
        <s v="Agnew"/>
        <s v="Cory"/>
        <s v="Renaissance"/>
        <s v="Santa Clara"/>
        <s v="NOMA"/>
        <s v="Sunnyside"/>
        <s v="Ingleside"/>
        <s v="Central"/>
        <s v="Tenderloin"/>
        <s v="College Avenue"/>
        <s v="South"/>
        <s v="Southside"/>
        <s v="South Berkeley"/>
        <s v="Mountain View"/>
        <s v="El Cerrito"/>
        <s v="Krendle Woods"/>
        <s v="Wake Co."/>
        <s v="Fuquay-Varina"/>
        <s v="Rawalpindi"/>
        <s v="Kar?chi"/>
        <s v="Katunayake"/>
        <s v="Gampaha"/>
      </sharedItems>
    </cacheField>
    <cacheField name="STOP_LOCATION" numFmtId="0">
      <sharedItems>
        <s v="Fort Pierce"/>
        <s v="West Palm Beach"/>
        <s v="Palm Beach"/>
        <s v="Cary"/>
        <s v="Morrisville"/>
        <s v="New York"/>
        <s v="Queens"/>
        <s v="East Harlem"/>
        <s v="NoMad"/>
        <s v="Midtown"/>
        <s v="Midtown East"/>
        <s v="Hudson Square"/>
        <s v="Lower Manhattan"/>
        <s v="Hell's Kitchen"/>
        <s v="Queens County"/>
        <s v="Gulfton"/>
        <s v="Downtown"/>
        <s v="Houston"/>
        <s v="Jamestown Court"/>
        <s v="Durham"/>
        <s v="Whitebridge"/>
        <s v="Lake Wellingborough"/>
        <s v="Raleigh"/>
        <s v="Umstead"/>
        <s v="Hazelwood"/>
        <s v="Westpark Place"/>
        <s v="Meredith Townes"/>
        <s v="Leesville Hollow"/>
        <s v="Apex"/>
        <s v="Chapel Hill"/>
        <s v="Williamsburg Manor"/>
        <s v="Macgregor Downs"/>
        <s v="Edgehill Farms"/>
        <s v="Northwoods"/>
        <s v="Tanglewood"/>
        <s v="Preston"/>
        <s v="Walnut Terrace"/>
        <s v="Jackson Heights"/>
        <s v="East Elmhurst"/>
        <s v="Midtown West"/>
        <s v="Long Island City"/>
        <s v="Jamaica"/>
        <s v="Unknown Location"/>
        <s v="Colombo"/>
        <s v="Nugegoda"/>
        <s v="Katunayaka"/>
        <s v="Islamabad"/>
        <s v="R?walpindi"/>
        <s v="Noorpur Shahan"/>
        <s v="Heritage Pines"/>
        <s v="Waverly Place"/>
        <s v="Wayne Ridge"/>
        <s v="Depot Historic District"/>
        <s v="Weston"/>
        <s v="West University"/>
        <s v="South Congress"/>
        <s v="Arts District"/>
        <s v="Congress Ave District"/>
        <s v="Red River District"/>
        <s v="The Drag"/>
        <s v="Convention Center District"/>
        <s v="North Austin"/>
        <s v="Coxville"/>
        <s v="Katy"/>
        <s v="Alief"/>
        <s v="Sharpstown"/>
        <s v="Sugar Land"/>
        <s v="Galveston"/>
        <s v="Port Bolivar"/>
        <s v="Washington Avenue"/>
        <s v="Briar Meadow"/>
        <s v="Greater Greenspoint"/>
        <s v="Latta"/>
        <s v="Jacksonville"/>
        <s v="Kissimmee"/>
        <s v="Isles of Buena Vista"/>
        <s v="Orlando"/>
        <s v="Lake Reams"/>
        <s v="Vista East"/>
        <s v="Sky Lake"/>
        <s v="Sand Lake Commons"/>
        <s v="Daytona Beach"/>
        <s v="Ridgeland"/>
        <s v="Florence"/>
        <s v="Cedar Hill"/>
        <s v="Holly Springs"/>
        <s v="Harden Place"/>
        <s v="Chessington"/>
        <s v="Burtrose"/>
        <s v="Parkway"/>
        <s v="Capitol One"/>
        <s v="University District"/>
        <s v="Redmond"/>
        <s v="Bellevue"/>
        <s v="Seattle"/>
        <s v="Mcvan"/>
        <s v="Palo Alto"/>
        <s v="Sunnyvale"/>
        <s v="Newark"/>
        <s v="Menlo Park"/>
        <s v="San Francisco"/>
        <s v="Parkway Museums"/>
        <s v="Hog Island"/>
        <s v="Savon Height"/>
        <s v="Kildaire Farms"/>
        <s v="Kilarney Woods"/>
        <s v="Gramercy-Flatiron"/>
        <s v="Tudor City"/>
        <s v="Soho"/>
        <s v="Tribeca"/>
        <s v="Financial District"/>
        <s v="Kips Bay"/>
        <s v="Emeryville"/>
        <s v="Berkeley"/>
        <s v="Oakland"/>
        <s v="Bay Farm Island"/>
        <s v="New Orleans"/>
        <s v="Lower Garden District"/>
        <s v="Lakeview"/>
        <s v="Storyville"/>
        <s v="Faubourg Marigny"/>
        <s v="Metairie"/>
        <s v="Kenner"/>
        <s v="Bywater"/>
        <s v="Chalmette"/>
        <s v="Arabi"/>
        <s v="Pontchartrain Shores"/>
        <s v="Marigny"/>
        <s v="Covington"/>
        <s v="Mandeville"/>
        <s v="Summerwinds"/>
        <s v="Parkwood"/>
        <s v="Pontchartrain Beach"/>
        <s v="CBD"/>
        <s v="St Thomas"/>
        <s v="Banner Elk"/>
        <s v="Elk Park"/>
        <s v="Newland"/>
        <s v="Boone"/>
        <s v="Stonewater"/>
        <s v="Lexington Park at Amberly"/>
        <s v="Arlington Park at Amberly"/>
        <s v="Washington"/>
        <s v="K Street"/>
        <s v="Kalorama Triangle"/>
        <s v="Northwest Rectangle"/>
        <s v="Columbia Heights"/>
        <s v="Arlington"/>
        <s v="Farmington Woods"/>
        <s v="Wake Forest"/>
        <s v="Lahore"/>
        <s v="Karachi"/>
        <s v="French Quarter"/>
        <s v="North Berkeley Hills"/>
        <s v="Southside"/>
        <s v="San Jose"/>
        <s v="Eagle Rock"/>
        <s v="Huntington Woods"/>
        <s v="Winston Salem"/>
        <s v="Asheville"/>
        <s v="Topton"/>
        <s v="Hayesville"/>
        <s v="Bryson City"/>
        <s v="Almond"/>
        <s v="Mebane"/>
        <s v="Santa Clara"/>
        <s v="Cory"/>
        <s v="Agnew"/>
        <s v="Renaissance"/>
        <s v="West Berkeley"/>
        <s v="Central"/>
        <s v="Sunnyside"/>
        <s v="Ingleside"/>
        <s v="Potrero Flats"/>
        <s v="SOMISSPO"/>
        <s v="Tenderloin"/>
        <s v="College Avenue"/>
        <s v="South"/>
        <s v="Southwest Berkeley"/>
        <s v="South Berkeley"/>
        <s v="Mountain View"/>
        <s v="El Cerrito"/>
        <s v="Wake Co."/>
        <s v="Fuquay-Varina"/>
        <s v="Rawalpindi"/>
        <s v="Kar?chi"/>
        <s v="Gampaha"/>
        <s v="Ilukwatta"/>
      </sharedItems>
    </cacheField>
    <cacheField name="MILES" numFmtId="166">
      <sharedItems containsSemiMixedTypes="0" containsString="0" containsNumber="1">
        <n v="5.1"/>
        <n v="5.0"/>
        <n v="4.8"/>
        <n v="4.7"/>
        <n v="63.7"/>
        <n v="4.3"/>
        <n v="7.1"/>
        <n v="0.8"/>
        <n v="8.3"/>
        <n v="16.5"/>
        <n v="10.8"/>
        <n v="7.5"/>
        <n v="6.2"/>
        <n v="6.4"/>
        <n v="1.6"/>
        <n v="1.7"/>
        <n v="1.9"/>
        <n v="4.0"/>
        <n v="1.8"/>
        <n v="2.4"/>
        <n v="2.0"/>
        <n v="15.1"/>
        <n v="11.2"/>
        <n v="11.8"/>
        <n v="21.9"/>
        <n v="3.9"/>
        <n v="8.0"/>
        <n v="10.4"/>
        <n v="7.2"/>
        <n v="7.6"/>
        <n v="17.1"/>
        <n v="40.2"/>
        <n v="1.0"/>
        <n v="2.3"/>
        <n v="1.4"/>
        <n v="0.5"/>
        <n v="18.7"/>
        <n v="3.4"/>
        <n v="2.7"/>
        <n v="12.9"/>
        <n v="19.0"/>
        <n v="14.7"/>
        <n v="15.7"/>
        <n v="4.6"/>
        <n v="5.2"/>
        <n v="10.1"/>
        <n v="5.8"/>
        <n v="5.5"/>
        <n v="5.7"/>
        <n v="19.4"/>
        <n v="23.3"/>
        <n v="6.0"/>
        <n v="9.7"/>
        <n v="1.1"/>
        <n v="9.0"/>
        <n v="7.7"/>
        <n v="11.4"/>
        <n v="3.2"/>
        <n v="5.6"/>
        <n v="6.1"/>
        <n v="5.3"/>
        <n v="3.0"/>
        <n v="1.5"/>
        <n v="17.3"/>
        <n v="13.5"/>
        <n v="8.5"/>
        <n v="2.6"/>
        <n v="17.0"/>
        <n v="18.0"/>
        <n v="8.4"/>
        <n v="11.5"/>
        <n v="8.9"/>
        <n v="8.1"/>
        <n v="13.0"/>
        <n v="13.9"/>
        <n v="43.7"/>
        <n v="14.1"/>
        <n v="4.5"/>
        <n v="3.6"/>
        <n v="21.4"/>
        <n v="23.5"/>
        <n v="12.7"/>
        <n v="10.0"/>
        <n v="18.3"/>
        <n v="7.3"/>
        <n v="3.5"/>
        <n v="4.2"/>
        <n v="13.6"/>
        <n v="2.5"/>
        <n v="14.4"/>
        <n v="18.4"/>
        <n v="23.1"/>
        <n v="14.5"/>
        <n v="8.8"/>
        <n v="22.7"/>
        <n v="2.2"/>
        <n v="20.0"/>
        <n v="3.1"/>
        <n v="6.3"/>
        <n v="10.6"/>
        <n v="9.9"/>
        <n v="6.8"/>
        <n v="2.1"/>
        <n v="3.8"/>
        <n v="6.6"/>
        <n v="10.9"/>
        <n v="4.9"/>
        <n v="6.5"/>
        <n v="7.8"/>
        <n v="2.8"/>
        <n v="12.4"/>
        <n v="5.9"/>
        <n v="9.4"/>
        <n v="11.9"/>
        <n v="12.8"/>
        <n v="1.2"/>
        <n v="10.5"/>
        <n v="12.5"/>
        <n v="136.0"/>
        <n v="30.2"/>
        <n v="15.5"/>
        <n v="12.6"/>
        <n v="13.2"/>
        <n v="9.2"/>
        <n v="12.0"/>
        <n v="35.1"/>
        <n v="36.5"/>
        <n v="57.0"/>
        <n v="9.6"/>
        <n v="0.9"/>
        <n v="25.6"/>
        <n v="23.0"/>
        <n v="144.0"/>
        <n v="310.3"/>
        <n v="201.0"/>
        <n v="6.7"/>
        <n v="6.9"/>
        <n v="27.2"/>
        <n v="25.7"/>
        <n v="13.8"/>
        <n v="28.8"/>
        <n v="16.1"/>
        <n v="16.4"/>
        <n v="11.0"/>
        <n v="20.3"/>
        <n v="0.7"/>
        <n v="77.3"/>
        <n v="80.5"/>
        <n v="174.2"/>
        <n v="159.3"/>
        <n v="7.9"/>
        <n v="8.7"/>
        <n v="19.1"/>
        <n v="18.6"/>
        <n v="15.9"/>
        <n v="15.3"/>
        <n v="13.7"/>
        <n v="15.2"/>
        <n v="8.2"/>
        <n v="22.5"/>
        <n v="32.8"/>
        <n v="14.2"/>
        <n v="18.2"/>
        <n v="2.9"/>
        <n v="20.5"/>
        <n v="9.8"/>
        <n v="17.6"/>
        <n v="9.3"/>
        <n v="11.3"/>
        <n v="14.9"/>
        <n v="14.0"/>
        <n v="3.3"/>
        <n v="22.3"/>
        <n v="16.3"/>
        <n v="3.7"/>
        <n v="11.6"/>
        <n v="15.0"/>
        <n v="12.2"/>
        <n v="19.3"/>
        <n v="16.6"/>
        <n v="8.6"/>
        <n v="46.9"/>
        <n v="30.0"/>
        <n v="4.4"/>
        <n v="7.4"/>
        <n v="13.3"/>
        <n v="0.6"/>
        <n v="7.0"/>
        <n v="1.3"/>
        <n v="13.4"/>
        <n v="12.3"/>
        <n v="195.3"/>
        <n v="22.4"/>
        <n v="28.1"/>
        <n v="41.9"/>
        <n v="23.8"/>
        <n v="180.2"/>
        <n v="4.1"/>
        <n v="9.1"/>
        <n v="9.5"/>
        <n v="14.6"/>
        <n v="17.4"/>
        <n v="31.7"/>
        <n v="31.9"/>
        <n v="15.6"/>
        <n v="25.9"/>
        <n v="16.2"/>
        <n v="12.1"/>
        <n v="20.2"/>
        <n v="17.7"/>
        <n v="25.2"/>
        <n v="96.2"/>
        <n v="35.0"/>
        <n v="50.4"/>
        <n v="86.6"/>
        <n v="156.9"/>
        <n v="17.2"/>
        <n v="195.6"/>
        <n v="37.7"/>
        <n v="16.7"/>
        <n v="28.6"/>
        <n v="17.9"/>
        <n v="112.6"/>
        <n v="33.2"/>
        <n v="20.6"/>
        <n v="47.7"/>
        <n v="44.6"/>
        <n v="28.2"/>
        <n v="15.4"/>
        <n v="107.0"/>
        <n v="133.6"/>
        <n v="91.8"/>
        <n v="40.7"/>
        <n v="75.7"/>
        <n v="29.8"/>
        <n v="68.4"/>
        <n v="195.9"/>
        <n v="45.2"/>
        <n v="10.3"/>
        <n v="13.1"/>
        <n v="43.9"/>
        <n v="45.9"/>
        <n v="36.6"/>
        <n v="43.6"/>
        <n v="5.4"/>
        <n v="39.2"/>
        <n v="18.5"/>
        <n v="11.1"/>
        <n v="18.9"/>
        <n v="10.2"/>
        <n v="103.0"/>
        <n v="32.3"/>
        <n v="23.2"/>
        <n v="10.7"/>
        <n v="48.2"/>
      </sharedItems>
    </cacheField>
    <cacheField name="PURPOSE_ID" numFmtId="3">
      <sharedItems containsSemiMixedTypes="0" containsString="0" containsNumber="1" containsInteger="1">
        <n v="1.0"/>
        <n v="123.0"/>
        <n v="2.0"/>
        <n v="3.0"/>
        <n v="4.0"/>
        <n v="5.0"/>
        <n v="6.0"/>
        <n v="7.0"/>
        <n v="8.0"/>
        <n v="9.0"/>
        <n v="10.0"/>
      </sharedItems>
    </cacheField>
    <cacheField name="START_TIME" numFmtId="165">
      <sharedItems containsSemiMixedTypes="0" containsDate="1" containsString="0">
        <d v="1899-12-30T21:11:00Z"/>
        <d v="1899-12-30T01:25:00Z"/>
        <d v="1899-12-30T20:25:00Z"/>
        <d v="1899-12-30T17:31:00Z"/>
        <d v="1899-12-30T14:42:00Z"/>
        <d v="1899-12-30T17:15:00Z"/>
        <d v="1899-12-30T17:30:00Z"/>
        <d v="1899-12-30T13:27:00Z"/>
        <d v="1899-12-30T08:05:00Z"/>
        <d v="1899-12-30T12:17:00Z"/>
        <d v="1899-12-30T15:08:00Z"/>
        <d v="1899-12-30T18:18:00Z"/>
        <d v="1899-12-30T19:12:00Z"/>
        <d v="1899-12-30T08:55:00Z"/>
        <d v="1899-12-30T11:56:00Z"/>
        <d v="1899-12-30T13:32:00Z"/>
        <d v="1899-12-30T14:30:00Z"/>
        <d v="1899-12-30T12:33:00Z"/>
        <d v="1899-12-30T12:53:00Z"/>
        <d v="1899-12-30T15:13:00Z"/>
        <d v="1899-12-30T15:42:00Z"/>
        <d v="1899-12-30T16:02:00Z"/>
        <d v="1899-12-30T13:54:00Z"/>
        <d v="1899-12-30T15:00:00Z"/>
        <d v="1899-12-30T16:29:00Z"/>
        <d v="1899-12-30T21:39:00Z"/>
        <d v="1899-12-30T00:41:00Z"/>
        <d v="1899-12-30T11:43:00Z"/>
        <d v="1899-12-30T13:26:00Z"/>
        <d v="1899-12-30T14:55:00Z"/>
        <d v="1899-12-30T16:13:00Z"/>
        <d v="1899-12-30T09:09:00Z"/>
        <d v="1899-12-30T10:55:00Z"/>
        <d v="1899-12-30T10:36:00Z"/>
        <d v="1899-12-30T11:48:00Z"/>
        <d v="1899-12-30T13:25:00Z"/>
        <d v="1899-12-30T14:25:00Z"/>
        <d v="1899-12-30T14:43:00Z"/>
        <d v="1899-12-30T16:01:00Z"/>
        <d v="1899-12-30T10:41:00Z"/>
        <d v="1899-12-30T16:24:00Z"/>
        <d v="1899-12-30T17:17:00Z"/>
        <d v="1899-12-30T17:27:00Z"/>
        <d v="1899-12-30T09:24:00Z"/>
        <d v="1899-12-30T10:19:00Z"/>
        <d v="1899-12-30T12:34:00Z"/>
        <d v="1899-12-30T14:05:00Z"/>
        <d v="1899-12-30T14:46:00Z"/>
        <d v="1899-12-30T12:28:00Z"/>
        <d v="1899-12-30T15:11:00Z"/>
        <d v="1899-12-30T16:21:00Z"/>
        <d v="1899-12-30T09:31:00Z"/>
        <d v="1899-12-30T10:56:00Z"/>
        <d v="1899-12-30T13:24:00Z"/>
        <d v="1899-12-30T18:31:00Z"/>
        <d v="1899-12-30T21:21:00Z"/>
        <d v="1899-12-30T18:09:00Z"/>
        <d v="1899-12-30T10:35:00Z"/>
        <d v="1899-12-30T12:10:00Z"/>
        <d v="1899-12-30T12:56:00Z"/>
        <d v="1899-12-30T13:04:00Z"/>
        <d v="1899-12-30T13:51:00Z"/>
        <d v="1899-12-30T14:38:00Z"/>
        <d v="1899-12-30T08:40:00Z"/>
        <d v="1899-12-30T09:37:00Z"/>
        <d v="1899-12-30T10:26:00Z"/>
        <d v="1899-12-30T15:59:00Z"/>
        <d v="1899-12-30T16:35:00Z"/>
        <d v="1899-12-30T18:04:00Z"/>
        <d v="1899-12-30T20:36:00Z"/>
        <d v="1899-12-30T11:47:00Z"/>
        <d v="1899-12-30T13:22:00Z"/>
        <d v="1899-12-30T16:20:00Z"/>
        <d v="1899-12-30T18:57:00Z"/>
        <d v="1899-12-30T19:28:00Z"/>
        <d v="1899-12-30T16:49:00Z"/>
        <d v="1899-12-30T18:03:00Z"/>
        <d v="1899-12-30T18:39:00Z"/>
        <d v="1899-12-30T20:22:00Z"/>
        <d v="1899-12-30T12:57:00Z"/>
        <d v="1899-12-30T14:00:00Z"/>
        <d v="1899-12-30T10:54:00Z"/>
        <d v="1899-12-30T13:36:00Z"/>
        <d v="1899-12-30T13:58:00Z"/>
        <d v="1899-12-30T18:55:00Z"/>
        <d v="1899-12-30T20:24:00Z"/>
        <d v="1899-12-30T16:28:00Z"/>
        <d v="1899-12-30T17:49:00Z"/>
        <d v="1899-12-30T18:24:00Z"/>
        <d v="1899-12-30T08:21:00Z"/>
        <d v="1899-12-30T10:45:00Z"/>
        <d v="1899-12-30T11:14:00Z"/>
        <d v="1899-12-30T13:02:00Z"/>
        <d v="1899-12-30T14:49:00Z"/>
        <d v="1899-12-30T15:33:00Z"/>
        <d v="1899-12-30T14:21:00Z"/>
        <d v="1899-12-30T23:45:00Z"/>
        <d v="1899-12-30T00:50:00Z"/>
        <d v="1899-12-30T14:07:00Z"/>
        <d v="1899-12-30T17:06:00Z"/>
        <d v="1899-12-30T03:21:00Z"/>
        <d v="1899-12-30T08:29:00Z"/>
        <d v="1899-12-30T10:31:00Z"/>
        <d v="1899-12-30T11:32:00Z"/>
        <d v="1899-12-30T12:39:00Z"/>
        <d v="1899-12-30T13:43:00Z"/>
        <d v="1899-12-30T16:34:00Z"/>
        <d v="1899-12-30T17:40:00Z"/>
        <d v="1899-12-30T13:18:00Z"/>
        <d v="1899-12-30T15:17:00Z"/>
        <d v="1899-12-30T16:38:00Z"/>
        <d v="1899-12-30T08:19:00Z"/>
        <d v="1899-12-30T14:03:00Z"/>
        <d v="1899-12-30T15:16:00Z"/>
        <d v="1899-12-30T18:44:00Z"/>
        <d v="1899-12-30T19:27:00Z"/>
        <d v="1899-12-30T09:02:00Z"/>
        <d v="1899-12-30T09:21:00Z"/>
        <d v="1899-12-30T10:21:00Z"/>
        <d v="1899-12-30T11:20:00Z"/>
        <d v="1899-12-30T11:45:00Z"/>
        <d v="1899-12-30T12:09:00Z"/>
        <d v="1899-12-30T16:26:00Z"/>
        <d v="1899-12-30T17:09:00Z"/>
        <d v="1899-12-30T20:08:00Z"/>
        <d v="1899-12-30T20:34:00Z"/>
        <d v="1899-12-30T07:59:00Z"/>
        <d v="1899-12-30T10:48:00Z"/>
        <d v="1899-12-30T12:41:00Z"/>
        <d v="1899-12-30T14:50:00Z"/>
        <d v="1899-12-30T16:59:00Z"/>
        <d v="1899-12-30T18:00:00Z"/>
        <d v="1899-12-30T09:07:00Z"/>
        <d v="1899-12-30T11:39:00Z"/>
        <d v="1899-12-30T12:13:00Z"/>
        <d v="1899-12-30T12:51:00Z"/>
        <d v="1899-12-30T13:33:00Z"/>
        <d v="1899-12-30T14:36:00Z"/>
        <d v="1899-12-30T15:14:00Z"/>
        <d v="1899-12-30T15:36:00Z"/>
        <d v="1899-12-30T16:04:00Z"/>
        <d v="1899-12-30T23:15:00Z"/>
        <d v="1899-12-30T21:54:00Z"/>
        <d v="1899-12-30T15:19:00Z"/>
        <d v="1899-12-30T16:27:00Z"/>
        <d v="1899-12-30T16:47:00Z"/>
        <d v="1899-12-30T17:16:00Z"/>
        <d v="1899-12-30T18:22:00Z"/>
        <d v="1899-12-30T09:06:00Z"/>
        <d v="1899-12-30T11:05:00Z"/>
        <d v="1899-12-30T11:35:00Z"/>
        <d v="1899-12-30T13:01:00Z"/>
        <d v="1899-12-30T17:01:00Z"/>
        <d v="1899-12-30T05:22:00Z"/>
        <d v="1899-12-30T09:26:00Z"/>
        <d v="1899-12-30T11:07:00Z"/>
        <d v="1899-12-30T11:30:00Z"/>
        <d v="1899-12-30T12:36:00Z"/>
        <d v="1899-12-30T16:40:00Z"/>
        <d v="1899-12-30T18:47:00Z"/>
        <d v="1899-12-30T21:27:00Z"/>
        <d v="1899-12-30T09:45:00Z"/>
        <d v="1899-12-30T11:04:00Z"/>
        <d v="1899-12-30T14:44:00Z"/>
        <d v="1899-12-30T15:27:00Z"/>
        <d v="1899-12-30T07:47:00Z"/>
        <d v="1899-12-30T09:46:00Z"/>
        <d v="1899-12-30T11:46:00Z"/>
        <d v="1899-12-30T13:03:00Z"/>
        <d v="1899-12-30T13:40:00Z"/>
        <d v="1899-12-30T15:56:00Z"/>
        <d v="1899-12-30T16:16:00Z"/>
        <d v="1899-12-30T16:43:00Z"/>
        <d v="1899-12-30T19:02:00Z"/>
        <d v="1899-12-30T19:16:00Z"/>
        <d v="1899-12-30T11:44:00Z"/>
        <d v="1899-12-30T14:08:00Z"/>
        <d v="1899-12-30T14:39:00Z"/>
        <d v="1899-12-30T16:52:00Z"/>
        <d v="1899-12-30T17:23:00Z"/>
        <d v="1899-12-30T09:10:00Z"/>
        <d v="1899-12-30T09:23:00Z"/>
        <d v="1899-12-30T13:57:00Z"/>
        <d v="1899-12-30T15:35:00Z"/>
        <d v="1899-12-30T03:36:00Z"/>
        <d v="1899-12-30T10:08:00Z"/>
        <d v="1899-12-30T16:18:00Z"/>
        <d v="1899-12-30T09:47:00Z"/>
        <d v="1899-12-30T10:29:00Z"/>
        <d v="1899-12-30T11:57:00Z"/>
        <d v="1899-12-30T19:21:00Z"/>
        <d v="1899-12-30T09:13:00Z"/>
        <d v="1899-12-30T18:27:00Z"/>
        <d v="1899-12-30T18:23:00Z"/>
        <d v="1899-12-30T20:07:00Z"/>
        <d v="1899-12-30T20:39:00Z"/>
        <d v="1899-12-30T22:19:00Z"/>
        <d v="1899-12-30T08:34:00Z"/>
        <d v="1899-12-30T08:45:00Z"/>
        <d v="1899-12-30T20:48:00Z"/>
        <d v="1899-12-30T11:34:00Z"/>
        <d v="1899-12-30T18:43:00Z"/>
        <d v="1899-12-30T00:33:00Z"/>
        <d v="1899-12-30T12:52:00Z"/>
        <d v="1899-12-30T17:20:00Z"/>
        <d v="1899-12-30T20:57:00Z"/>
        <d v="1899-12-30T21:48:00Z"/>
        <d v="1899-12-30T07:15:00Z"/>
        <d v="1899-12-30T08:35:00Z"/>
        <d v="1899-12-30T19:23:00Z"/>
        <d v="1899-12-30T21:01:00Z"/>
        <d v="1899-12-30T12:50:00Z"/>
        <d v="1899-12-30T14:01:00Z"/>
        <d v="1899-12-30T15:34:00Z"/>
        <d v="1899-12-30T17:37:00Z"/>
        <d v="1899-12-30T17:52:00Z"/>
        <d v="1899-12-30T18:53:00Z"/>
        <d v="1899-12-30T19:33:00Z"/>
        <d v="1899-12-30T07:37:00Z"/>
        <d v="1899-12-30T11:42:00Z"/>
        <d v="1899-12-30T17:08:00Z"/>
        <d v="1899-12-30T18:34:00Z"/>
        <d v="1899-12-30T18:45:00Z"/>
        <d v="1899-12-30T16:05:00Z"/>
        <d v="1899-12-30T18:59:00Z"/>
        <d v="1899-12-30T20:18:00Z"/>
        <d v="1899-12-30T06:17:00Z"/>
        <d v="1899-12-30T12:06:00Z"/>
        <d v="1899-12-30T14:37:00Z"/>
        <d v="1899-12-30T14:53:00Z"/>
        <d v="1899-12-30T19:47:00Z"/>
        <d v="1899-12-30T22:54:00Z"/>
        <d v="1899-12-30T00:31:00Z"/>
        <d v="1899-12-30T01:11:00Z"/>
        <d v="1899-12-30T15:31:00Z"/>
        <d v="1899-12-30T21:26:00Z"/>
        <d v="1899-12-30T23:04:00Z"/>
        <d v="1899-12-30T12:29:00Z"/>
        <d v="1899-12-30T19:30:00Z"/>
        <d v="1899-12-30T22:55:00Z"/>
        <d v="1899-12-30T18:20:00Z"/>
        <d v="1899-12-30T20:29:00Z"/>
        <d v="1899-12-30T22:05:00Z"/>
        <d v="1899-12-30T12:47:00Z"/>
        <d v="1899-12-30T08:48:00Z"/>
        <d v="1899-12-30T11:01:00Z"/>
        <d v="1899-12-30T12:21:00Z"/>
        <d v="1899-12-30T16:57:00Z"/>
        <d v="1899-12-30T19:38:00Z"/>
        <d v="1899-12-30T23:11:00Z"/>
        <d v="1899-12-30T02:00:00Z"/>
        <d v="1899-12-30T00:19:00Z"/>
        <d v="1899-12-30T19:45:00Z"/>
        <d v="1899-12-30T12:30:00Z"/>
        <d v="1899-12-30T13:34:00Z"/>
        <d v="1899-12-30T13:55:00Z"/>
        <d v="1899-12-30T09:15:00Z"/>
        <d v="1899-12-30T09:34:00Z"/>
        <d v="1899-12-30T10:58:00Z"/>
        <d v="1899-12-30T12:22:00Z"/>
        <d v="1899-12-30T13:42:00Z"/>
        <d v="1899-12-30T07:29:00Z"/>
        <d v="1899-12-30T16:00:00Z"/>
        <d v="1899-12-30T11:36:00Z"/>
        <d v="1899-12-30T14:31:00Z"/>
        <d v="1899-12-30T12:59:00Z"/>
        <d v="1899-12-30T15:10:00Z"/>
        <d v="1899-12-30T17:44:00Z"/>
        <d v="1899-12-30T19:57:00Z"/>
        <d v="1899-12-30T08:25:00Z"/>
        <d v="1899-12-30T10:10:00Z"/>
        <d v="1899-12-30T12:08:00Z"/>
        <d v="1899-12-30T17:03:00Z"/>
        <d v="1899-12-30T18:49:00Z"/>
        <d v="1899-12-30T19:07:00Z"/>
        <d v="1899-12-30T19:46:00Z"/>
        <d v="1899-12-30T21:41:00Z"/>
        <d v="1899-12-30T13:30:00Z"/>
        <d v="1899-12-30T14:13:00Z"/>
        <d v="1899-12-30T22:10:00Z"/>
        <d v="1899-12-30T13:13:00Z"/>
        <d v="1899-12-30T18:46:00Z"/>
        <d v="1899-12-30T22:44:00Z"/>
        <d v="1899-12-30T18:42:00Z"/>
        <d v="1899-12-30T22:16:00Z"/>
        <d v="1899-12-30T13:45:00Z"/>
        <d v="1899-12-30T14:26:00Z"/>
        <d v="1899-12-30T17:33:00Z"/>
        <d v="1899-12-30T17:54:00Z"/>
        <d v="1899-12-30T22:38:00Z"/>
        <d v="1899-12-30T14:14:00Z"/>
        <d v="1899-12-30T15:37:00Z"/>
        <d v="1899-12-30T22:20:00Z"/>
        <d v="1899-12-30T20:55:00Z"/>
        <d v="1899-12-30T21:30:00Z"/>
        <d v="1899-12-30T21:24:00Z"/>
        <d v="1899-12-30T22:34:00Z"/>
        <d v="1899-12-30T23:55:00Z"/>
        <d v="1899-12-30T05:47:00Z"/>
        <d v="1899-12-30T16:45:00Z"/>
        <d v="1899-12-30T17:18:00Z"/>
        <d v="1899-12-30T06:08:00Z"/>
        <d v="1899-12-30T17:58:00Z"/>
        <d v="1899-12-30T19:35:00Z"/>
        <d v="1899-12-30T09:03:00Z"/>
        <d v="1899-12-30T17:19:00Z"/>
        <d v="1899-12-30T21:47:00Z"/>
        <d v="1899-12-30T18:35:00Z"/>
        <d v="1899-12-30T23:01:00Z"/>
        <d v="1899-12-30T13:15:00Z"/>
        <d v="1899-12-30T13:56:00Z"/>
        <d v="1899-12-30T14:34:00Z"/>
        <d v="1899-12-30T09:11:00Z"/>
        <d v="1899-12-30T13:00:00Z"/>
        <d v="1899-12-30T15:43:00Z"/>
        <d v="1899-12-30T15:39:00Z"/>
        <d v="1899-12-30T20:19:00Z"/>
        <d v="1899-12-30T21:09:00Z"/>
        <d v="1899-12-30T20:26:00Z"/>
        <d v="1899-12-30T20:47:00Z"/>
        <d v="1899-12-30T22:11:00Z"/>
        <d v="1899-12-30T00:15:00Z"/>
        <d v="1899-12-30T14:35:00Z"/>
        <d v="1899-12-30T17:50:00Z"/>
        <d v="1899-12-30T13:10:00Z"/>
        <d v="1899-12-30T11:29:00Z"/>
        <d v="1899-12-30T13:08:00Z"/>
        <d v="1899-12-30T18:14:00Z"/>
        <d v="1899-12-30T18:41:00Z"/>
        <d v="1899-12-30T19:36:00Z"/>
        <d v="1899-12-30T22:47:00Z"/>
        <d v="1899-12-30T15:06:00Z"/>
        <d v="1899-12-30T15:57:00Z"/>
        <d v="1899-12-30T18:05:00Z"/>
        <d v="1899-12-30T21:53:00Z"/>
        <d v="1899-12-30T23:52:00Z"/>
        <d v="1899-12-30T20:06:00Z"/>
        <d v="1899-12-30T21:08:00Z"/>
        <d v="1899-12-30T23:34:00Z"/>
        <d v="1899-12-30T21:42:00Z"/>
        <d v="1899-12-30T23:41:00Z"/>
        <d v="1899-12-30T08:23:00Z"/>
        <d v="1899-12-30T12:04:00Z"/>
        <d v="1899-12-30T13:12:00Z"/>
        <d v="1899-12-30T16:55:00Z"/>
        <d v="1899-12-30T17:59:00Z"/>
        <d v="1899-12-30T20:11:00Z"/>
        <d v="1899-12-30T23:53:00Z"/>
        <d v="1899-12-30T17:34:00Z"/>
        <d v="1899-12-30T21:45:00Z"/>
        <d v="1899-12-30T23:39:00Z"/>
        <d v="1899-12-30T19:53:00Z"/>
        <d v="1899-12-30T20:05:00Z"/>
        <d v="1899-12-30T21:58:00Z"/>
        <d v="1899-12-30T05:23:00Z"/>
        <d v="1899-12-30T14:17:00Z"/>
        <d v="1899-12-30T18:08:00Z"/>
        <d v="1899-12-30T18:54:00Z"/>
        <d v="1899-12-30T20:00:00Z"/>
        <d v="1899-12-30T12:03:00Z"/>
        <d v="1899-12-30T16:09:00Z"/>
        <d v="1899-12-30T01:46:00Z"/>
        <d v="1899-12-30T15:26:00Z"/>
        <d v="1899-12-30T16:37:00Z"/>
        <d v="1899-12-30T17:29:00Z"/>
        <d v="1899-12-30T19:52:00Z"/>
        <d v="1899-12-30T19:39:00Z"/>
        <d v="1899-12-30T21:43:00Z"/>
        <d v="1899-12-30T16:11:00Z"/>
        <d v="1899-12-30T00:29:00Z"/>
        <d v="1899-12-30T02:39:00Z"/>
        <d v="1899-12-30T05:51:00Z"/>
        <d v="1899-12-30T17:11:00Z"/>
        <d v="1899-12-30T11:54:00Z"/>
        <d v="1899-12-30T12:19:00Z"/>
        <d v="1899-12-30T20:44:00Z"/>
        <d v="1899-12-30T10:18:00Z"/>
        <d v="1899-12-30T10:50:00Z"/>
        <d v="1899-12-30T11:25:00Z"/>
        <d v="1899-12-30T11:53:00Z"/>
        <d v="1899-12-30T23:19:00Z"/>
        <d v="1899-12-30T17:43:00Z"/>
        <d v="1899-12-30T19:41:00Z"/>
        <d v="1899-12-30T21:14:00Z"/>
        <d v="1899-12-30T08:51:00Z"/>
        <d v="1899-12-30T09:05:00Z"/>
        <d v="1899-12-30T09:43:00Z"/>
        <d v="1899-12-30T10:22:00Z"/>
        <d v="1899-12-30T10:51:00Z"/>
        <d v="1899-12-30T11:06:00Z"/>
        <d v="1899-12-30T00:48:00Z"/>
        <d v="1899-12-30T20:13:00Z"/>
        <d v="1899-12-30T08:56:00Z"/>
        <d v="1899-12-30T11:49:00Z"/>
        <d v="1899-12-30T12:11:00Z"/>
        <d v="1899-12-30T23:38:00Z"/>
        <d v="1899-12-30T20:09:00Z"/>
        <d v="1899-12-30T00:00:00Z"/>
        <d v="1899-12-30T23:48:00Z"/>
        <d v="1899-12-30T00:28:00Z"/>
        <d v="1899-12-30T03:02:00Z"/>
        <d v="1899-12-30T00:32:00Z"/>
        <d v="1899-12-30T00:08:00Z"/>
        <d v="1899-12-30T16:48:00Z"/>
        <d v="1899-12-30T22:41:00Z"/>
        <d v="1899-12-30T12:48:00Z"/>
        <d v="1899-12-30T20:04:00Z"/>
        <d v="1899-12-30T23:46:00Z"/>
        <d v="1899-12-30T08:22:00Z"/>
        <d v="1899-12-30T10:27:00Z"/>
        <d v="1899-12-30T09:50:00Z"/>
        <d v="1899-12-30T13:48:00Z"/>
        <d v="1899-12-30T09:52:00Z"/>
        <d v="1899-12-30T10:15:00Z"/>
        <d v="1899-12-30T14:10:00Z"/>
        <d v="1899-12-30T19:51:00Z"/>
        <d v="1899-12-30T16:10:00Z"/>
        <d v="1899-12-30T23:47:00Z"/>
        <d v="1899-12-30T15:51:00Z"/>
        <d v="1899-12-30T16:03:00Z"/>
        <d v="1899-12-30T16:39:00Z"/>
        <d v="1899-12-30T12:35:00Z"/>
        <d v="1899-12-30T15:03:00Z"/>
        <d v="1899-12-30T15:40:00Z"/>
        <d v="1899-12-30T13:14:00Z"/>
        <d v="1899-12-30T15:29:00Z"/>
        <d v="1899-12-30T19:42:00Z"/>
        <d v="1899-12-30T22:50:00Z"/>
        <d v="1899-12-30T11:23:00Z"/>
        <d v="1899-12-30T12:20:00Z"/>
        <d v="1899-12-30T10:37:00Z"/>
        <d v="1899-12-30T11:40:00Z"/>
        <d v="1899-12-30T17:12:00Z"/>
        <d v="1899-12-30T18:32:00Z"/>
        <d v="1899-12-30T20:28:00Z"/>
        <d v="1899-12-30T17:14:00Z"/>
        <d v="1899-12-30T18:16:00Z"/>
        <d v="1899-12-30T17:42:00Z"/>
        <d v="1899-12-30T10:42:00Z"/>
        <d v="1899-12-30T11:11:00Z"/>
        <d v="1899-12-30T11:37:00Z"/>
        <d v="1899-12-30T12:14:00Z"/>
        <d v="1899-12-30T13:21:00Z"/>
        <d v="1899-12-30T14:27:00Z"/>
        <d v="1899-12-30T15:49:00Z"/>
        <d v="1899-12-30T18:33:00Z"/>
        <d v="1899-12-30T14:48:00Z"/>
        <d v="1899-12-30T15:15:00Z"/>
        <d v="1899-12-30T15:50:00Z"/>
        <d v="1899-12-30T20:17:00Z"/>
        <d v="1899-12-30T23:18:00Z"/>
        <d v="1899-12-30T10:47:00Z"/>
        <d v="1899-12-30T20:52:00Z"/>
        <d v="1899-12-30T22:31:00Z"/>
        <d v="1899-12-30T19:08:00Z"/>
        <d v="1899-12-30T21:34:00Z"/>
        <d v="1899-12-30T22:00:00Z"/>
        <d v="1899-12-30T00:04:00Z"/>
        <d v="1899-12-30T15:45:00Z"/>
        <d v="1899-12-30T17:02:00Z"/>
        <d v="1899-12-30T21:16:00Z"/>
        <d v="1899-12-30T13:28:00Z"/>
        <d v="1899-12-30T13:52:00Z"/>
        <d v="1899-12-30T08:11:00Z"/>
        <d v="1899-12-30T11:51:00Z"/>
        <d v="1899-12-30T19:15:00Z"/>
        <d v="1899-12-30T21:23:00Z"/>
        <d v="1899-12-30T12:46:00Z"/>
        <d v="1899-12-30T14:59:00Z"/>
        <d v="1899-12-30T18:17:00Z"/>
        <d v="1899-12-30T19:17:00Z"/>
        <d v="1899-12-30T06:40:00Z"/>
        <d v="1899-12-30T17:28:00Z"/>
        <d v="1899-12-30T20:15:00Z"/>
        <d v="1899-12-30T16:17:00Z"/>
        <d v="1899-12-30T21:50:00Z"/>
        <d v="1899-12-30T23:28:00Z"/>
        <d v="1899-12-30T14:20:00Z"/>
        <d v="1899-12-30T16:56:00Z"/>
        <d v="1899-12-30T17:53:00Z"/>
        <d v="1899-12-30T18:37:00Z"/>
        <d v="1899-12-30T20:59:00Z"/>
        <d v="1899-12-30T18:56:00Z"/>
        <d v="1899-12-30T15:20:00Z"/>
        <d v="1899-12-30T07:58:00Z"/>
        <d v="1899-12-30T08:16:00Z"/>
        <d v="1899-12-30T08:46:00Z"/>
        <d v="1899-12-30T10:06:00Z"/>
        <d v="1899-12-30T10:17:00Z"/>
        <d v="1899-12-30T10:57:00Z"/>
        <d v="1899-12-30T14:45:00Z"/>
        <d v="1899-12-30T15:32:00Z"/>
        <d v="1899-12-30T16:54:00Z"/>
        <d v="1899-12-30T17:05:00Z"/>
        <d v="1899-12-30T18:38:00Z"/>
        <d v="1899-12-30T18:40:00Z"/>
        <d v="1899-12-30T08:24:00Z"/>
        <d v="1899-12-30T08:54:00Z"/>
        <d v="1899-12-30T09:27:00Z"/>
        <d v="1899-12-30T12:07:00Z"/>
        <d v="1899-12-30T10:00:00Z"/>
        <d v="1899-12-30T16:30:00Z"/>
        <d v="1899-12-30T18:10:00Z"/>
        <d v="1899-12-30T18:48:00Z"/>
        <d v="1899-12-30T19:58:00Z"/>
        <d v="1899-12-30T20:53:00Z"/>
        <d v="1899-12-30T08:10:00Z"/>
        <d v="1899-12-30T09:35:00Z"/>
        <d v="1899-12-30T13:19:00Z"/>
        <d v="1899-12-30T13:49:00Z"/>
        <d v="1899-12-30T15:07:00Z"/>
        <d v="1899-12-30T12:05:00Z"/>
        <d v="1899-12-30T16:36:00Z"/>
        <d v="1899-12-30T19:25:00Z"/>
        <d v="1899-12-30T22:58:00Z"/>
        <d v="1899-12-30T15:23:00Z"/>
        <d v="1899-12-30T19:31:00Z"/>
        <d v="1899-12-30T12:12:00Z"/>
        <d v="1899-12-30T16:15:00Z"/>
        <d v="1899-12-30T09:57:00Z"/>
        <d v="1899-12-30T21:15:00Z"/>
        <d v="1899-12-30T12:02:00Z"/>
        <d v="1899-12-30T13:38:00Z"/>
        <d v="1899-12-30T16:06:00Z"/>
        <d v="1899-12-30T17:24:00Z"/>
        <d v="1899-12-30T17:21:00Z"/>
        <d v="1899-12-30T10:25:00Z"/>
        <d v="1899-12-30T10:28:00Z"/>
        <d v="1899-12-30T09:51:00Z"/>
        <d v="1899-12-30T21:40:00Z"/>
        <d v="1899-12-30T08:07:00Z"/>
        <d v="1899-12-30T11:15:00Z"/>
        <d v="1899-12-30T11:55:00Z"/>
        <d v="1899-12-30T20:33:00Z"/>
        <d v="1899-12-30T18:07:00Z"/>
        <d v="1899-12-30T06:18:00Z"/>
        <d v="1899-12-30T14:40:00Z"/>
        <d v="1899-12-30T16:23:00Z"/>
        <d v="1899-12-30T17:36:00Z"/>
        <d v="1899-12-30T19:10:00Z"/>
        <d v="1899-12-30T08:33:00Z"/>
        <d v="1899-12-30T19:14:00Z"/>
        <d v="1899-12-30T17:39:00Z"/>
        <d v="1899-12-30T18:51:00Z"/>
        <d v="1899-12-30T22:04:00Z"/>
        <d v="1899-12-30T08:49:00Z"/>
        <d v="1899-12-30T11:27:00Z"/>
        <d v="1899-12-30T14:29:00Z"/>
        <d v="1899-12-30T15:47:00Z"/>
        <d v="1899-12-30T18:15:00Z"/>
        <d v="1899-12-30T14:04:00Z"/>
        <d v="1899-12-30T17:22:00Z"/>
        <d v="1899-12-30T01:27:00Z"/>
        <d v="1899-12-30T19:18:00Z"/>
        <d v="1899-12-30T13:37:00Z"/>
        <d v="1899-12-30T16:08:00Z"/>
        <d v="1899-12-30T08:50:00Z"/>
        <d v="1899-12-30T10:16:00Z"/>
        <d v="1899-12-30T23:54:00Z"/>
        <d v="1899-12-30T22:28:00Z"/>
        <d v="1899-12-30T00:01:00Z"/>
        <d v="1899-12-30T20:30:00Z"/>
        <d v="1899-12-30T18:02:00Z"/>
        <d v="1899-12-30T08:12:00Z"/>
        <d v="1899-12-30T08:53:00Z"/>
        <d v="1899-12-30T18:12:00Z"/>
        <d v="1899-12-30T19:03:00Z"/>
        <d v="1899-12-30T20:31:00Z"/>
        <d v="1899-12-30T09:33:00Z"/>
        <d v="1899-12-30T09:54:00Z"/>
        <d v="1899-12-30T14:02:00Z"/>
        <d v="1899-12-30T15:44:00Z"/>
        <d v="1899-12-30T16:33:00Z"/>
        <d v="1899-12-30T11:26:00Z"/>
        <d v="1899-12-30T00:54:00Z"/>
        <d v="1899-12-30T19:04:00Z"/>
        <d v="1899-12-30T21:10:00Z"/>
        <d v="1899-12-30T14:57:00Z"/>
        <d v="1899-12-30T15:04:00Z"/>
        <d v="1899-12-30T20:54:00Z"/>
        <d v="1899-12-30T22:24:00Z"/>
        <d v="1899-12-30T19:20:00Z"/>
        <d v="1899-12-30T13:06:00Z"/>
        <d v="1899-12-30T15:53:00Z"/>
        <d v="1899-12-30T18:13:00Z"/>
        <d v="1899-12-30T15:22:00Z"/>
        <d v="1899-12-30T17:13:00Z"/>
        <d v="1899-12-30T07:49:00Z"/>
        <d v="1899-12-30T10:11:00Z"/>
        <d v="1899-12-30T12:24:00Z"/>
        <d v="1899-12-30T12:58:00Z"/>
        <d v="1899-12-30T18:26:00Z"/>
        <d v="1899-12-30T18:11:00Z"/>
        <d v="1899-12-30T11:50:00Z"/>
        <d v="1899-12-30T17:35:00Z"/>
        <d v="1899-12-30T19:59:00Z"/>
        <d v="1899-12-30T20:41:00Z"/>
        <d v="1899-12-30T16:46:00Z"/>
        <d v="1899-12-30T11:28:00Z"/>
        <d v="1899-12-30T12:43:00Z"/>
        <d v="1899-12-30T22:46:00Z"/>
        <d v="1899-12-30T10:02:00Z"/>
        <d v="1899-12-30T21:04:00Z"/>
        <d v="1899-12-30T22:12:00Z"/>
        <d v="1899-12-30T12:16:00Z"/>
        <d v="1899-12-30T13:41:00Z"/>
        <d v="1899-12-30T15:58:00Z"/>
        <d v="1899-12-30T18:21:00Z"/>
        <d v="1899-12-30T21:56:00Z"/>
        <d v="1899-12-30T10:20:00Z"/>
        <d v="1899-12-30T15:30:00Z"/>
        <d v="1899-12-30T18:30:00Z"/>
        <d v="1899-12-30T10:32:00Z"/>
        <d v="1899-12-30T13:07:00Z"/>
        <d v="1899-12-30T13:46:00Z"/>
        <d v="1899-12-30T14:22:00Z"/>
        <d v="1899-12-30T15:25:00Z"/>
        <d v="1899-12-30T13:05:00Z"/>
        <d v="1899-12-30T11:24:00Z"/>
        <d v="1899-12-30T13:59:00Z"/>
        <d v="1899-12-30T14:09:00Z"/>
        <d v="1899-12-30T20:21:00Z"/>
        <d v="1899-12-30T22:52:00Z"/>
        <d v="1899-12-30T10:13:00Z"/>
        <d v="1899-12-30T17:41:00Z"/>
        <d v="1899-12-30T11:58:00Z"/>
        <d v="1899-12-30T14:58:00Z"/>
        <d v="1899-12-30T17:45:00Z"/>
        <d v="1899-12-30T15:12:00Z"/>
        <d v="1899-12-30T21:02:00Z"/>
        <d v="1899-12-30T15:54:00Z"/>
        <d v="1899-12-30T17:00:00Z"/>
        <d v="1899-12-30T18:29:00Z"/>
        <d v="1899-12-30T11:03:00Z"/>
        <d v="1899-12-30T07:44:00Z"/>
        <d v="1899-12-30T08:37:00Z"/>
        <d v="1899-12-30T22:59:00Z"/>
        <d v="1899-12-30T20:23:00Z"/>
        <d v="1899-12-30T19:22:00Z"/>
        <d v="1899-12-30T21:13:00Z"/>
        <d v="1899-12-30T14:19:00Z"/>
        <d v="1899-12-30T22:03:00Z"/>
        <d v="1899-12-30T22:09:00Z"/>
        <d v="1899-12-30T19:05:00Z"/>
        <d v="1899-12-30T17:51:00Z"/>
        <d v="1899-12-30T18:19:00Z"/>
        <d v="1899-12-30T20:20:00Z"/>
        <d v="1899-12-30T15:38:00Z"/>
        <d v="1899-12-30T20:35:00Z"/>
        <d v="1899-12-30T09:08:00Z"/>
        <d v="1899-12-30T14:18:00Z"/>
        <d v="1899-12-30T15:09:00Z"/>
        <d v="1899-12-30T16:50:00Z"/>
        <d v="1899-12-30T19:55:00Z"/>
        <d v="1899-12-30T10:30:00Z"/>
        <d v="1899-12-30T16:14:00Z"/>
        <d v="1899-12-30T07:42:00Z"/>
        <d v="1899-12-30T10:14:00Z"/>
        <d v="1899-12-30T15:55:00Z"/>
        <d v="1899-12-30T19:49:00Z"/>
        <d v="1899-12-30T20:56:00Z"/>
        <d v="1899-12-30T17:04:00Z"/>
        <d v="1899-12-30T17:56:00Z"/>
        <d v="1899-12-30T23:27:00Z"/>
        <d v="1899-12-30T11:33:00Z"/>
        <d v="1899-12-30T14:15:00Z"/>
        <d v="1899-12-30T07:43:00Z"/>
        <d v="1899-12-30T09:19:00Z"/>
        <d v="1899-12-30T10:34:00Z"/>
        <d v="1899-12-30T00:10:00Z"/>
        <d v="1899-12-30T08:30:00Z"/>
        <d v="1899-12-30T13:09:00Z"/>
        <d v="1899-12-30T07:02:00Z"/>
        <d v="1899-12-30T19:19:00Z"/>
        <d v="1899-12-30T13:53:00Z"/>
        <d v="1899-12-30T00:49:00Z"/>
        <d v="1899-12-30T09:44:00Z"/>
        <d v="1899-12-30T12:25:00Z"/>
        <d v="1899-12-30T13:17:00Z"/>
        <d v="1899-12-30T15:05:00Z"/>
        <d v="1899-12-30T19:50:00Z"/>
        <d v="1899-12-30T23:14:00Z"/>
        <d v="1899-12-30T11:31:00Z"/>
        <d v="1899-12-30T15:41:00Z"/>
        <d v="1899-12-30T23:06:00Z"/>
        <d v="1899-12-30T01:07:00Z"/>
        <d v="1899-12-30T21:32:00Z"/>
        <d v="1899-12-30T22:08:00Z"/>
      </sharedItems>
    </cacheField>
    <cacheField name="END_TIME" numFmtId="165">
      <sharedItems containsSemiMixedTypes="0" containsDate="1" containsString="0">
        <d v="1899-12-30T21:17:00Z"/>
        <d v="1899-12-30T01:37:00Z"/>
        <d v="1899-12-30T20:38:00Z"/>
        <d v="1899-12-30T17:45:00Z"/>
        <d v="1899-12-30T15:49:00Z"/>
        <d v="1899-12-30T17:19:00Z"/>
        <d v="1899-12-30T17:35:00Z"/>
        <d v="1899-12-30T13:33:00Z"/>
        <d v="1899-12-30T08:25:00Z"/>
        <d v="1899-12-30T12:44:00Z"/>
        <d v="1899-12-30T15:51:00Z"/>
        <d v="1899-12-30T18:53:00Z"/>
        <d v="1899-12-30T19:32:00Z"/>
        <d v="1899-12-30T09:21:00Z"/>
        <d v="1899-12-30T12:03:00Z"/>
        <d v="1899-12-30T13:46:00Z"/>
        <d v="1899-12-30T14:43:00Z"/>
        <d v="1899-12-30T12:49:00Z"/>
        <d v="1899-12-30T13:09:00Z"/>
        <d v="1899-12-30T14:56:00Z"/>
        <d v="1899-12-30T15:28:00Z"/>
        <d v="1899-12-30T15:54:00Z"/>
        <d v="1899-12-30T17:00:00Z"/>
        <d v="1899-12-30T14:07:00Z"/>
        <d v="1899-12-30T17:05:00Z"/>
        <d v="1899-12-30T21:45:00Z"/>
        <d v="1899-12-30T01:01:00Z"/>
        <d v="1899-12-30T13:44:00Z"/>
        <d v="1899-12-30T15:06:00Z"/>
        <d v="1899-12-30T16:24:00Z"/>
        <d v="1899-12-30T09:23:00Z"/>
        <d v="1899-12-30T11:09:00Z"/>
        <d v="1899-12-30T11:11:00Z"/>
        <d v="1899-12-30T12:19:00Z"/>
        <d v="1899-12-30T14:19:00Z"/>
        <d v="1899-12-30T14:29:00Z"/>
        <d v="1899-12-30T14:51:00Z"/>
        <d v="1899-12-30T16:06:00Z"/>
        <d v="1899-12-30T10:50:00Z"/>
        <d v="1899-12-30T12:41:00Z"/>
        <d v="1899-12-30T16:32:00Z"/>
        <d v="1899-12-30T17:22:00Z"/>
        <d v="1899-12-30T17:29:00Z"/>
        <d v="1899-12-30T09:31:00Z"/>
        <d v="1899-12-30T10:48:00Z"/>
        <d v="1899-12-30T14:13:00Z"/>
        <d v="1899-12-30T15:08:00Z"/>
        <d v="1899-12-30T13:00:00Z"/>
        <d v="1899-12-30T15:31:00Z"/>
        <d v="1899-12-30T16:51:00Z"/>
        <d v="1899-12-30T09:45:00Z"/>
        <d v="1899-12-30T11:07:00Z"/>
        <d v="1899-12-30T13:47:00Z"/>
        <d v="1899-12-30T18:52:00Z"/>
        <d v="1899-12-30T21:40:00Z"/>
        <d v="1899-12-30T16:33:00Z"/>
        <d v="1899-12-30T18:24:00Z"/>
        <d v="1899-12-30T11:15:00Z"/>
        <d v="1899-12-30T12:43:00Z"/>
        <d v="1899-12-30T13:07:00Z"/>
        <d v="1899-12-30T13:23:00Z"/>
        <d v="1899-12-30T14:06:00Z"/>
        <d v="1899-12-30T14:42:00Z"/>
        <d v="1899-12-30T09:01:00Z"/>
        <d v="1899-12-30T10:09:00Z"/>
        <d v="1899-12-30T10:32:00Z"/>
        <d v="1899-12-30T16:03:00Z"/>
        <d v="1899-12-30T16:39:00Z"/>
        <d v="1899-12-30T18:31:00Z"/>
        <d v="1899-12-30T20:55:00Z"/>
        <d v="1899-12-30T12:07:00Z"/>
        <d v="1899-12-30T13:41:00Z"/>
        <d v="1899-12-30T16:53:00Z"/>
        <d v="1899-12-30T19:21:00Z"/>
        <d v="1899-12-30T19:37:00Z"/>
        <d v="1899-12-30T17:01:00Z"/>
        <d v="1899-12-30T18:17:00Z"/>
        <d v="1899-12-30T20:40:00Z"/>
        <d v="1899-12-30T13:08:00Z"/>
        <d v="1899-12-30T14:10:00Z"/>
        <d v="1899-12-30T11:50:00Z"/>
        <d v="1899-12-30T13:52:00Z"/>
        <d v="1899-12-30T14:02:00Z"/>
        <d v="1899-12-30T19:11:00Z"/>
        <d v="1899-12-30T17:10:00Z"/>
        <d v="1899-12-30T18:10:00Z"/>
        <d v="1899-12-30T18:46:00Z"/>
        <d v="1899-12-30T20:51:00Z"/>
        <d v="1899-12-30T08:42:00Z"/>
        <d v="1899-12-30T10:52:00Z"/>
        <d v="1899-12-30T11:35:00Z"/>
        <d v="1899-12-30T13:36:00Z"/>
        <d v="1899-12-30T14:41:00Z"/>
        <d v="1899-12-30T00:01:00Z"/>
        <d v="1899-12-30T01:00:00Z"/>
        <d v="1899-12-30T14:40:00Z"/>
        <d v="1899-12-30T15:03:00Z"/>
        <d v="1899-12-30T17:02:00Z"/>
        <d v="1899-12-30T04:13:00Z"/>
        <d v="1899-12-30T09:34:00Z"/>
        <d v="1899-12-30T10:41:00Z"/>
        <d v="1899-12-30T12:02:00Z"/>
        <d v="1899-12-30T12:42:00Z"/>
        <d v="1899-12-30T13:55:00Z"/>
        <d v="1899-12-30T17:26:00Z"/>
        <d v="1899-12-30T17:44:00Z"/>
        <d v="1899-12-30T14:04:00Z"/>
        <d v="1899-12-30T15:22:00Z"/>
        <d v="1899-12-30T16:17:00Z"/>
        <d v="1899-12-30T16:43:00Z"/>
        <d v="1899-12-30T08:27:00Z"/>
        <d v="1899-12-30T14:45:00Z"/>
        <d v="1899-12-30T18:58:00Z"/>
        <d v="1899-12-30T20:08:00Z"/>
        <d v="1899-12-30T09:14:00Z"/>
        <d v="1899-12-30T09:51:00Z"/>
        <d v="1899-12-30T11:26:00Z"/>
        <d v="1899-12-30T12:27:00Z"/>
        <d v="1899-12-30T16:45:00Z"/>
        <d v="1899-12-30T17:20:00Z"/>
        <d v="1899-12-30T20:30:00Z"/>
        <d v="1899-12-30T08:32:00Z"/>
        <d v="1899-12-30T10:56:00Z"/>
        <d v="1899-12-30T11:53:00Z"/>
        <d v="1899-12-30T13:17:00Z"/>
        <d v="1899-12-30T17:54:00Z"/>
        <d v="1899-12-30T18:03:00Z"/>
        <d v="1899-12-30T19:49:00Z"/>
        <d v="1899-12-30T09:46:00Z"/>
        <d v="1899-12-30T11:43:00Z"/>
        <d v="1899-12-30T12:01:00Z"/>
        <d v="1899-12-30T12:35:00Z"/>
        <d v="1899-12-30T13:12:00Z"/>
        <d v="1899-12-30T14:30:00Z"/>
        <d v="1899-12-30T15:41:00Z"/>
        <d v="1899-12-30T23:52:00Z"/>
        <d v="1899-12-30T22:09:00Z"/>
        <d v="1899-12-30T14:35:00Z"/>
        <d v="1899-12-30T15:25:00Z"/>
        <d v="1899-12-30T16:35:00Z"/>
        <d v="1899-12-30T17:36:00Z"/>
        <d v="1899-12-30T18:39:00Z"/>
        <d v="1899-12-30T09:29:00Z"/>
        <d v="1899-12-30T11:59:00Z"/>
        <d v="1899-12-30T13:24:00Z"/>
        <d v="1899-12-30T14:46:00Z"/>
        <d v="1899-12-30T15:18:00Z"/>
        <d v="1899-12-30T17:12:00Z"/>
        <d v="1899-12-30T05:38:00Z"/>
        <d v="1899-12-30T09:42:00Z"/>
        <d v="1899-12-30T11:14:00Z"/>
        <d v="1899-12-30T11:40:00Z"/>
        <d v="1899-12-30T12:48:00Z"/>
        <d v="1899-12-30T19:10:00Z"/>
        <d v="1899-12-30T09:52:00Z"/>
        <d v="1899-12-30T11:10:00Z"/>
        <d v="1899-12-30T14:58:00Z"/>
        <d v="1899-12-30T15:48:00Z"/>
        <d v="1899-12-30T16:42:00Z"/>
        <d v="1899-12-30T08:06:00Z"/>
        <d v="1899-12-30T10:03:00Z"/>
        <d v="1899-12-30T12:06:00Z"/>
        <d v="1899-12-30T13:25:00Z"/>
        <d v="1899-12-30T14:09:00Z"/>
        <d v="1899-12-30T16:08:00Z"/>
        <d v="1899-12-30T16:22:00Z"/>
        <d v="1899-12-30T19:08:00Z"/>
        <d v="1899-12-30T19:25:00Z"/>
        <d v="1899-12-30T14:18:00Z"/>
        <d v="1899-12-30T15:01:00Z"/>
        <d v="1899-12-30T17:13:00Z"/>
        <d v="1899-12-30T17:34:00Z"/>
        <d v="1899-12-30T09:20:00Z"/>
        <d v="1899-12-30T09:47:00Z"/>
        <d v="1899-12-30T12:26:00Z"/>
        <d v="1899-12-30T15:45:00Z"/>
        <d v="1899-12-30T14:55:00Z"/>
        <d v="1899-12-30T16:00:00Z"/>
        <d v="1899-12-30T16:25:00Z"/>
        <d v="1899-12-30T03:53:00Z"/>
        <d v="1899-12-30T10:37:00Z"/>
        <d v="1899-12-30T16:28:00Z"/>
        <d v="1899-12-30T09:59:00Z"/>
        <d v="1899-12-30T10:36:00Z"/>
        <d v="1899-12-30T12:04:00Z"/>
        <d v="1899-12-30T13:51:00Z"/>
        <d v="1899-12-30T19:35:00Z"/>
        <d v="1899-12-30T09:22:00Z"/>
        <d v="1899-12-30T18:37:00Z"/>
        <d v="1899-12-30T09:37:00Z"/>
        <d v="1899-12-30T18:43:00Z"/>
        <d v="1899-12-30T20:28:00Z"/>
        <d v="1899-12-30T20:58:00Z"/>
        <d v="1899-12-30T21:23:00Z"/>
        <d v="1899-12-30T22:39:00Z"/>
        <d v="1899-12-30T08:49:00Z"/>
        <d v="1899-12-30T18:55:00Z"/>
        <d v="1899-12-30T08:57:00Z"/>
        <d v="1899-12-30T21:01:00Z"/>
        <d v="1899-12-30T11:45:00Z"/>
        <d v="1899-12-30T18:56:00Z"/>
        <d v="1899-12-30T00:44:00Z"/>
        <d v="1899-12-30T15:11:00Z"/>
        <d v="1899-12-30T15:58:00Z"/>
        <d v="1899-12-30T18:02:00Z"/>
        <d v="1899-12-30T19:09:00Z"/>
        <d v="1899-12-30T21:28:00Z"/>
        <d v="1899-12-30T22:04:00Z"/>
        <d v="1899-12-30T07:21:00Z"/>
        <d v="1899-12-30T08:43:00Z"/>
        <d v="1899-12-30T19:29:00Z"/>
        <d v="1899-12-30T21:15:00Z"/>
        <d v="1899-12-30T09:25:00Z"/>
        <d v="1899-12-30T13:13:00Z"/>
        <d v="1899-12-30T14:57:00Z"/>
        <d v="1899-12-30T16:38:00Z"/>
        <d v="1899-12-30T17:32:00Z"/>
        <d v="1899-12-30T17:47:00Z"/>
        <d v="1899-12-30T18:00:00Z"/>
        <d v="1899-12-30T20:39:00Z"/>
        <d v="1899-12-30T07:48:00Z"/>
        <d v="1899-12-30T11:56:00Z"/>
        <d v="1899-12-30T18:40:00Z"/>
        <d v="1899-12-30T19:06:00Z"/>
        <d v="1899-12-30T10:26:00Z"/>
        <d v="1899-12-30T16:13:00Z"/>
        <d v="1899-12-30T19:15:00Z"/>
        <d v="1899-12-30T06:43:00Z"/>
        <d v="1899-12-30T12:24:00Z"/>
        <d v="1899-12-30T14:59:00Z"/>
        <d v="1899-12-30T19:54:00Z"/>
        <d v="1899-12-30T22:22:00Z"/>
        <d v="1899-12-30T01:39:00Z"/>
        <d v="1899-12-30T16:30:00Z"/>
        <d v="1899-12-30T00:40:00Z"/>
        <d v="1899-12-30T01:23:00Z"/>
        <d v="1899-12-30T15:56:00Z"/>
        <d v="1899-12-30T21:41:00Z"/>
        <d v="1899-12-30T23:18:00Z"/>
        <d v="1899-12-30T20:23:00Z"/>
        <d v="1899-12-30T23:26:00Z"/>
        <d v="1899-12-30T16:11:00Z"/>
        <d v="1899-12-30T20:44:00Z"/>
        <d v="1899-12-30T23:21:00Z"/>
        <d v="1899-12-30T22:55:00Z"/>
        <d v="1899-12-30T13:22:00Z"/>
        <d v="1899-12-30T15:09:00Z"/>
        <d v="1899-12-30T14:01:00Z"/>
        <d v="1899-12-30T15:24:00Z"/>
        <d v="1899-12-30T16:49:00Z"/>
        <d v="1899-12-30T16:57:00Z"/>
        <d v="1899-12-30T09:04:00Z"/>
        <d v="1899-12-30T11:16:00Z"/>
        <d v="1899-12-30T14:47:00Z"/>
        <d v="1899-12-30T18:09:00Z"/>
        <d v="1899-12-30T22:36:00Z"/>
        <d v="1899-12-30T01:34:00Z"/>
        <d v="1899-12-30T04:16:00Z"/>
        <d v="1899-12-30T21:55:00Z"/>
        <d v="1899-12-30T00:39:00Z"/>
        <d v="1899-12-30T20:00:00Z"/>
        <d v="1899-12-30T14:03:00Z"/>
        <d v="1899-12-30T15:20:00Z"/>
        <d v="1899-12-30T16:47:00Z"/>
        <d v="1899-12-30T09:26:00Z"/>
        <d v="1899-12-30T09:53:00Z"/>
        <d v="1899-12-30T11:18:00Z"/>
        <d v="1899-12-30T08:09:00Z"/>
        <d v="1899-12-30T12:32:00Z"/>
        <d v="1899-12-30T15:26:00Z"/>
        <d v="1899-12-30T18:08:00Z"/>
        <d v="1899-12-30T20:19:00Z"/>
        <d v="1899-12-30T10:40:00Z"/>
        <d v="1899-12-30T12:28:00Z"/>
        <d v="1899-12-30T13:26:00Z"/>
        <d v="1899-12-30T17:16:00Z"/>
        <d v="1899-12-30T19:05:00Z"/>
        <d v="1899-12-30T19:16:00Z"/>
        <d v="1899-12-30T19:52:00Z"/>
        <d v="1899-12-30T21:50:00Z"/>
        <d v="1899-12-30T13:40:00Z"/>
        <d v="1899-12-30T14:25:00Z"/>
        <d v="1899-12-30T12:34:00Z"/>
        <d v="1899-12-30T13:49:00Z"/>
        <d v="1899-12-30T22:28:00Z"/>
        <d v="1899-12-30T13:34:00Z"/>
        <d v="1899-12-30T19:18:00Z"/>
        <d v="1899-12-30T23:19:00Z"/>
        <d v="1899-12-30T18:57:00Z"/>
        <d v="1899-12-30T22:34:00Z"/>
        <d v="1899-12-30T13:53:00Z"/>
        <d v="1899-12-30T14:31:00Z"/>
        <d v="1899-12-30T22:49:00Z"/>
        <d v="1899-12-30T14:21:00Z"/>
        <d v="1899-12-30T15:37:00Z"/>
        <d v="1899-12-30T21:14:00Z"/>
        <d v="1899-12-30T21:36:00Z"/>
        <d v="1899-12-30T22:27:00Z"/>
        <d v="1899-12-30T22:40:00Z"/>
        <d v="1899-12-30T00:08:00Z"/>
        <d v="1899-12-30T06:02:00Z"/>
        <d v="1899-12-30T16:59:00Z"/>
        <d v="1899-12-30T06:25:00Z"/>
        <d v="1899-12-30T18:26:00Z"/>
        <d v="1899-12-30T19:59:00Z"/>
        <d v="1899-12-30T17:31:00Z"/>
        <d v="1899-12-30T09:12:00Z"/>
        <d v="1899-12-30T23:05:00Z"/>
        <d v="1899-12-30T14:08:00Z"/>
        <d v="1899-12-30T09:41:00Z"/>
        <d v="1899-12-30T13:02:00Z"/>
        <d v="1899-12-30T16:12:00Z"/>
        <d v="1899-12-30T15:46:00Z"/>
        <d v="1899-12-30T20:27:00Z"/>
        <d v="1899-12-30T21:21:00Z"/>
        <d v="1899-12-30T20:53:00Z"/>
        <d v="1899-12-30T22:14:00Z"/>
        <d v="1899-12-30T00:21:00Z"/>
        <d v="1899-12-30T13:06:00Z"/>
        <d v="1899-12-30T15:04:00Z"/>
        <d v="1899-12-30T17:59:00Z"/>
        <d v="1899-12-30T10:47:00Z"/>
        <d v="1899-12-30T13:39:00Z"/>
        <d v="1899-12-30T11:49:00Z"/>
        <d v="1899-12-30T13:38:00Z"/>
        <d v="1899-12-30T18:29:00Z"/>
        <d v="1899-12-30T19:42:00Z"/>
        <d v="1899-12-30T23:06:00Z"/>
        <d v="1899-12-30T14:33:00Z"/>
        <d v="1899-12-30T18:14:00Z"/>
        <d v="1899-12-30T22:05:00Z"/>
        <d v="1899-12-30T20:20:00Z"/>
        <d v="1899-12-30T21:37:00Z"/>
        <d v="1899-12-30T22:00:00Z"/>
        <d v="1899-12-30T23:48:00Z"/>
        <d v="1899-12-30T00:04:00Z"/>
        <d v="1899-12-30T08:53:00Z"/>
        <d v="1899-12-30T13:01:00Z"/>
        <d v="1899-12-30T13:29:00Z"/>
        <d v="1899-12-30T14:37:00Z"/>
        <d v="1899-12-30T17:11:00Z"/>
        <d v="1899-12-30T17:18:00Z"/>
        <d v="1899-12-30T18:05:00Z"/>
        <d v="1899-12-30T20:25:00Z"/>
        <d v="1899-12-30T17:39:00Z"/>
        <d v="1899-12-30T17:56:00Z"/>
        <d v="1899-12-30T00:05:00Z"/>
        <d v="1899-12-30T19:56:00Z"/>
        <d v="1899-12-30T20:16:00Z"/>
        <d v="1899-12-30T22:19:00Z"/>
        <d v="1899-12-30T05:42:00Z"/>
        <d v="1899-12-30T18:47:00Z"/>
        <d v="1899-12-30T19:23:00Z"/>
        <d v="1899-12-30T20:05:00Z"/>
        <d v="1899-12-30T12:21:00Z"/>
        <d v="1899-12-30T17:24:00Z"/>
        <d v="1899-12-30T17:57:00Z"/>
        <d v="1899-12-30T02:06:00Z"/>
        <d v="1899-12-30T15:34:00Z"/>
        <d v="1899-12-30T17:49:00Z"/>
        <d v="1899-12-30T19:58:00Z"/>
        <d v="1899-12-30T21:56:00Z"/>
        <d v="1899-12-30T16:44:00Z"/>
        <d v="1899-12-30T00:51:00Z"/>
        <d v="1899-12-30T02:50:00Z"/>
        <d v="1899-12-30T06:00:00Z"/>
        <d v="1899-12-30T10:57:00Z"/>
        <d v="1899-12-30T12:37:00Z"/>
        <d v="1899-12-30T13:27:00Z"/>
        <d v="1899-12-30T14:20:00Z"/>
        <d v="1899-12-30T21:02:00Z"/>
        <d v="1899-12-30T10:08:00Z"/>
        <d v="1899-12-30T10:25:00Z"/>
        <d v="1899-12-30T11:34:00Z"/>
        <d v="1899-12-30T13:21:00Z"/>
        <d v="1899-12-30T18:18:00Z"/>
        <d v="1899-12-30T19:12:00Z"/>
        <d v="1899-12-30T19:50:00Z"/>
        <d v="1899-12-30T21:42:00Z"/>
        <d v="1899-12-30T08:48:00Z"/>
        <d v="1899-12-30T09:00:00Z"/>
        <d v="1899-12-30T09:33:00Z"/>
        <d v="1899-12-30T10:39:00Z"/>
        <d v="1899-12-30T10:58:00Z"/>
        <d v="1899-12-30T11:24:00Z"/>
        <d v="1899-12-30T11:42:00Z"/>
        <d v="1899-12-30T14:05:00Z"/>
        <d v="1899-12-30T21:19:00Z"/>
        <d v="1899-12-30T01:05:00Z"/>
        <d v="1899-12-30T20:33:00Z"/>
        <d v="1899-12-30T23:59:00Z"/>
        <d v="1899-12-30T09:24:00Z"/>
        <d v="1899-12-30T10:38:00Z"/>
        <d v="1899-12-30T11:51:00Z"/>
        <d v="1899-12-30T12:16:00Z"/>
        <d v="1899-12-30T20:29:00Z"/>
        <d v="1899-12-30T00:00:00Z"/>
        <d v="1899-12-30T20:26:00Z"/>
        <d v="1899-12-30T00:25:00Z"/>
        <d v="1899-12-30T09:57:00Z"/>
        <d v="1899-12-30T20:24:00Z"/>
        <d v="1899-12-30T00:09:00Z"/>
        <d v="1899-12-30T20:36:00Z"/>
        <d v="1899-12-30T00:12:00Z"/>
        <d v="1899-12-30T00:38:00Z"/>
        <d v="1899-12-30T03:08:00Z"/>
        <d v="1899-12-30T20:18:00Z"/>
        <d v="1899-12-30T00:47:00Z"/>
        <d v="1899-12-30T18:49:00Z"/>
        <d v="1899-12-30T20:17:00Z"/>
        <d v="1899-12-30T00:28:00Z"/>
        <d v="1899-12-30T16:52:00Z"/>
        <d v="1899-12-30T23:02:00Z"/>
        <d v="1899-12-30T00:53:00Z"/>
        <d v="1899-12-30T20:14:00Z"/>
        <d v="1899-12-30T08:50:00Z"/>
        <d v="1899-12-30T10:33:00Z"/>
        <d v="1899-12-30T13:35:00Z"/>
        <d v="1899-12-30T10:13:00Z"/>
        <d v="1899-12-30T11:12:00Z"/>
        <d v="1899-12-30T14:11:00Z"/>
        <d v="1899-12-30T17:30:00Z"/>
        <d v="1899-12-30T10:06:00Z"/>
        <d v="1899-12-30T14:17:00Z"/>
        <d v="1899-12-30T16:15:00Z"/>
        <d v="1899-12-30T18:21:00Z"/>
        <d v="1899-12-30T19:26:00Z"/>
        <d v="1899-12-30T00:11:00Z"/>
        <d v="1899-12-30T13:20:00Z"/>
        <d v="1899-12-30T13:54:00Z"/>
        <d v="1899-12-30T15:59:00Z"/>
        <d v="1899-12-30T16:34:00Z"/>
        <d v="1899-12-30T13:15:00Z"/>
        <d v="1899-12-30T15:33:00Z"/>
        <d v="1899-12-30T15:52:00Z"/>
        <d v="1899-12-30T20:35:00Z"/>
        <d v="1899-12-30T22:18:00Z"/>
        <d v="1899-12-30T23:03:00Z"/>
        <d v="1899-12-30T10:49:00Z"/>
        <d v="1899-12-30T11:36:00Z"/>
        <d v="1899-12-30T17:33:00Z"/>
        <d v="1899-12-30T19:14:00Z"/>
        <d v="1899-12-30T20:32:00Z"/>
        <d v="1899-12-30T10:51:00Z"/>
        <d v="1899-12-30T12:00:00Z"/>
        <d v="1899-12-30T18:20:00Z"/>
        <d v="1899-12-30T17:23:00Z"/>
        <d v="1899-12-30T17:51:00Z"/>
        <d v="1899-12-30T18:42:00Z"/>
        <d v="1899-12-30T19:39:00Z"/>
        <d v="1899-12-30T10:53:00Z"/>
        <d v="1899-12-30T11:25:00Z"/>
        <d v="1899-12-30T12:31:00Z"/>
        <d v="1899-12-30T13:42:00Z"/>
        <d v="1899-12-30T18:51:00Z"/>
        <d v="1899-12-30T14:44:00Z"/>
        <d v="1899-12-30T15:12:00Z"/>
        <d v="1899-12-30T15:27:00Z"/>
        <d v="1899-12-30T16:10:00Z"/>
        <d v="1899-12-30T23:43:00Z"/>
        <d v="1899-12-30T11:33:00Z"/>
        <d v="1899-12-30T11:44:00Z"/>
        <d v="1899-12-30T21:00:00Z"/>
        <d v="1899-12-30T19:20:00Z"/>
        <d v="1899-12-30T21:57:00Z"/>
        <d v="1899-12-30T22:26:00Z"/>
        <d v="1899-12-30T15:47:00Z"/>
        <d v="1899-12-30T17:27:00Z"/>
        <d v="1899-12-30T17:37:00Z"/>
        <d v="1899-12-30T13:04:00Z"/>
        <d v="1899-12-30T13:19:00Z"/>
        <d v="1899-12-30T14:14:00Z"/>
        <d v="1899-12-30T17:55:00Z"/>
        <d v="1899-12-30T12:15:00Z"/>
        <d v="1899-12-30T21:29:00Z"/>
        <d v="1899-12-30T16:04:00Z"/>
        <d v="1899-12-30T19:27:00Z"/>
        <d v="1899-12-30T06:58:00Z"/>
        <d v="1899-12-30T17:43:00Z"/>
        <d v="1899-12-30T18:23:00Z"/>
        <d v="1899-12-30T16:31:00Z"/>
        <d v="1899-12-30T16:50:00Z"/>
        <d v="1899-12-30T22:15:00Z"/>
        <d v="1899-12-30T23:37:00Z"/>
        <d v="1899-12-30T14:38:00Z"/>
        <d v="1899-12-30T15:36:00Z"/>
        <d v="1899-12-30T16:37:00Z"/>
        <d v="1899-12-30T18:28:00Z"/>
        <d v="1899-12-30T18:50:00Z"/>
        <d v="1899-12-30T20:02:00Z"/>
        <d v="1899-12-30T13:28:00Z"/>
        <d v="1899-12-30T21:44:00Z"/>
        <d v="1899-12-30T08:11:00Z"/>
        <d v="1899-12-30T08:23:00Z"/>
        <d v="1899-12-30T10:27:00Z"/>
        <d v="1899-12-30T11:20:00Z"/>
        <d v="1899-12-30T14:50:00Z"/>
        <d v="1899-12-30T19:07:00Z"/>
        <d v="1899-12-30T08:45:00Z"/>
        <d v="1899-12-30T09:07:00Z"/>
        <d v="1899-12-30T11:06:00Z"/>
        <d v="1899-12-30T17:52:00Z"/>
        <d v="1899-12-30T10:29:00Z"/>
        <d v="1899-12-30T14:34:00Z"/>
        <d v="1899-12-30T19:24:00Z"/>
        <d v="1899-12-30T10:44:00Z"/>
        <d v="1899-12-30T11:23:00Z"/>
        <d v="1899-12-30T13:11:00Z"/>
        <d v="1899-12-30T20:50:00Z"/>
        <d v="1899-12-30T21:31:00Z"/>
        <d v="1899-12-30T23:00:00Z"/>
        <d v="1899-12-30T13:30:00Z"/>
        <d v="1899-12-30T12:56:00Z"/>
        <d v="1899-12-30T16:56:00Z"/>
        <d v="1899-12-30T19:57:00Z"/>
        <d v="1899-12-30T23:16:00Z"/>
        <d v="1899-12-30T12:20:00Z"/>
        <d v="1899-12-30T15:35:00Z"/>
        <d v="1899-12-30T10:11:00Z"/>
        <d v="1899-12-30T12:17:00Z"/>
        <d v="1899-12-30T15:44:00Z"/>
        <d v="1899-12-30T19:13:00Z"/>
        <d v="1899-12-30T10:18:00Z"/>
        <d v="1899-12-30T16:55:00Z"/>
        <d v="1899-12-30T21:59:00Z"/>
        <d v="1899-12-30T13:48:00Z"/>
        <d v="1899-12-30T16:21:00Z"/>
        <d v="1899-12-30T17:41:00Z"/>
        <d v="1899-12-30T18:36:00Z"/>
        <d v="1899-12-30T12:05:00Z"/>
        <d v="1899-12-30T10:45:00Z"/>
        <d v="1899-12-30T09:55:00Z"/>
        <d v="1899-12-30T08:12:00Z"/>
        <d v="1899-12-30T18:11:00Z"/>
        <d v="1899-12-30T06:49:00Z"/>
        <d v="1899-12-30T11:48:00Z"/>
        <d v="1899-12-30T22:47:00Z"/>
        <d v="1899-12-30T15:15:00Z"/>
        <d v="1899-12-30T08:35:00Z"/>
        <d v="1899-12-30T20:34:00Z"/>
        <d v="1899-12-30T02:37:00Z"/>
        <d v="1899-12-30T19:36:00Z"/>
        <d v="1899-12-30T18:34:00Z"/>
        <d v="1899-12-30T19:01:00Z"/>
        <d v="1899-12-30T22:33:00Z"/>
        <d v="1899-12-30T12:18:00Z"/>
        <d v="1899-12-30T17:40:00Z"/>
        <d v="1899-12-30T10:59:00Z"/>
        <d v="1899-12-30T16:02:00Z"/>
        <d v="1899-12-30T18:27:00Z"/>
        <d v="1899-12-30T14:23:00Z"/>
        <d v="1899-12-30T17:28:00Z"/>
        <d v="1899-12-30T18:13:00Z"/>
        <d v="1899-12-30T02:08:00Z"/>
        <d v="1899-12-30T11:58:00Z"/>
        <d v="1899-12-30T12:14:00Z"/>
        <d v="1899-12-30T09:44:00Z"/>
        <d v="1899-12-30T16:20:00Z"/>
        <d v="1899-12-30T22:48:00Z"/>
        <d v="1899-12-30T00:14:00Z"/>
        <d v="1899-12-30T15:19:00Z"/>
        <d v="1899-12-30T19:33:00Z"/>
        <d v="1899-12-30T15:57:00Z"/>
        <d v="1899-12-30T18:16:00Z"/>
        <d v="1899-12-30T18:45:00Z"/>
        <d v="1899-12-30T08:22:00Z"/>
        <d v="1899-12-30T09:02:00Z"/>
        <d v="1899-12-30T18:33:00Z"/>
        <d v="1899-12-30T20:37:00Z"/>
        <d v="1899-12-30T10:21:00Z"/>
        <d v="1899-12-30T13:56:00Z"/>
        <d v="1899-12-30T16:19:00Z"/>
        <d v="1899-12-30T01:09:00Z"/>
        <d v="1899-12-30T10:05:00Z"/>
        <d v="1899-12-30T12:59:00Z"/>
        <d v="1899-12-30T21:25:00Z"/>
        <d v="1899-12-30T16:41:00Z"/>
        <d v="1899-12-30T20:11:00Z"/>
        <d v="1899-12-30T21:03:00Z"/>
        <d v="1899-12-30T22:45:00Z"/>
        <d v="1899-12-30T19:31:00Z"/>
        <d v="1899-12-30T20:21:00Z"/>
        <d v="1899-12-30T20:54:00Z"/>
        <d v="1899-12-30T21:48:00Z"/>
        <d v="1899-12-30T11:52:00Z"/>
        <d v="1899-12-30T20:07:00Z"/>
        <d v="1899-12-30T19:19:00Z"/>
        <d v="1899-12-30T08:30:00Z"/>
        <d v="1899-12-30T11:21:00Z"/>
        <d v="1899-12-30T13:18:00Z"/>
        <d v="1899-12-30T22:10:00Z"/>
        <d v="1899-12-30T17:42:00Z"/>
        <d v="1899-12-30T20:12:00Z"/>
        <d v="1899-12-30T14:26:00Z"/>
        <d v="1899-12-30T22:58:00Z"/>
        <d v="1899-12-30T21:20:00Z"/>
        <d v="1899-12-30T22:25:00Z"/>
        <d v="1899-12-30T19:28:00Z"/>
        <d v="1899-12-30T11:04:00Z"/>
        <d v="1899-12-30T12:57:00Z"/>
        <d v="1899-12-30T18:35:00Z"/>
        <d v="1899-12-30T19:17:00Z"/>
        <d v="1899-12-30T22:02:00Z"/>
        <d v="1899-12-30T10:15:00Z"/>
        <d v="1899-12-30T10:31:00Z"/>
        <d v="1899-12-30T15:07:00Z"/>
        <d v="1899-12-30T15:53:00Z"/>
        <d v="1899-12-30T10:23:00Z"/>
        <d v="1899-12-30T14:32:00Z"/>
        <d v="1899-12-30T21:18:00Z"/>
        <d v="1899-12-30T13:50:00Z"/>
        <d v="1899-12-30T14:53:00Z"/>
        <d v="1899-12-30T15:21:00Z"/>
        <d v="1899-12-30T12:51:00Z"/>
        <d v="1899-12-30T12:13:00Z"/>
        <d v="1899-12-30T21:34:00Z"/>
        <d v="1899-12-30T22:21:00Z"/>
        <d v="1899-12-30T21:35:00Z"/>
        <d v="1899-12-30T11:32:00Z"/>
        <d v="1899-12-30T18:04:00Z"/>
        <d v="1899-12-30T15:50:00Z"/>
        <d v="1899-12-30T16:29:00Z"/>
        <d v="1899-12-30T13:31:00Z"/>
        <d v="1899-12-30T19:04:00Z"/>
        <d v="1899-12-30T12:53:00Z"/>
        <d v="1899-12-30T07:59:00Z"/>
        <d v="1899-12-30T18:12:00Z"/>
        <d v="1899-12-30T20:46:00Z"/>
        <d v="1899-12-30T12:23:00Z"/>
        <d v="1899-12-30T20:48:00Z"/>
        <d v="1899-12-30T23:07:00Z"/>
        <d v="1899-12-30T20:41:00Z"/>
        <d v="1899-12-30T19:03:00Z"/>
        <d v="1899-12-30T12:46:00Z"/>
        <d v="1899-12-30T20:13:00Z"/>
        <d v="1899-12-30T15:02:00Z"/>
        <d v="1899-12-30T13:43:00Z"/>
        <d v="1899-12-30T22:57:00Z"/>
        <d v="1899-12-30T13:16:00Z"/>
        <d v="1899-12-30T16:16:00Z"/>
        <d v="1899-12-30T13:32:00Z"/>
        <d v="1899-12-30T14:39:00Z"/>
        <d v="1899-12-30T18:01:00Z"/>
        <d v="1899-12-30T20:57:00Z"/>
        <d v="1899-12-30T14:54:00Z"/>
        <d v="1899-12-30T17:25:00Z"/>
        <d v="1899-12-30T21:04:00Z"/>
        <d v="1899-12-30T09:36:00Z"/>
        <d v="1899-12-30T10:34:00Z"/>
        <d v="1899-12-30T14:15:00Z"/>
        <d v="1899-12-30T15:38:00Z"/>
        <d v="1899-12-30T17:09:00Z"/>
        <d v="1899-12-30T17:07:00Z"/>
        <d v="1899-12-30T08:10:00Z"/>
        <d v="1899-12-30T10:30:00Z"/>
        <d v="1899-12-30T16:05:00Z"/>
        <d v="1899-12-30T23:42:00Z"/>
        <d v="1899-12-30T17:53:00Z"/>
        <d v="1899-12-30T21:53:00Z"/>
        <d v="1899-12-30T23:32:00Z"/>
        <d v="1899-12-30T08:04:00Z"/>
        <d v="1899-12-30T08:41:00Z"/>
        <d v="1899-12-30T09:19:00Z"/>
        <d v="1899-12-30T07:14:00Z"/>
        <d v="1899-12-30T08:59:00Z"/>
        <d v="1899-12-30T16:58:00Z"/>
        <d v="1899-12-30T09:06:00Z"/>
        <d v="1899-12-30T12:12:00Z"/>
        <d v="1899-12-30T15:39:00Z"/>
        <d v="1899-12-30T01:06:00Z"/>
        <d v="1899-12-30T10:07:00Z"/>
        <d v="1899-12-30T12:33:00Z"/>
        <d v="1899-12-30T15:16:00Z"/>
        <d v="1899-12-30T20:10:00Z"/>
        <d v="1899-12-30T20:45:00Z"/>
        <d v="1899-12-30T23:47:00Z"/>
        <d v="1899-12-30T17:08:00Z"/>
        <d v="1899-12-30T23:10:00Z"/>
        <d v="1899-12-30T01:14:00Z"/>
        <d v="1899-12-30T23:51:00Z"/>
      </sharedItems>
    </cacheField>
    <cacheField name="DURATION" numFmtId="46">
      <sharedItems containsSemiMixedTypes="0" containsDate="1" containsString="0">
        <d v="1899-12-30T00:06:00Z"/>
        <d v="1899-12-30T00:12:00Z"/>
        <d v="1899-12-30T00:13:00Z"/>
        <d v="1899-12-30T00:14:00Z"/>
        <d v="1899-12-30T01:07:00Z"/>
        <d v="1899-12-30T00:04:00Z"/>
        <d v="1899-12-30T00:05:00Z"/>
        <d v="1899-12-30T00:20:00Z"/>
        <d v="1899-12-30T00:27:00Z"/>
        <d v="1899-12-30T00:43:00Z"/>
        <d v="1899-12-30T00:35:00Z"/>
        <d v="1899-12-30T00:26:00Z"/>
        <d v="1899-12-30T00:07:00Z"/>
        <d v="1899-12-30T00:16:00Z"/>
        <d v="1899-12-30T00:15:00Z"/>
        <d v="1899-12-30T00:58:00Z"/>
        <d v="1899-12-30T00:28:00Z"/>
        <d v="1899-12-30T00:36:00Z"/>
        <d v="1899-12-30T00:18:00Z"/>
        <d v="1899-12-30T00:11:00Z"/>
        <d v="1899-12-30T00:31:00Z"/>
        <d v="1899-12-30T00:54:00Z"/>
        <d v="1899-12-30T00:08:00Z"/>
        <d v="1899-12-30T00:09:00Z"/>
        <d v="1899-12-30T00:02:00Z"/>
        <d v="1899-12-30T00:29:00Z"/>
        <d v="1899-12-30T00:10:00Z"/>
        <d v="1899-12-30T00:22:00Z"/>
        <d v="1899-12-30T00:32:00Z"/>
        <d v="1899-12-30T00:30:00Z"/>
        <d v="1899-12-30T00:23:00Z"/>
        <d v="1899-12-30T00:21:00Z"/>
        <d v="1899-12-30T00:19:00Z"/>
        <d v="1899-12-30T00:40:00Z"/>
        <d v="1899-12-30T00:33:00Z"/>
        <d v="1899-12-30T00:24:00Z"/>
        <d v="1899-12-30T00:42:00Z"/>
        <d v="1899-12-30T00:34:00Z"/>
        <d v="1899-12-30T00:17:00Z"/>
        <d v="1899-12-30T00:52:00Z"/>
        <d v="1899-12-30T01:05:00Z"/>
        <d v="1899-12-30T00:03:00Z"/>
        <d v="1899-12-30T00:46:00Z"/>
        <d v="1899-12-30T00:44:00Z"/>
        <d v="1899-12-30T00:41:00Z"/>
        <d v="1899-12-30T01:04:00Z"/>
        <d v="1899-12-30T00:55:00Z"/>
        <d v="1899-12-30T00:39:00Z"/>
        <d v="1899-12-30T00:57:00Z"/>
        <d v="1899-12-30T00:37:00Z"/>
        <d v="1899-12-30T00:25:00Z"/>
        <d v="1899-12-30T02:19:00Z"/>
        <d v="1899-12-30T00:56:00Z"/>
        <d v="1899-12-30T01:06:00Z"/>
        <d v="1899-12-30T02:58:00Z"/>
        <d v="1899-12-30T05:30:00Z"/>
        <d v="1899-12-30T02:45:00Z"/>
        <d v="1899-12-30T00:53:00Z"/>
        <d v="1899-12-30T00:50:00Z"/>
        <d v="1899-12-30T00:48:00Z"/>
        <d v="1899-12-30T02:26:00Z"/>
        <d v="1899-12-30T01:12:00Z"/>
        <d v="1899-12-30T02:23:00Z"/>
        <d v="1899-12-30T02:16:00Z"/>
        <d v="1899-12-30T00:47:00Z"/>
        <d v="1899-12-30T01:09:00Z"/>
        <d v="1899-12-30T00:51:00Z"/>
        <d v="1899-12-30T01:28:00Z"/>
        <d v="1899-12-30T01:11:00Z"/>
        <d v="1899-12-30T03:26:00Z"/>
        <d v="1899-12-30T03:05:00Z"/>
        <d v="1899-12-30T00:01:00Z"/>
        <d v="1899-12-30T00:45:00Z"/>
        <d v="1899-12-30T00:38:00Z"/>
        <d v="1899-12-30T01:22:00Z"/>
        <d v="1899-12-30T01:17:00Z"/>
        <d v="1899-12-30T02:01:00Z"/>
        <d v="1899-12-30T00:49:00Z"/>
        <d v="1899-12-30T02:24:00Z"/>
        <d v="1899-12-30T01:43:00Z"/>
        <d v="1899-12-30T02:00:00Z"/>
        <d v="1899-12-30T01:20:00Z"/>
        <d v="1899-12-30T05:36:00Z"/>
        <d v="1899-12-30T02:15:00Z"/>
        <d v="1899-12-30T02:34:00Z"/>
        <d v="1899-12-30T02:41:00Z"/>
        <d v="1899-12-30T01:35:00Z"/>
        <d v="1899-12-30T01:02:00Z"/>
        <d v="1899-12-30T02:47:00Z"/>
        <d v="1899-12-30T02:12:00Z"/>
        <d v="1899-12-30T02:06:00Z"/>
        <d v="1899-12-30T01:54:00Z"/>
        <d v="1899-12-30T01:47:00Z"/>
        <d v="1899-12-30T01:13:00Z"/>
        <d v="1899-12-30T03:01:00Z"/>
        <d v="1899-12-30T01:01:00Z"/>
        <d v="1899-12-30T02:46:00Z"/>
        <d v="1899-12-30T01:10:00Z"/>
      </sharedItems>
    </cacheField>
    <cacheField name="START_TIME_DAYPART" numFmtId="0">
      <sharedItems>
        <s v="Evening"/>
        <s v="Night"/>
        <s v="Day"/>
        <s v="Morning"/>
      </sharedItems>
    </cacheField>
    <cacheField name="CATEGORY" numFmtId="0">
      <sharedItems>
        <s v="Business"/>
        <s v="Personal"/>
      </sharedItems>
    </cacheField>
    <cacheField name="PURPOSE" numFmtId="0">
      <sharedItems>
        <s v="Meal/Entertain"/>
        <s v="NOT DEFINED"/>
        <s v="Errand/Supplies"/>
        <s v="Meeting"/>
        <s v="Customer Visit"/>
        <s v="Temporary Site"/>
        <s v="Between Offices"/>
        <s v="Charity ($)"/>
        <s v="Commute"/>
        <s v="Moving"/>
        <s v="Airport/Travel"/>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Result Pivot Table" cacheId="0" dataCaption="" rowGrandTotals="0" compact="0" compactData="0">
  <location ref="A19:D31" firstHeaderRow="0" firstDataRow="2" firstDataCol="0"/>
  <pivotFields>
    <pivotField name="TRAVEL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t="default"/>
      </items>
    </pivotField>
    <pivotField name="START_DATE" axis="axisRow" compact="0" numFmtId="164"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t="default"/>
      </items>
    </pivotField>
    <pivotField name="END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t="default"/>
      </items>
    </pivotField>
    <pivotField name="CATEGORY_ID" compact="0" numFmtId="3" outline="0" multipleItemSelectionAllowed="1" showAll="0">
      <items>
        <item x="0"/>
        <item x="1"/>
        <item t="default"/>
      </items>
    </pivotField>
    <pivotField name="START_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t="default"/>
      </items>
    </pivotField>
    <pivotField name="STOP_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t="default"/>
      </items>
    </pivotField>
    <pivotField name="MILES"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t="default"/>
      </items>
    </pivotField>
    <pivotField name="PURPOSE_ID" compact="0" numFmtId="3" outline="0" multipleItemSelectionAllowed="1" showAll="0">
      <items>
        <item x="0"/>
        <item x="1"/>
        <item x="2"/>
        <item x="3"/>
        <item x="4"/>
        <item x="5"/>
        <item x="6"/>
        <item x="7"/>
        <item x="8"/>
        <item x="9"/>
        <item x="10"/>
        <item t="default"/>
      </items>
    </pivotField>
    <pivotField name="START_TIM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t="default"/>
      </items>
    </pivotField>
    <pivotField name="END_TIM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t="default"/>
      </items>
    </pivotField>
    <pivotField name="DURATION" dataField="1" compact="0" numFmtId="4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 name="START_TIME_DAYPART" compact="0" outline="0" multipleItemSelectionAllowed="1" showAll="0">
      <items>
        <item x="0"/>
        <item x="1"/>
        <item x="2"/>
        <item x="3"/>
        <item t="default"/>
      </items>
    </pivotField>
    <pivotField name="CATEGORY" compact="0" outline="0" multipleItemSelectionAllowed="1" showAll="0">
      <items>
        <item x="0"/>
        <item x="1"/>
        <item t="default"/>
      </items>
    </pivotField>
    <pivotField name="PURPOSE" compact="0" outline="0" multipleItemSelectionAllowed="1" showAll="0">
      <items>
        <item x="0"/>
        <item x="1"/>
        <item x="2"/>
        <item x="3"/>
        <item x="4"/>
        <item x="5"/>
        <item x="6"/>
        <item x="7"/>
        <item x="8"/>
        <item x="9"/>
        <item x="10"/>
        <item t="default"/>
      </items>
    </pivotField>
  </pivotFields>
  <rowFields>
    <field x="1"/>
  </rowFields>
  <colFields>
    <field x="-2"/>
  </colFields>
  <dataFields>
    <dataField name="Кількість поїздок" fld="0" subtotal="count" baseField="0"/>
    <dataField name="Середня тривалість поїздок" fld="10" subtotal="average" baseField="0"/>
    <dataField name="Середня довжина поїздок" fld="6" subtotal="average" baseField="0"/>
  </dataFields>
</pivotTableDefinition>
</file>

<file path=xl/pivotTables/pivotTable2.xml><?xml version="1.0" encoding="utf-8"?>
<pivotTableDefinition xmlns="http://schemas.openxmlformats.org/spreadsheetml/2006/main" name="Result Pivot Table 2" cacheId="1" dataCaption="" rowGrandTotals="0" compact="0" compactData="0">
  <location ref="A35:D42" firstHeaderRow="0" firstDataRow="2" firstDataCol="0"/>
  <pivotFields>
    <pivotField name="TRAVEL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t="default"/>
      </items>
    </pivotField>
    <pivotField name="START_DATE" axis="axisRow" compact="0" numFmtId="164"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t="default"/>
      </items>
    </pivotField>
    <pivotField name="END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t="default"/>
      </items>
    </pivotField>
    <pivotField name="CATEGORY_ID" compact="0" numFmtId="3" outline="0" multipleItemSelectionAllowed="1" showAll="0">
      <items>
        <item x="0"/>
        <item x="1"/>
        <item t="default"/>
      </items>
    </pivotField>
    <pivotField name="START_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t="default"/>
      </items>
    </pivotField>
    <pivotField name="STOP_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t="default"/>
      </items>
    </pivotField>
    <pivotField name="MILES"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t="default"/>
      </items>
    </pivotField>
    <pivotField name="PURPOSE_ID" compact="0" numFmtId="3" outline="0" multipleItemSelectionAllowed="1" showAll="0">
      <items>
        <item x="0"/>
        <item x="1"/>
        <item x="2"/>
        <item x="3"/>
        <item x="4"/>
        <item x="5"/>
        <item x="6"/>
        <item x="7"/>
        <item x="8"/>
        <item x="9"/>
        <item x="10"/>
        <item t="default"/>
      </items>
    </pivotField>
    <pivotField name="START_TIM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t="default"/>
      </items>
    </pivotField>
    <pivotField name="END_TIM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t="default"/>
      </items>
    </pivotField>
    <pivotField name="DURATION" dataField="1" compact="0" numFmtId="4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 name="START_TIME_DAYPART" compact="0" outline="0" multipleItemSelectionAllowed="1" showAll="0">
      <items>
        <item x="0"/>
        <item x="1"/>
        <item x="2"/>
        <item x="3"/>
        <item t="default"/>
      </items>
    </pivotField>
    <pivotField name="CATEGORY" compact="0" outline="0" multipleItemSelectionAllowed="1" showAll="0">
      <items>
        <item x="0"/>
        <item x="1"/>
        <item t="default"/>
      </items>
    </pivotField>
    <pivotField name="PURPOSE" compact="0" outline="0" multipleItemSelectionAllowed="1" showAll="0">
      <items>
        <item x="0"/>
        <item x="1"/>
        <item x="2"/>
        <item x="3"/>
        <item x="4"/>
        <item x="5"/>
        <item x="6"/>
        <item x="7"/>
        <item x="8"/>
        <item x="9"/>
        <item x="10"/>
        <item t="default"/>
      </items>
    </pivotField>
  </pivotFields>
  <rowFields>
    <field x="1"/>
  </rowFields>
  <colFields>
    <field x="-2"/>
  </colFields>
  <dataFields>
    <dataField name="Кількість поїздок" fld="0" subtotal="count" baseField="0"/>
    <dataField name="Середня тривалість поїздок" fld="10" subtotal="average" baseField="0"/>
    <dataField name="Середня довжина поїздок" fld="6" subtotal="average" baseField="0"/>
  </dataFields>
</pivotTableDefinition>
</file>

<file path=xl/pivotTables/pivotTable3.xml><?xml version="1.0" encoding="utf-8"?>
<pivotTableDefinition xmlns="http://schemas.openxmlformats.org/spreadsheetml/2006/main" name="Result Pivot Table 3" cacheId="2" dataCaption="" rowGrandTotals="0" colGrandTotals="0" compact="0" compactData="0">
  <location ref="A50:G64" firstHeaderRow="0" firstDataRow="2" firstDataCol="1"/>
  <pivotFields>
    <pivotField name="TRAVEL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t="default"/>
      </items>
    </pivotField>
    <pivotField name="START_DATE" axis="axisRow" compact="0" numFmtId="164"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t="default"/>
      </items>
    </pivotField>
    <pivotField name="END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t="default"/>
      </items>
    </pivotField>
    <pivotField name="CATEGORY_ID" compact="0" numFmtId="3" outline="0" multipleItemSelectionAllowed="1" showAll="0">
      <items>
        <item x="0"/>
        <item x="1"/>
        <item t="default"/>
      </items>
    </pivotField>
    <pivotField name="START_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t="default"/>
      </items>
    </pivotField>
    <pivotField name="STOP_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t="default"/>
      </items>
    </pivotField>
    <pivotField name="MILES"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t="default"/>
      </items>
    </pivotField>
    <pivotField name="PURPOSE_ID" compact="0" numFmtId="3" outline="0" multipleItemSelectionAllowed="1" showAll="0">
      <items>
        <item x="0"/>
        <item x="1"/>
        <item x="2"/>
        <item x="3"/>
        <item x="4"/>
        <item x="5"/>
        <item x="6"/>
        <item x="7"/>
        <item x="8"/>
        <item x="9"/>
        <item x="10"/>
        <item t="default"/>
      </items>
    </pivotField>
    <pivotField name="START_TIM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t="default"/>
      </items>
    </pivotField>
    <pivotField name="END_TIM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t="default"/>
      </items>
    </pivotField>
    <pivotField name="DURATION" dataField="1" compact="0" numFmtId="4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 name="START_TIME_DAYPART" compact="0" outline="0" multipleItemSelectionAllowed="1" showAll="0">
      <items>
        <item x="0"/>
        <item x="1"/>
        <item x="2"/>
        <item x="3"/>
        <item t="default"/>
      </items>
    </pivotField>
    <pivotField name="CATEGORY" axis="axisCol" compact="0" outline="0" multipleItemSelectionAllowed="1" showAll="0" sortType="ascending">
      <items>
        <item x="0"/>
        <item x="1"/>
        <item t="default"/>
      </items>
    </pivotField>
    <pivotField name="PURPOSE" compact="0" outline="0" multipleItemSelectionAllowed="1" showAll="0">
      <items>
        <item x="0"/>
        <item x="1"/>
        <item x="2"/>
        <item x="3"/>
        <item x="4"/>
        <item x="5"/>
        <item x="6"/>
        <item x="7"/>
        <item x="8"/>
        <item x="9"/>
        <item x="10"/>
        <item t="default"/>
      </items>
    </pivotField>
  </pivotFields>
  <rowFields>
    <field x="1"/>
  </rowFields>
  <colFields>
    <field x="12"/>
    <field x="-2"/>
  </colFields>
  <dataFields>
    <dataField name="Кількість поїздок" fld="0" subtotal="count" baseField="0"/>
    <dataField name="Середня тривалість поїздок" fld="10" subtotal="average" baseField="0"/>
    <dataField name="Середня довжина поїздок" fld="6" subtotal="average" baseField="0"/>
  </dataFields>
</pivotTableDefinition>
</file>

<file path=xl/pivotTables/pivotTable4.xml><?xml version="1.0" encoding="utf-8"?>
<pivotTableDefinition xmlns="http://schemas.openxmlformats.org/spreadsheetml/2006/main" name="Result Pivot Table 4" cacheId="3" dataCaption="" rowGrandTotals="0" compact="0" compactData="0">
  <location ref="A71:D76" firstHeaderRow="0" firstDataRow="1" firstDataCol="1"/>
  <pivotFields>
    <pivotField name="TRAVEL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t="default"/>
      </items>
    </pivotField>
    <pivotField name="START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t="default"/>
      </items>
    </pivotField>
    <pivotField name="END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t="default"/>
      </items>
    </pivotField>
    <pivotField name="CATEGORY_ID" compact="0" numFmtId="3" outline="0" multipleItemSelectionAllowed="1" showAll="0">
      <items>
        <item x="0"/>
        <item x="1"/>
        <item t="default"/>
      </items>
    </pivotField>
    <pivotField name="START_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t="default"/>
      </items>
    </pivotField>
    <pivotField name="STOP_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t="default"/>
      </items>
    </pivotField>
    <pivotField name="MILES"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t="default"/>
      </items>
    </pivotField>
    <pivotField name="PURPOSE_ID" compact="0" numFmtId="3" outline="0" multipleItemSelectionAllowed="1" showAll="0">
      <items>
        <item x="0"/>
        <item x="1"/>
        <item x="2"/>
        <item x="3"/>
        <item x="4"/>
        <item x="5"/>
        <item x="6"/>
        <item x="7"/>
        <item x="8"/>
        <item x="9"/>
        <item x="10"/>
        <item t="default"/>
      </items>
    </pivotField>
    <pivotField name="START_TIM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t="default"/>
      </items>
    </pivotField>
    <pivotField name="END_TIM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t="default"/>
      </items>
    </pivotField>
    <pivotField name="DURATION" compact="0" numFmtId="4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 name="START_TIME_DAYPART" axis="axisRow" compact="0" outline="0" multipleItemSelectionAllowed="1" showAll="0" sortType="ascending">
      <items>
        <item x="2"/>
        <item x="0"/>
        <item x="3"/>
        <item x="1"/>
        <item t="default"/>
      </items>
    </pivotField>
    <pivotField name="CATEGORY" axis="axisCol" compact="0" outline="0" multipleItemSelectionAllowed="1" showAll="0" sortType="ascending">
      <items>
        <item x="0"/>
        <item x="1"/>
        <item t="default"/>
      </items>
    </pivotField>
    <pivotField name="PURPOSE" compact="0" outline="0" multipleItemSelectionAllowed="1" showAll="0">
      <items>
        <item x="0"/>
        <item x="1"/>
        <item x="2"/>
        <item x="3"/>
        <item x="4"/>
        <item x="5"/>
        <item x="6"/>
        <item x="7"/>
        <item x="8"/>
        <item x="9"/>
        <item x="10"/>
        <item t="default"/>
      </items>
    </pivotField>
  </pivotFields>
  <rowFields>
    <field x="11"/>
  </rowFields>
  <colFields>
    <field x="12"/>
  </colFields>
  <dataFields>
    <dataField name="COUNTA of TRAVEL_ID" fld="0"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4" dT="2025-11-06T21:30:55.00" personId="{4644d00b-d30c-41aa-b6f7-4ffa095c2854}" id="{05c0a675-53c9-45f8-b0e2-44e412b86470}" done="0">
    <x18tc:text xml:space="preserve">Краще використовувати функцію NA(), оскільки введені вручну значення 'NA' або '#N/A' сприймаються як текст, а не як справжнє позначення відсутніх даних, тому формули (наприклад, ISNA) не зможуть коректно їх розпізнати.</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5.xml"/><Relationship Id="rId5"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2" width="50.88"/>
    <col customWidth="1" min="3" max="26" width="41.75"/>
  </cols>
  <sheetData>
    <row r="1">
      <c r="A1" s="1" t="s">
        <v>0</v>
      </c>
    </row>
    <row r="2">
      <c r="A2" s="2" t="s">
        <v>1</v>
      </c>
      <c r="C2" s="2"/>
      <c r="D2" s="2"/>
    </row>
    <row r="3">
      <c r="A3" s="3" t="s">
        <v>2</v>
      </c>
      <c r="B3" s="3" t="s">
        <v>3</v>
      </c>
      <c r="C3" s="2"/>
      <c r="D3" s="2"/>
    </row>
    <row r="5">
      <c r="A5" s="4" t="s">
        <v>4</v>
      </c>
      <c r="B5" s="5"/>
    </row>
    <row r="6">
      <c r="A6" s="6" t="s">
        <v>5</v>
      </c>
      <c r="B6" s="7" t="s">
        <v>6</v>
      </c>
    </row>
    <row r="7">
      <c r="A7" s="8" t="s">
        <v>7</v>
      </c>
      <c r="B7" s="9" t="s">
        <v>8</v>
      </c>
      <c r="C7" s="10"/>
      <c r="D7" s="10"/>
    </row>
    <row r="8">
      <c r="A8" s="11" t="s">
        <v>9</v>
      </c>
      <c r="B8" s="12" t="s">
        <v>10</v>
      </c>
      <c r="C8" s="10"/>
      <c r="D8" s="10"/>
    </row>
    <row r="9">
      <c r="A9" s="11" t="s">
        <v>11</v>
      </c>
      <c r="B9" s="12" t="s">
        <v>12</v>
      </c>
      <c r="C9" s="10"/>
      <c r="D9" s="13"/>
    </row>
    <row r="10">
      <c r="A10" s="11" t="s">
        <v>13</v>
      </c>
      <c r="B10" s="12" t="s">
        <v>14</v>
      </c>
      <c r="C10" s="10"/>
      <c r="D10" s="13"/>
    </row>
    <row r="11">
      <c r="A11" s="11" t="s">
        <v>15</v>
      </c>
      <c r="B11" s="12" t="s">
        <v>16</v>
      </c>
      <c r="C11" s="10"/>
      <c r="D11" s="13"/>
    </row>
    <row r="12">
      <c r="A12" s="14" t="s">
        <v>17</v>
      </c>
      <c r="B12" s="12" t="s">
        <v>18</v>
      </c>
      <c r="C12" s="10"/>
      <c r="D12" s="13"/>
    </row>
    <row r="13">
      <c r="A13" s="14" t="s">
        <v>19</v>
      </c>
      <c r="B13" s="12" t="s">
        <v>20</v>
      </c>
      <c r="C13" s="10"/>
      <c r="D13" s="13"/>
    </row>
    <row r="14">
      <c r="A14" s="15" t="s">
        <v>21</v>
      </c>
      <c r="B14" s="16" t="s">
        <v>22</v>
      </c>
      <c r="C14" s="10"/>
      <c r="D14" s="13"/>
    </row>
    <row r="15">
      <c r="A15" s="17"/>
      <c r="B15" s="18"/>
      <c r="C15" s="10"/>
      <c r="D15" s="13"/>
    </row>
    <row r="16">
      <c r="A16" s="17"/>
      <c r="B16" s="18"/>
      <c r="C16" s="10"/>
      <c r="D16" s="13"/>
    </row>
    <row r="17">
      <c r="A17" s="4" t="s">
        <v>23</v>
      </c>
      <c r="B17" s="5"/>
      <c r="C17" s="10"/>
      <c r="D17" s="13"/>
    </row>
    <row r="18">
      <c r="A18" s="6" t="s">
        <v>5</v>
      </c>
      <c r="B18" s="7" t="s">
        <v>6</v>
      </c>
      <c r="C18" s="10"/>
      <c r="D18" s="13"/>
    </row>
    <row r="19">
      <c r="A19" s="19" t="s">
        <v>24</v>
      </c>
      <c r="B19" s="9" t="s">
        <v>25</v>
      </c>
      <c r="C19" s="10"/>
      <c r="D19" s="10"/>
    </row>
    <row r="20">
      <c r="A20" s="20" t="s">
        <v>13</v>
      </c>
      <c r="B20" s="16" t="s">
        <v>14</v>
      </c>
    </row>
    <row r="21">
      <c r="A21" s="21"/>
      <c r="B21" s="12"/>
      <c r="C21" s="10"/>
      <c r="D21" s="10"/>
    </row>
    <row r="22">
      <c r="A22" s="22"/>
      <c r="B22" s="16"/>
    </row>
    <row r="23">
      <c r="A23" s="23" t="s">
        <v>26</v>
      </c>
      <c r="B23" s="24"/>
    </row>
    <row r="24">
      <c r="A24" s="6" t="s">
        <v>5</v>
      </c>
      <c r="B24" s="7" t="s">
        <v>6</v>
      </c>
      <c r="C24" s="10"/>
      <c r="D24" s="10"/>
    </row>
    <row r="25">
      <c r="A25" s="19" t="s">
        <v>27</v>
      </c>
      <c r="B25" s="9" t="s">
        <v>28</v>
      </c>
    </row>
    <row r="26">
      <c r="A26" s="20" t="s">
        <v>21</v>
      </c>
      <c r="B26" s="16" t="s">
        <v>22</v>
      </c>
    </row>
    <row r="27">
      <c r="A27" s="21"/>
      <c r="B27" s="18"/>
    </row>
    <row r="28">
      <c r="A28" s="21"/>
      <c r="B28" s="18"/>
    </row>
    <row r="29">
      <c r="A29" s="25"/>
      <c r="B29" s="18"/>
    </row>
    <row r="30">
      <c r="A30" s="25"/>
      <c r="B30" s="18"/>
    </row>
    <row r="31">
      <c r="A31" s="25"/>
      <c r="B31" s="18"/>
    </row>
  </sheetData>
  <mergeCells count="4">
    <mergeCell ref="A2:B2"/>
    <mergeCell ref="A5:B5"/>
    <mergeCell ref="A17:B17"/>
    <mergeCell ref="A23:B2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6" t="s">
        <v>21</v>
      </c>
      <c r="B1" s="26" t="s">
        <v>27</v>
      </c>
      <c r="C1" s="27"/>
      <c r="D1" s="27"/>
      <c r="E1" s="27"/>
      <c r="F1" s="27"/>
      <c r="G1" s="27"/>
      <c r="H1" s="27"/>
      <c r="I1" s="27"/>
      <c r="J1" s="27"/>
      <c r="K1" s="27"/>
      <c r="L1" s="27"/>
      <c r="M1" s="27"/>
      <c r="N1" s="27"/>
      <c r="O1" s="27"/>
      <c r="P1" s="27"/>
      <c r="Q1" s="27"/>
      <c r="R1" s="27"/>
      <c r="S1" s="27"/>
      <c r="T1" s="27"/>
      <c r="U1" s="27"/>
      <c r="V1" s="27"/>
      <c r="W1" s="27"/>
      <c r="X1" s="27"/>
      <c r="Y1" s="27"/>
    </row>
    <row r="2">
      <c r="A2" s="13">
        <v>1.0</v>
      </c>
      <c r="B2" s="10" t="s">
        <v>29</v>
      </c>
    </row>
    <row r="3">
      <c r="A3" s="13">
        <v>123.0</v>
      </c>
      <c r="B3" s="10" t="s">
        <v>30</v>
      </c>
    </row>
    <row r="4">
      <c r="A4" s="13">
        <v>2.0</v>
      </c>
      <c r="B4" s="10" t="s">
        <v>31</v>
      </c>
    </row>
    <row r="5">
      <c r="A5" s="13">
        <v>3.0</v>
      </c>
      <c r="B5" s="10" t="s">
        <v>32</v>
      </c>
    </row>
    <row r="6">
      <c r="A6" s="13">
        <v>4.0</v>
      </c>
      <c r="B6" s="10" t="s">
        <v>33</v>
      </c>
    </row>
    <row r="7">
      <c r="A7" s="13">
        <v>5.0</v>
      </c>
      <c r="B7" s="10" t="s">
        <v>34</v>
      </c>
    </row>
    <row r="8">
      <c r="A8" s="13">
        <v>6.0</v>
      </c>
      <c r="B8" s="10" t="s">
        <v>35</v>
      </c>
    </row>
    <row r="9">
      <c r="A9" s="13">
        <v>7.0</v>
      </c>
      <c r="B9" s="10" t="s">
        <v>36</v>
      </c>
    </row>
    <row r="10">
      <c r="A10" s="13">
        <v>8.0</v>
      </c>
      <c r="B10" s="10" t="s">
        <v>37</v>
      </c>
    </row>
    <row r="11">
      <c r="A11" s="13">
        <v>9.0</v>
      </c>
      <c r="B11" s="10" t="s">
        <v>38</v>
      </c>
    </row>
    <row r="12">
      <c r="A12" s="13">
        <v>10.0</v>
      </c>
      <c r="B12" s="10" t="s">
        <v>39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6" t="s">
        <v>24</v>
      </c>
      <c r="B1" s="26" t="s">
        <v>13</v>
      </c>
      <c r="C1" s="27"/>
      <c r="D1" s="27"/>
      <c r="E1" s="27"/>
      <c r="F1" s="27"/>
      <c r="G1" s="27"/>
      <c r="H1" s="27"/>
      <c r="I1" s="27"/>
      <c r="J1" s="27"/>
      <c r="K1" s="27"/>
      <c r="L1" s="27"/>
      <c r="M1" s="27"/>
      <c r="N1" s="27"/>
      <c r="O1" s="27"/>
      <c r="P1" s="27"/>
      <c r="Q1" s="27"/>
      <c r="R1" s="27"/>
      <c r="S1" s="27"/>
      <c r="T1" s="27"/>
      <c r="U1" s="27"/>
      <c r="V1" s="27"/>
      <c r="W1" s="27"/>
      <c r="X1" s="27"/>
      <c r="Y1" s="27"/>
      <c r="Z1" s="27"/>
    </row>
    <row r="2">
      <c r="A2" s="10" t="s">
        <v>40</v>
      </c>
      <c r="B2" s="13">
        <v>423.0</v>
      </c>
    </row>
    <row r="3">
      <c r="A3" s="10" t="s">
        <v>41</v>
      </c>
      <c r="B3" s="13">
        <v>527.0</v>
      </c>
    </row>
    <row r="4">
      <c r="A4" s="3" t="s">
        <v>42</v>
      </c>
      <c r="B4" s="3">
        <v>111.0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3" width="16.25"/>
  </cols>
  <sheetData>
    <row r="1">
      <c r="A1" s="1" t="s">
        <v>7</v>
      </c>
      <c r="B1" s="28" t="s">
        <v>9</v>
      </c>
      <c r="C1" s="28" t="s">
        <v>11</v>
      </c>
      <c r="D1" s="29" t="s">
        <v>13</v>
      </c>
      <c r="E1" s="1" t="s">
        <v>43</v>
      </c>
      <c r="F1" s="1" t="s">
        <v>44</v>
      </c>
      <c r="G1" s="30" t="s">
        <v>19</v>
      </c>
      <c r="H1" s="29" t="s">
        <v>21</v>
      </c>
      <c r="I1" s="31" t="s">
        <v>45</v>
      </c>
      <c r="J1" s="31" t="s">
        <v>46</v>
      </c>
      <c r="K1" s="32" t="s">
        <v>47</v>
      </c>
      <c r="L1" s="33" t="s">
        <v>48</v>
      </c>
      <c r="M1" s="33" t="s">
        <v>24</v>
      </c>
      <c r="N1" s="33" t="s">
        <v>27</v>
      </c>
    </row>
    <row r="2" hidden="1">
      <c r="A2" s="3" t="s">
        <v>49</v>
      </c>
      <c r="B2" s="34">
        <v>42370.88263888889</v>
      </c>
      <c r="C2" s="34">
        <v>42370.88680555556</v>
      </c>
      <c r="D2" s="35">
        <v>423.0</v>
      </c>
      <c r="E2" s="3" t="s">
        <v>50</v>
      </c>
      <c r="F2" s="3" t="s">
        <v>50</v>
      </c>
      <c r="G2" s="36">
        <v>5.1</v>
      </c>
      <c r="H2" s="35">
        <v>1.0</v>
      </c>
      <c r="I2" s="37">
        <v>0.8826388888888889</v>
      </c>
      <c r="J2" s="37">
        <v>0.8868055555555555</v>
      </c>
      <c r="K2" s="38">
        <f t="shared" ref="K2:K103" si="1">J2-I2</f>
        <v>0.004166666667</v>
      </c>
      <c r="L2" s="39" t="str">
        <f t="shared" ref="L2:L1152" si="2">ifs(I2&lt;=TIME(6,0,0),"Night",I2&lt;=TIME(12,0,0),"Morning",I2&lt;=TIME(18,0,0),"Day",I2&lt;=TIME(23,59,59),"Evening")</f>
        <v>Evening</v>
      </c>
      <c r="M2" s="39" t="str">
        <f t="array" ref="M2">XLOOKUP(D2,'Category dict'!$B$1:$B$4,'Category dict'!$A$1:$A$4,0,0,1)</f>
        <v>Business</v>
      </c>
      <c r="N2" s="39" t="str">
        <f>VLOOKUP(H2,'Purpose dict'!$A$1:$B$12,2,0)</f>
        <v>Meal/Entertain</v>
      </c>
    </row>
    <row r="3" hidden="1">
      <c r="A3" s="3" t="s">
        <v>51</v>
      </c>
      <c r="B3" s="34">
        <v>42371.05902777778</v>
      </c>
      <c r="C3" s="34">
        <v>42371.06736111111</v>
      </c>
      <c r="D3" s="35">
        <v>423.0</v>
      </c>
      <c r="E3" s="3" t="s">
        <v>50</v>
      </c>
      <c r="F3" s="3" t="s">
        <v>50</v>
      </c>
      <c r="G3" s="36">
        <v>5.0</v>
      </c>
      <c r="H3" s="35">
        <v>123.0</v>
      </c>
      <c r="I3" s="37">
        <v>0.059027777777777776</v>
      </c>
      <c r="J3" s="37">
        <v>0.06736111111111111</v>
      </c>
      <c r="K3" s="38">
        <f t="shared" si="1"/>
        <v>0.008333333333</v>
      </c>
      <c r="L3" s="39" t="str">
        <f t="shared" si="2"/>
        <v>Night</v>
      </c>
      <c r="M3" s="39" t="str">
        <f t="array" ref="M3">XLOOKUP(D3,'Category dict'!$B$1:$B$4,'Category dict'!$A$1:$A$4,0,0,1)</f>
        <v>Business</v>
      </c>
      <c r="N3" s="39" t="str">
        <f>VLOOKUP(H3,'Purpose dict'!$A$1:$B$12,2,0)</f>
        <v>NOT DEFINED</v>
      </c>
    </row>
    <row r="4" hidden="1">
      <c r="A4" s="3" t="s">
        <v>52</v>
      </c>
      <c r="B4" s="34">
        <v>42371.850694444445</v>
      </c>
      <c r="C4" s="34">
        <v>42371.85972222222</v>
      </c>
      <c r="D4" s="35">
        <v>423.0</v>
      </c>
      <c r="E4" s="3" t="s">
        <v>50</v>
      </c>
      <c r="F4" s="3" t="s">
        <v>50</v>
      </c>
      <c r="G4" s="36">
        <v>4.8</v>
      </c>
      <c r="H4" s="35">
        <v>2.0</v>
      </c>
      <c r="I4" s="37">
        <v>0.8506944444444444</v>
      </c>
      <c r="J4" s="37">
        <v>0.8597222222222223</v>
      </c>
      <c r="K4" s="38">
        <f t="shared" si="1"/>
        <v>0.009027777778</v>
      </c>
      <c r="L4" s="39" t="str">
        <f t="shared" si="2"/>
        <v>Evening</v>
      </c>
      <c r="M4" s="39" t="str">
        <f t="array" ref="M4">XLOOKUP(D4,'Category dict'!$B$1:$B$4,'Category dict'!$A$1:$A$4,0,0,1)</f>
        <v>Business</v>
      </c>
      <c r="N4" s="39" t="str">
        <f>VLOOKUP(H4,'Purpose dict'!$A$1:$B$12,2,0)</f>
        <v>Errand/Supplies</v>
      </c>
    </row>
    <row r="5" hidden="1">
      <c r="A5" s="3" t="s">
        <v>53</v>
      </c>
      <c r="B5" s="34">
        <v>42374.72986111111</v>
      </c>
      <c r="C5" s="34">
        <v>42374.739583333336</v>
      </c>
      <c r="D5" s="35">
        <v>423.0</v>
      </c>
      <c r="E5" s="3" t="s">
        <v>50</v>
      </c>
      <c r="F5" s="3" t="s">
        <v>50</v>
      </c>
      <c r="G5" s="36">
        <v>4.7</v>
      </c>
      <c r="H5" s="35">
        <v>3.0</v>
      </c>
      <c r="I5" s="37">
        <v>0.7298611111111111</v>
      </c>
      <c r="J5" s="37">
        <v>0.7395833333333334</v>
      </c>
      <c r="K5" s="38">
        <f t="shared" si="1"/>
        <v>0.009722222222</v>
      </c>
      <c r="L5" s="39" t="str">
        <f t="shared" si="2"/>
        <v>Day</v>
      </c>
      <c r="M5" s="39" t="str">
        <f t="array" ref="M5">XLOOKUP(D5,'Category dict'!$B$1:$B$4,'Category dict'!$A$1:$A$4,0,0,1)</f>
        <v>Business</v>
      </c>
      <c r="N5" s="39" t="str">
        <f>VLOOKUP(H5,'Purpose dict'!$A$1:$B$12,2,0)</f>
        <v>Meeting</v>
      </c>
    </row>
    <row r="6" hidden="1">
      <c r="A6" s="3" t="s">
        <v>54</v>
      </c>
      <c r="B6" s="34">
        <v>42375.6125</v>
      </c>
      <c r="C6" s="34">
        <v>42375.65902777778</v>
      </c>
      <c r="D6" s="35">
        <v>423.0</v>
      </c>
      <c r="E6" s="3" t="s">
        <v>50</v>
      </c>
      <c r="F6" s="3" t="s">
        <v>55</v>
      </c>
      <c r="G6" s="36">
        <v>63.7</v>
      </c>
      <c r="H6" s="35">
        <v>4.0</v>
      </c>
      <c r="I6" s="37">
        <v>0.6125</v>
      </c>
      <c r="J6" s="37">
        <v>0.6590277777777778</v>
      </c>
      <c r="K6" s="38">
        <f t="shared" si="1"/>
        <v>0.04652777778</v>
      </c>
      <c r="L6" s="39" t="str">
        <f t="shared" si="2"/>
        <v>Day</v>
      </c>
      <c r="M6" s="39" t="str">
        <f t="array" ref="M6">XLOOKUP(D6,'Category dict'!$B$1:$B$4,'Category dict'!$A$1:$A$4,0,0,1)</f>
        <v>Business</v>
      </c>
      <c r="N6" s="39" t="str">
        <f>VLOOKUP(H6,'Purpose dict'!$A$1:$B$12,2,0)</f>
        <v>Customer Visit</v>
      </c>
    </row>
    <row r="7" hidden="1">
      <c r="A7" s="3" t="s">
        <v>56</v>
      </c>
      <c r="B7" s="34">
        <v>42375.71875</v>
      </c>
      <c r="C7" s="34">
        <v>42375.72152777778</v>
      </c>
      <c r="D7" s="35">
        <v>423.0</v>
      </c>
      <c r="E7" s="3" t="s">
        <v>55</v>
      </c>
      <c r="F7" s="3" t="s">
        <v>55</v>
      </c>
      <c r="G7" s="36">
        <v>4.3</v>
      </c>
      <c r="H7" s="35">
        <v>1.0</v>
      </c>
      <c r="I7" s="37">
        <v>0.71875</v>
      </c>
      <c r="J7" s="37">
        <v>0.7215277777777778</v>
      </c>
      <c r="K7" s="38">
        <f t="shared" si="1"/>
        <v>0.002777777778</v>
      </c>
      <c r="L7" s="39" t="str">
        <f t="shared" si="2"/>
        <v>Day</v>
      </c>
      <c r="M7" s="39" t="str">
        <f t="array" ref="M7">XLOOKUP(D7,'Category dict'!$B$1:$B$4,'Category dict'!$A$1:$A$4,0,0,1)</f>
        <v>Business</v>
      </c>
      <c r="N7" s="39" t="str">
        <f>VLOOKUP(H7,'Purpose dict'!$A$1:$B$12,2,0)</f>
        <v>Meal/Entertain</v>
      </c>
    </row>
    <row r="8" hidden="1">
      <c r="A8" s="3" t="s">
        <v>57</v>
      </c>
      <c r="B8" s="34">
        <v>42375.729166666664</v>
      </c>
      <c r="C8" s="34">
        <v>42375.73263888889</v>
      </c>
      <c r="D8" s="35">
        <v>423.0</v>
      </c>
      <c r="E8" s="3" t="s">
        <v>55</v>
      </c>
      <c r="F8" s="3" t="s">
        <v>58</v>
      </c>
      <c r="G8" s="36">
        <v>7.1</v>
      </c>
      <c r="H8" s="35">
        <v>3.0</v>
      </c>
      <c r="I8" s="37">
        <v>0.7291666666666666</v>
      </c>
      <c r="J8" s="37">
        <v>0.7326388888888888</v>
      </c>
      <c r="K8" s="38">
        <f t="shared" si="1"/>
        <v>0.003472222222</v>
      </c>
      <c r="L8" s="39" t="str">
        <f t="shared" si="2"/>
        <v>Day</v>
      </c>
      <c r="M8" s="39" t="str">
        <f t="array" ref="M8">XLOOKUP(D8,'Category dict'!$B$1:$B$4,'Category dict'!$A$1:$A$4,0,0,1)</f>
        <v>Business</v>
      </c>
      <c r="N8" s="39" t="str">
        <f>VLOOKUP(H8,'Purpose dict'!$A$1:$B$12,2,0)</f>
        <v>Meeting</v>
      </c>
    </row>
    <row r="9">
      <c r="A9" s="3" t="s">
        <v>59</v>
      </c>
      <c r="B9" s="34">
        <v>42376.56041666667</v>
      </c>
      <c r="C9" s="34">
        <v>42376.56458333333</v>
      </c>
      <c r="D9" s="35">
        <v>423.0</v>
      </c>
      <c r="E9" s="3" t="s">
        <v>60</v>
      </c>
      <c r="F9" s="3" t="s">
        <v>60</v>
      </c>
      <c r="G9" s="40">
        <v>0.8</v>
      </c>
      <c r="H9" s="35">
        <v>3.0</v>
      </c>
      <c r="I9" s="37">
        <v>0.5604166666666667</v>
      </c>
      <c r="J9" s="37">
        <v>0.5645833333333333</v>
      </c>
      <c r="K9" s="38">
        <f t="shared" si="1"/>
        <v>0.004166666667</v>
      </c>
      <c r="L9" s="39" t="str">
        <f t="shared" si="2"/>
        <v>Day</v>
      </c>
      <c r="M9" s="39" t="str">
        <f t="array" ref="M9">XLOOKUP(D9,'Category dict'!$B$1:$B$4,'Category dict'!$A$1:$A$4,0,0,1)</f>
        <v>Business</v>
      </c>
      <c r="N9" s="39" t="str">
        <f>VLOOKUP(H9,'Purpose dict'!$A$1:$B$12,2,0)</f>
        <v>Meeting</v>
      </c>
    </row>
    <row r="10" hidden="1">
      <c r="A10" s="3" t="s">
        <v>61</v>
      </c>
      <c r="B10" s="34">
        <v>42379.336805555555</v>
      </c>
      <c r="C10" s="34">
        <v>42379.350694444445</v>
      </c>
      <c r="D10" s="35">
        <v>423.0</v>
      </c>
      <c r="E10" s="3" t="s">
        <v>60</v>
      </c>
      <c r="F10" s="3" t="s">
        <v>62</v>
      </c>
      <c r="G10" s="36">
        <v>8.3</v>
      </c>
      <c r="H10" s="35">
        <v>3.0</v>
      </c>
      <c r="I10" s="37">
        <v>0.3368055555555556</v>
      </c>
      <c r="J10" s="37">
        <v>0.3506944444444444</v>
      </c>
      <c r="K10" s="38">
        <f t="shared" si="1"/>
        <v>0.01388888889</v>
      </c>
      <c r="L10" s="39" t="str">
        <f t="shared" si="2"/>
        <v>Morning</v>
      </c>
      <c r="M10" s="39" t="str">
        <f t="array" ref="M10">XLOOKUP(D10,'Category dict'!$B$1:$B$4,'Category dict'!$A$1:$A$4,0,0,1)</f>
        <v>Business</v>
      </c>
      <c r="N10" s="39" t="str">
        <f>VLOOKUP(H10,'Purpose dict'!$A$1:$B$12,2,0)</f>
        <v>Meeting</v>
      </c>
    </row>
    <row r="11" hidden="1">
      <c r="A11" s="3" t="s">
        <v>63</v>
      </c>
      <c r="B11" s="34">
        <v>42379.51180555556</v>
      </c>
      <c r="C11" s="34">
        <v>42379.53055555555</v>
      </c>
      <c r="D11" s="35">
        <v>423.0</v>
      </c>
      <c r="E11" s="3" t="s">
        <v>64</v>
      </c>
      <c r="F11" s="3" t="s">
        <v>65</v>
      </c>
      <c r="G11" s="36">
        <v>16.5</v>
      </c>
      <c r="H11" s="35">
        <v>4.0</v>
      </c>
      <c r="I11" s="37">
        <v>0.5118055555555555</v>
      </c>
      <c r="J11" s="37">
        <v>0.5305555555555556</v>
      </c>
      <c r="K11" s="38">
        <f t="shared" si="1"/>
        <v>0.01875</v>
      </c>
      <c r="L11" s="39" t="str">
        <f t="shared" si="2"/>
        <v>Day</v>
      </c>
      <c r="M11" s="39" t="str">
        <f t="array" ref="M11">XLOOKUP(D11,'Category dict'!$B$1:$B$4,'Category dict'!$A$1:$A$4,0,0,1)</f>
        <v>Business</v>
      </c>
      <c r="N11" s="39" t="str">
        <f>VLOOKUP(H11,'Purpose dict'!$A$1:$B$12,2,0)</f>
        <v>Customer Visit</v>
      </c>
    </row>
    <row r="12" hidden="1">
      <c r="A12" s="3" t="s">
        <v>66</v>
      </c>
      <c r="B12" s="34">
        <v>42379.63055555556</v>
      </c>
      <c r="C12" s="34">
        <v>42379.660416666666</v>
      </c>
      <c r="D12" s="35">
        <v>423.0</v>
      </c>
      <c r="E12" s="3" t="s">
        <v>65</v>
      </c>
      <c r="F12" s="3" t="s">
        <v>67</v>
      </c>
      <c r="G12" s="36">
        <v>10.8</v>
      </c>
      <c r="H12" s="35">
        <v>3.0</v>
      </c>
      <c r="I12" s="37">
        <v>0.6305555555555555</v>
      </c>
      <c r="J12" s="37">
        <v>0.6604166666666667</v>
      </c>
      <c r="K12" s="38">
        <f t="shared" si="1"/>
        <v>0.02986111111</v>
      </c>
      <c r="L12" s="39" t="str">
        <f t="shared" si="2"/>
        <v>Day</v>
      </c>
      <c r="M12" s="39" t="str">
        <f t="array" ref="M12">XLOOKUP(D12,'Category dict'!$B$1:$B$4,'Category dict'!$A$1:$A$4,0,0,1)</f>
        <v>Business</v>
      </c>
      <c r="N12" s="39" t="str">
        <f>VLOOKUP(H12,'Purpose dict'!$A$1:$B$12,2,0)</f>
        <v>Meeting</v>
      </c>
    </row>
    <row r="13" hidden="1">
      <c r="A13" s="3" t="s">
        <v>68</v>
      </c>
      <c r="B13" s="34">
        <v>42379.7625</v>
      </c>
      <c r="C13" s="34">
        <v>42379.78680555556</v>
      </c>
      <c r="D13" s="35">
        <v>423.0</v>
      </c>
      <c r="E13" s="3" t="s">
        <v>69</v>
      </c>
      <c r="F13" s="3" t="s">
        <v>65</v>
      </c>
      <c r="G13" s="36">
        <v>7.5</v>
      </c>
      <c r="H13" s="35">
        <v>3.0</v>
      </c>
      <c r="I13" s="37">
        <v>0.7625</v>
      </c>
      <c r="J13" s="37">
        <v>0.7868055555555555</v>
      </c>
      <c r="K13" s="38">
        <f t="shared" si="1"/>
        <v>0.02430555556</v>
      </c>
      <c r="L13" s="39" t="str">
        <f t="shared" si="2"/>
        <v>Evening</v>
      </c>
      <c r="M13" s="39" t="str">
        <f t="array" ref="M13">XLOOKUP(D13,'Category dict'!$B$1:$B$4,'Category dict'!$A$1:$A$4,0,0,1)</f>
        <v>Business</v>
      </c>
      <c r="N13" s="39" t="str">
        <f>VLOOKUP(H13,'Purpose dict'!$A$1:$B$12,2,0)</f>
        <v>Meeting</v>
      </c>
    </row>
    <row r="14" hidden="1">
      <c r="A14" s="3" t="s">
        <v>70</v>
      </c>
      <c r="B14" s="34">
        <v>42379.8</v>
      </c>
      <c r="C14" s="34">
        <v>42379.813888888886</v>
      </c>
      <c r="D14" s="35">
        <v>423.0</v>
      </c>
      <c r="E14" s="3" t="s">
        <v>71</v>
      </c>
      <c r="F14" s="3" t="s">
        <v>72</v>
      </c>
      <c r="G14" s="36">
        <v>6.2</v>
      </c>
      <c r="H14" s="35">
        <v>3.0</v>
      </c>
      <c r="I14" s="37">
        <v>0.8</v>
      </c>
      <c r="J14" s="37">
        <v>0.8138888888888889</v>
      </c>
      <c r="K14" s="38">
        <f t="shared" si="1"/>
        <v>0.01388888889</v>
      </c>
      <c r="L14" s="39" t="str">
        <f t="shared" si="2"/>
        <v>Evening</v>
      </c>
      <c r="M14" s="39" t="str">
        <f t="array" ref="M14">XLOOKUP(D14,'Category dict'!$B$1:$B$4,'Category dict'!$A$1:$A$4,0,0,1)</f>
        <v>Business</v>
      </c>
      <c r="N14" s="39" t="str">
        <f>VLOOKUP(H14,'Purpose dict'!$A$1:$B$12,2,0)</f>
        <v>Meeting</v>
      </c>
    </row>
    <row r="15" hidden="1">
      <c r="A15" s="3" t="s">
        <v>73</v>
      </c>
      <c r="B15" s="34">
        <v>42380.37152777778</v>
      </c>
      <c r="C15" s="34">
        <v>42380.38958333333</v>
      </c>
      <c r="D15" s="35">
        <v>423.0</v>
      </c>
      <c r="E15" s="3" t="s">
        <v>72</v>
      </c>
      <c r="F15" s="3" t="s">
        <v>74</v>
      </c>
      <c r="G15" s="36">
        <v>6.4</v>
      </c>
      <c r="H15" s="35">
        <v>5.0</v>
      </c>
      <c r="I15" s="37">
        <v>0.3715277777777778</v>
      </c>
      <c r="J15" s="37">
        <v>0.38958333333333334</v>
      </c>
      <c r="K15" s="38">
        <f t="shared" si="1"/>
        <v>0.01805555556</v>
      </c>
      <c r="L15" s="39" t="str">
        <f t="shared" si="2"/>
        <v>Morning</v>
      </c>
      <c r="M15" s="39" t="str">
        <f t="array" ref="M15">XLOOKUP(D15,'Category dict'!$B$1:$B$4,'Category dict'!$A$1:$A$4,0,0,1)</f>
        <v>Business</v>
      </c>
      <c r="N15" s="39" t="str">
        <f>VLOOKUP(H15,'Purpose dict'!$A$1:$B$12,2,0)</f>
        <v>Temporary Site</v>
      </c>
    </row>
    <row r="16" hidden="1">
      <c r="A16" s="3" t="s">
        <v>75</v>
      </c>
      <c r="B16" s="34">
        <v>42380.49722222222</v>
      </c>
      <c r="C16" s="34">
        <v>42380.50208333333</v>
      </c>
      <c r="D16" s="35">
        <v>423.0</v>
      </c>
      <c r="E16" s="3" t="s">
        <v>76</v>
      </c>
      <c r="F16" s="3" t="s">
        <v>71</v>
      </c>
      <c r="G16" s="36">
        <v>1.6</v>
      </c>
      <c r="H16" s="35">
        <v>2.0</v>
      </c>
      <c r="I16" s="37">
        <v>0.49722222222222223</v>
      </c>
      <c r="J16" s="37">
        <v>0.5020833333333333</v>
      </c>
      <c r="K16" s="38">
        <f t="shared" si="1"/>
        <v>0.004861111111</v>
      </c>
      <c r="L16" s="39" t="str">
        <f t="shared" si="2"/>
        <v>Morning</v>
      </c>
      <c r="M16" s="39" t="str">
        <f t="array" ref="M16">XLOOKUP(D16,'Category dict'!$B$1:$B$4,'Category dict'!$A$1:$A$4,0,0,1)</f>
        <v>Business</v>
      </c>
      <c r="N16" s="39" t="str">
        <f>VLOOKUP(H16,'Purpose dict'!$A$1:$B$12,2,0)</f>
        <v>Errand/Supplies</v>
      </c>
    </row>
    <row r="17" hidden="1">
      <c r="A17" s="3" t="s">
        <v>77</v>
      </c>
      <c r="B17" s="34">
        <v>42380.563888888886</v>
      </c>
      <c r="C17" s="34">
        <v>42380.57361111111</v>
      </c>
      <c r="D17" s="35">
        <v>423.0</v>
      </c>
      <c r="E17" s="3" t="s">
        <v>71</v>
      </c>
      <c r="F17" s="3" t="s">
        <v>78</v>
      </c>
      <c r="G17" s="36">
        <v>1.7</v>
      </c>
      <c r="H17" s="35">
        <v>1.0</v>
      </c>
      <c r="I17" s="37">
        <v>0.5638888888888889</v>
      </c>
      <c r="J17" s="37">
        <v>0.5736111111111111</v>
      </c>
      <c r="K17" s="38">
        <f t="shared" si="1"/>
        <v>0.009722222222</v>
      </c>
      <c r="L17" s="39" t="str">
        <f t="shared" si="2"/>
        <v>Day</v>
      </c>
      <c r="M17" s="39" t="str">
        <f t="array" ref="M17">XLOOKUP(D17,'Category dict'!$B$1:$B$4,'Category dict'!$A$1:$A$4,0,0,1)</f>
        <v>Business</v>
      </c>
      <c r="N17" s="39" t="str">
        <f>VLOOKUP(H17,'Purpose dict'!$A$1:$B$12,2,0)</f>
        <v>Meal/Entertain</v>
      </c>
    </row>
    <row r="18" hidden="1">
      <c r="A18" s="3" t="s">
        <v>79</v>
      </c>
      <c r="B18" s="34">
        <v>42380.604166666664</v>
      </c>
      <c r="C18" s="34">
        <v>42380.61319444444</v>
      </c>
      <c r="D18" s="35">
        <v>423.0</v>
      </c>
      <c r="E18" s="3" t="s">
        <v>78</v>
      </c>
      <c r="F18" s="3" t="s">
        <v>71</v>
      </c>
      <c r="G18" s="36">
        <v>1.9</v>
      </c>
      <c r="H18" s="35">
        <v>1.0</v>
      </c>
      <c r="I18" s="37">
        <v>0.6041666666666666</v>
      </c>
      <c r="J18" s="37">
        <v>0.6131944444444445</v>
      </c>
      <c r="K18" s="38">
        <f t="shared" si="1"/>
        <v>0.009027777778</v>
      </c>
      <c r="L18" s="39" t="str">
        <f t="shared" si="2"/>
        <v>Day</v>
      </c>
      <c r="M18" s="39" t="str">
        <f t="array" ref="M18">XLOOKUP(D18,'Category dict'!$B$1:$B$4,'Category dict'!$A$1:$A$4,0,0,1)</f>
        <v>Business</v>
      </c>
      <c r="N18" s="39" t="str">
        <f>VLOOKUP(H18,'Purpose dict'!$A$1:$B$12,2,0)</f>
        <v>Meal/Entertain</v>
      </c>
    </row>
    <row r="19" hidden="1">
      <c r="A19" s="3" t="s">
        <v>80</v>
      </c>
      <c r="B19" s="34">
        <v>42381.52291666667</v>
      </c>
      <c r="C19" s="34">
        <v>42381.53402777778</v>
      </c>
      <c r="D19" s="35">
        <v>423.0</v>
      </c>
      <c r="E19" s="3" t="s">
        <v>71</v>
      </c>
      <c r="F19" s="3" t="s">
        <v>81</v>
      </c>
      <c r="G19" s="36">
        <v>1.9</v>
      </c>
      <c r="H19" s="35">
        <v>1.0</v>
      </c>
      <c r="I19" s="37">
        <v>0.5229166666666667</v>
      </c>
      <c r="J19" s="37">
        <v>0.5340277777777778</v>
      </c>
      <c r="K19" s="38">
        <f t="shared" si="1"/>
        <v>0.01111111111</v>
      </c>
      <c r="L19" s="39" t="str">
        <f t="shared" si="2"/>
        <v>Day</v>
      </c>
      <c r="M19" s="39" t="str">
        <f t="array" ref="M19">XLOOKUP(D19,'Category dict'!$B$1:$B$4,'Category dict'!$A$1:$A$4,0,0,1)</f>
        <v>Business</v>
      </c>
      <c r="N19" s="39" t="str">
        <f>VLOOKUP(H19,'Purpose dict'!$A$1:$B$12,2,0)</f>
        <v>Meal/Entertain</v>
      </c>
    </row>
    <row r="20" hidden="1">
      <c r="A20" s="3" t="s">
        <v>82</v>
      </c>
      <c r="B20" s="34">
        <v>42381.53680555556</v>
      </c>
      <c r="C20" s="34">
        <v>42381.54791666667</v>
      </c>
      <c r="D20" s="35">
        <v>423.0</v>
      </c>
      <c r="E20" s="3" t="s">
        <v>81</v>
      </c>
      <c r="F20" s="3" t="s">
        <v>83</v>
      </c>
      <c r="G20" s="36">
        <v>4.0</v>
      </c>
      <c r="H20" s="35">
        <v>1.0</v>
      </c>
      <c r="I20" s="37">
        <v>0.5368055555555555</v>
      </c>
      <c r="J20" s="37">
        <v>0.5479166666666667</v>
      </c>
      <c r="K20" s="38">
        <f t="shared" si="1"/>
        <v>0.01111111111</v>
      </c>
      <c r="L20" s="39" t="str">
        <f t="shared" si="2"/>
        <v>Day</v>
      </c>
      <c r="M20" s="39" t="str">
        <f t="array" ref="M20">XLOOKUP(D20,'Category dict'!$B$1:$B$4,'Category dict'!$A$1:$A$4,0,0,1)</f>
        <v>Business</v>
      </c>
      <c r="N20" s="39" t="str">
        <f>VLOOKUP(H20,'Purpose dict'!$A$1:$B$12,2,0)</f>
        <v>Meal/Entertain</v>
      </c>
    </row>
    <row r="21" hidden="1">
      <c r="A21" s="3" t="s">
        <v>84</v>
      </c>
      <c r="B21" s="34">
        <v>42381.6125</v>
      </c>
      <c r="C21" s="34">
        <v>42381.62222222222</v>
      </c>
      <c r="D21" s="35">
        <v>423.0</v>
      </c>
      <c r="E21" s="3" t="s">
        <v>83</v>
      </c>
      <c r="F21" s="3" t="s">
        <v>81</v>
      </c>
      <c r="G21" s="36">
        <v>1.8</v>
      </c>
      <c r="H21" s="35">
        <v>2.0</v>
      </c>
      <c r="I21" s="37">
        <v>0.6125</v>
      </c>
      <c r="J21" s="37">
        <v>0.6222222222222222</v>
      </c>
      <c r="K21" s="38">
        <f t="shared" si="1"/>
        <v>0.009722222222</v>
      </c>
      <c r="L21" s="39" t="str">
        <f t="shared" si="2"/>
        <v>Day</v>
      </c>
      <c r="M21" s="39" t="str">
        <f t="array" ref="M21">XLOOKUP(D21,'Category dict'!$B$1:$B$4,'Category dict'!$A$1:$A$4,0,0,1)</f>
        <v>Business</v>
      </c>
      <c r="N21" s="39" t="str">
        <f>VLOOKUP(H21,'Purpose dict'!$A$1:$B$12,2,0)</f>
        <v>Errand/Supplies</v>
      </c>
    </row>
    <row r="22" hidden="1">
      <c r="A22" s="3" t="s">
        <v>85</v>
      </c>
      <c r="B22" s="34">
        <v>42381.63402777778</v>
      </c>
      <c r="C22" s="34">
        <v>42381.64444444444</v>
      </c>
      <c r="D22" s="35">
        <v>423.0</v>
      </c>
      <c r="E22" s="3" t="s">
        <v>81</v>
      </c>
      <c r="F22" s="3" t="s">
        <v>86</v>
      </c>
      <c r="G22" s="36">
        <v>2.4</v>
      </c>
      <c r="H22" s="35">
        <v>4.0</v>
      </c>
      <c r="I22" s="37">
        <v>0.6340277777777777</v>
      </c>
      <c r="J22" s="37">
        <v>0.6444444444444445</v>
      </c>
      <c r="K22" s="38">
        <f t="shared" si="1"/>
        <v>0.01041666667</v>
      </c>
      <c r="L22" s="39" t="str">
        <f t="shared" si="2"/>
        <v>Day</v>
      </c>
      <c r="M22" s="39" t="str">
        <f t="array" ref="M22">XLOOKUP(D22,'Category dict'!$B$1:$B$4,'Category dict'!$A$1:$A$4,0,0,1)</f>
        <v>Business</v>
      </c>
      <c r="N22" s="39" t="str">
        <f>VLOOKUP(H22,'Purpose dict'!$A$1:$B$12,2,0)</f>
        <v>Customer Visit</v>
      </c>
    </row>
    <row r="23" hidden="1">
      <c r="A23" s="3" t="s">
        <v>87</v>
      </c>
      <c r="B23" s="34">
        <v>42381.65416666667</v>
      </c>
      <c r="C23" s="34">
        <v>42381.6625</v>
      </c>
      <c r="D23" s="35">
        <v>423.0</v>
      </c>
      <c r="E23" s="3" t="s">
        <v>86</v>
      </c>
      <c r="F23" s="3" t="s">
        <v>71</v>
      </c>
      <c r="G23" s="36">
        <v>2.0</v>
      </c>
      <c r="H23" s="35">
        <v>2.0</v>
      </c>
      <c r="I23" s="37">
        <v>0.6541666666666667</v>
      </c>
      <c r="J23" s="37">
        <v>0.6625</v>
      </c>
      <c r="K23" s="38">
        <f t="shared" si="1"/>
        <v>0.008333333333</v>
      </c>
      <c r="L23" s="39" t="str">
        <f t="shared" si="2"/>
        <v>Day</v>
      </c>
      <c r="M23" s="39" t="str">
        <f t="array" ref="M23">XLOOKUP(D23,'Category dict'!$B$1:$B$4,'Category dict'!$A$1:$A$4,0,0,1)</f>
        <v>Business</v>
      </c>
      <c r="N23" s="39" t="str">
        <f>VLOOKUP(H23,'Purpose dict'!$A$1:$B$12,2,0)</f>
        <v>Errand/Supplies</v>
      </c>
    </row>
    <row r="24" hidden="1">
      <c r="A24" s="3" t="s">
        <v>88</v>
      </c>
      <c r="B24" s="34">
        <v>42381.66805555556</v>
      </c>
      <c r="C24" s="34">
        <v>42381.708333333336</v>
      </c>
      <c r="D24" s="35">
        <v>423.0</v>
      </c>
      <c r="E24" s="3" t="s">
        <v>65</v>
      </c>
      <c r="F24" s="3" t="s">
        <v>89</v>
      </c>
      <c r="G24" s="36">
        <v>15.1</v>
      </c>
      <c r="H24" s="35">
        <v>3.0</v>
      </c>
      <c r="I24" s="37">
        <v>0.6680555555555555</v>
      </c>
      <c r="J24" s="37">
        <v>0.7083333333333334</v>
      </c>
      <c r="K24" s="38">
        <f t="shared" si="1"/>
        <v>0.04027777778</v>
      </c>
      <c r="L24" s="39" t="str">
        <f t="shared" si="2"/>
        <v>Day</v>
      </c>
      <c r="M24" s="39" t="str">
        <f t="array" ref="M24">XLOOKUP(D24,'Category dict'!$B$1:$B$4,'Category dict'!$A$1:$A$4,0,0,1)</f>
        <v>Business</v>
      </c>
      <c r="N24" s="39" t="str">
        <f>VLOOKUP(H24,'Purpose dict'!$A$1:$B$12,2,0)</f>
        <v>Meeting</v>
      </c>
    </row>
    <row r="25" hidden="1">
      <c r="A25" s="3" t="s">
        <v>90</v>
      </c>
      <c r="B25" s="34">
        <v>42382.57916666667</v>
      </c>
      <c r="C25" s="34">
        <v>42382.58819444444</v>
      </c>
      <c r="D25" s="35">
        <v>423.0</v>
      </c>
      <c r="E25" s="3" t="s">
        <v>91</v>
      </c>
      <c r="F25" s="3" t="s">
        <v>92</v>
      </c>
      <c r="G25" s="36">
        <v>11.2</v>
      </c>
      <c r="H25" s="35">
        <v>3.0</v>
      </c>
      <c r="I25" s="37">
        <v>0.5791666666666667</v>
      </c>
      <c r="J25" s="37">
        <v>0.5881944444444445</v>
      </c>
      <c r="K25" s="38">
        <f t="shared" si="1"/>
        <v>0.009027777778</v>
      </c>
      <c r="L25" s="39" t="str">
        <f t="shared" si="2"/>
        <v>Day</v>
      </c>
      <c r="M25" s="39" t="str">
        <f t="array" ref="M25">XLOOKUP(D25,'Category dict'!$B$1:$B$4,'Category dict'!$A$1:$A$4,0,0,1)</f>
        <v>Business</v>
      </c>
      <c r="N25" s="39" t="str">
        <f>VLOOKUP(H25,'Purpose dict'!$A$1:$B$12,2,0)</f>
        <v>Meeting</v>
      </c>
    </row>
    <row r="26" hidden="1">
      <c r="A26" s="3" t="s">
        <v>93</v>
      </c>
      <c r="B26" s="34">
        <v>42382.625</v>
      </c>
      <c r="C26" s="34">
        <v>42382.64444444444</v>
      </c>
      <c r="D26" s="35">
        <v>423.0</v>
      </c>
      <c r="E26" s="3" t="s">
        <v>92</v>
      </c>
      <c r="F26" s="3" t="s">
        <v>91</v>
      </c>
      <c r="G26" s="36">
        <v>11.8</v>
      </c>
      <c r="H26" s="35">
        <v>3.0</v>
      </c>
      <c r="I26" s="37">
        <v>0.625</v>
      </c>
      <c r="J26" s="37">
        <v>0.6444444444444445</v>
      </c>
      <c r="K26" s="38">
        <f t="shared" si="1"/>
        <v>0.01944444444</v>
      </c>
      <c r="L26" s="39" t="str">
        <f t="shared" si="2"/>
        <v>Day</v>
      </c>
      <c r="M26" s="39" t="str">
        <f t="array" ref="M26">XLOOKUP(D26,'Category dict'!$B$1:$B$4,'Category dict'!$A$1:$A$4,0,0,1)</f>
        <v>Business</v>
      </c>
      <c r="N26" s="39" t="str">
        <f>VLOOKUP(H26,'Purpose dict'!$A$1:$B$12,2,0)</f>
        <v>Meeting</v>
      </c>
    </row>
    <row r="27" hidden="1">
      <c r="A27" s="3" t="s">
        <v>94</v>
      </c>
      <c r="B27" s="34">
        <v>42383.68680555555</v>
      </c>
      <c r="C27" s="34">
        <v>42383.711805555555</v>
      </c>
      <c r="D27" s="35">
        <v>423.0</v>
      </c>
      <c r="E27" s="3" t="s">
        <v>95</v>
      </c>
      <c r="F27" s="3" t="s">
        <v>95</v>
      </c>
      <c r="G27" s="36">
        <v>21.9</v>
      </c>
      <c r="H27" s="35">
        <v>4.0</v>
      </c>
      <c r="I27" s="37">
        <v>0.6868055555555556</v>
      </c>
      <c r="J27" s="37">
        <v>0.7118055555555556</v>
      </c>
      <c r="K27" s="38">
        <f t="shared" si="1"/>
        <v>0.025</v>
      </c>
      <c r="L27" s="39" t="str">
        <f t="shared" si="2"/>
        <v>Day</v>
      </c>
      <c r="M27" s="39" t="str">
        <f t="array" ref="M27">XLOOKUP(D27,'Category dict'!$B$1:$B$4,'Category dict'!$A$1:$A$4,0,0,1)</f>
        <v>Business</v>
      </c>
      <c r="N27" s="39" t="str">
        <f>VLOOKUP(H27,'Purpose dict'!$A$1:$B$12,2,0)</f>
        <v>Customer Visit</v>
      </c>
    </row>
    <row r="28" hidden="1">
      <c r="A28" s="3" t="s">
        <v>96</v>
      </c>
      <c r="B28" s="34">
        <v>42383.902083333334</v>
      </c>
      <c r="C28" s="34">
        <v>42383.90625</v>
      </c>
      <c r="D28" s="35">
        <v>423.0</v>
      </c>
      <c r="E28" s="3" t="s">
        <v>97</v>
      </c>
      <c r="F28" s="3" t="s">
        <v>98</v>
      </c>
      <c r="G28" s="36">
        <v>3.9</v>
      </c>
      <c r="H28" s="35">
        <v>2.0</v>
      </c>
      <c r="I28" s="37">
        <v>0.9020833333333333</v>
      </c>
      <c r="J28" s="37">
        <v>0.90625</v>
      </c>
      <c r="K28" s="38">
        <f t="shared" si="1"/>
        <v>0.004166666667</v>
      </c>
      <c r="L28" s="39" t="str">
        <f t="shared" si="2"/>
        <v>Evening</v>
      </c>
      <c r="M28" s="39" t="str">
        <f t="array" ref="M28">XLOOKUP(D28,'Category dict'!$B$1:$B$4,'Category dict'!$A$1:$A$4,0,0,1)</f>
        <v>Business</v>
      </c>
      <c r="N28" s="39" t="str">
        <f>VLOOKUP(H28,'Purpose dict'!$A$1:$B$12,2,0)</f>
        <v>Errand/Supplies</v>
      </c>
    </row>
    <row r="29" hidden="1">
      <c r="A29" s="3" t="s">
        <v>99</v>
      </c>
      <c r="B29" s="34">
        <v>42384.02847222222</v>
      </c>
      <c r="C29" s="34">
        <v>42384.04236111111</v>
      </c>
      <c r="D29" s="35">
        <v>423.0</v>
      </c>
      <c r="E29" s="3" t="s">
        <v>62</v>
      </c>
      <c r="F29" s="3" t="s">
        <v>60</v>
      </c>
      <c r="G29" s="36">
        <v>8.0</v>
      </c>
      <c r="H29" s="35">
        <v>2.0</v>
      </c>
      <c r="I29" s="37">
        <v>0.02847222222222222</v>
      </c>
      <c r="J29" s="37">
        <v>0.04236111111111111</v>
      </c>
      <c r="K29" s="38">
        <f t="shared" si="1"/>
        <v>0.01388888889</v>
      </c>
      <c r="L29" s="39" t="str">
        <f t="shared" si="2"/>
        <v>Night</v>
      </c>
      <c r="M29" s="39" t="str">
        <f t="array" ref="M29">XLOOKUP(D29,'Category dict'!$B$1:$B$4,'Category dict'!$A$1:$A$4,0,0,1)</f>
        <v>Business</v>
      </c>
      <c r="N29" s="39" t="str">
        <f>VLOOKUP(H29,'Purpose dict'!$A$1:$B$12,2,0)</f>
        <v>Errand/Supplies</v>
      </c>
    </row>
    <row r="30" hidden="1">
      <c r="A30" s="3" t="s">
        <v>100</v>
      </c>
      <c r="B30" s="34">
        <v>42384.48819444444</v>
      </c>
      <c r="C30" s="34">
        <v>42384.50208333333</v>
      </c>
      <c r="D30" s="35">
        <v>423.0</v>
      </c>
      <c r="E30" s="3" t="s">
        <v>60</v>
      </c>
      <c r="F30" s="3" t="s">
        <v>101</v>
      </c>
      <c r="G30" s="36">
        <v>10.4</v>
      </c>
      <c r="H30" s="35">
        <v>1.0</v>
      </c>
      <c r="I30" s="37">
        <v>0.48819444444444443</v>
      </c>
      <c r="J30" s="37">
        <v>0.5020833333333333</v>
      </c>
      <c r="K30" s="38">
        <f t="shared" si="1"/>
        <v>0.01388888889</v>
      </c>
      <c r="L30" s="39" t="str">
        <f t="shared" si="2"/>
        <v>Morning</v>
      </c>
      <c r="M30" s="39" t="str">
        <f t="array" ref="M30">XLOOKUP(D30,'Category dict'!$B$1:$B$4,'Category dict'!$A$1:$A$4,0,0,1)</f>
        <v>Business</v>
      </c>
      <c r="N30" s="39" t="str">
        <f>VLOOKUP(H30,'Purpose dict'!$A$1:$B$12,2,0)</f>
        <v>Meal/Entertain</v>
      </c>
    </row>
    <row r="31" hidden="1">
      <c r="A31" s="3" t="s">
        <v>102</v>
      </c>
      <c r="B31" s="34">
        <v>42384.55972222222</v>
      </c>
      <c r="C31" s="34">
        <v>42384.572222222225</v>
      </c>
      <c r="D31" s="35">
        <v>423.0</v>
      </c>
      <c r="E31" s="3" t="s">
        <v>101</v>
      </c>
      <c r="F31" s="3" t="s">
        <v>60</v>
      </c>
      <c r="G31" s="36">
        <v>10.4</v>
      </c>
      <c r="H31" s="35">
        <v>1.0</v>
      </c>
      <c r="I31" s="37">
        <v>0.5597222222222222</v>
      </c>
      <c r="J31" s="37">
        <v>0.5722222222222222</v>
      </c>
      <c r="K31" s="38">
        <f t="shared" si="1"/>
        <v>0.0125</v>
      </c>
      <c r="L31" s="39" t="str">
        <f t="shared" si="2"/>
        <v>Day</v>
      </c>
      <c r="M31" s="39" t="str">
        <f t="array" ref="M31">XLOOKUP(D31,'Category dict'!$B$1:$B$4,'Category dict'!$A$1:$A$4,0,0,1)</f>
        <v>Business</v>
      </c>
      <c r="N31" s="39" t="str">
        <f>VLOOKUP(H31,'Purpose dict'!$A$1:$B$12,2,0)</f>
        <v>Meal/Entertain</v>
      </c>
    </row>
    <row r="32" hidden="1">
      <c r="A32" s="3" t="s">
        <v>103</v>
      </c>
      <c r="B32" s="34">
        <v>42387.62152777778</v>
      </c>
      <c r="C32" s="34">
        <v>42387.629166666666</v>
      </c>
      <c r="D32" s="35">
        <v>423.0</v>
      </c>
      <c r="E32" s="3" t="s">
        <v>60</v>
      </c>
      <c r="F32" s="3" t="s">
        <v>60</v>
      </c>
      <c r="G32" s="36">
        <v>4.8</v>
      </c>
      <c r="H32" s="35">
        <v>1.0</v>
      </c>
      <c r="I32" s="37">
        <v>0.6215277777777778</v>
      </c>
      <c r="J32" s="37">
        <v>0.6291666666666667</v>
      </c>
      <c r="K32" s="38">
        <f t="shared" si="1"/>
        <v>0.007638888889</v>
      </c>
      <c r="L32" s="39" t="str">
        <f t="shared" si="2"/>
        <v>Day</v>
      </c>
      <c r="M32" s="39" t="str">
        <f t="array" ref="M32">XLOOKUP(D32,'Category dict'!$B$1:$B$4,'Category dict'!$A$1:$A$4,0,0,1)</f>
        <v>Business</v>
      </c>
      <c r="N32" s="39" t="str">
        <f>VLOOKUP(H32,'Purpose dict'!$A$1:$B$12,2,0)</f>
        <v>Meal/Entertain</v>
      </c>
    </row>
    <row r="33" hidden="1">
      <c r="A33" s="3" t="s">
        <v>104</v>
      </c>
      <c r="B33" s="34">
        <v>42387.67569444444</v>
      </c>
      <c r="C33" s="34">
        <v>42387.683333333334</v>
      </c>
      <c r="D33" s="35">
        <v>423.0</v>
      </c>
      <c r="E33" s="3" t="s">
        <v>105</v>
      </c>
      <c r="F33" s="3" t="s">
        <v>106</v>
      </c>
      <c r="G33" s="36">
        <v>4.7</v>
      </c>
      <c r="H33" s="35">
        <v>1.0</v>
      </c>
      <c r="I33" s="37">
        <v>0.6756944444444445</v>
      </c>
      <c r="J33" s="37">
        <v>0.6833333333333333</v>
      </c>
      <c r="K33" s="38">
        <f t="shared" si="1"/>
        <v>0.007638888889</v>
      </c>
      <c r="L33" s="39" t="str">
        <f t="shared" si="2"/>
        <v>Day</v>
      </c>
      <c r="M33" s="39" t="str">
        <f t="array" ref="M33">XLOOKUP(D33,'Category dict'!$B$1:$B$4,'Category dict'!$A$1:$A$4,0,0,1)</f>
        <v>Business</v>
      </c>
      <c r="N33" s="39" t="str">
        <f>VLOOKUP(H33,'Purpose dict'!$A$1:$B$12,2,0)</f>
        <v>Meal/Entertain</v>
      </c>
    </row>
    <row r="34" hidden="1">
      <c r="A34" s="3" t="s">
        <v>107</v>
      </c>
      <c r="B34" s="34">
        <v>42388.38125</v>
      </c>
      <c r="C34" s="34">
        <v>42388.39097222222</v>
      </c>
      <c r="D34" s="35">
        <v>423.0</v>
      </c>
      <c r="E34" s="3" t="s">
        <v>106</v>
      </c>
      <c r="F34" s="3" t="s">
        <v>108</v>
      </c>
      <c r="G34" s="36">
        <v>7.2</v>
      </c>
      <c r="H34" s="35">
        <v>123.0</v>
      </c>
      <c r="I34" s="37">
        <v>0.38125</v>
      </c>
      <c r="J34" s="37">
        <v>0.3909722222222222</v>
      </c>
      <c r="K34" s="38">
        <f t="shared" si="1"/>
        <v>0.009722222222</v>
      </c>
      <c r="L34" s="39" t="str">
        <f t="shared" si="2"/>
        <v>Morning</v>
      </c>
      <c r="M34" s="39" t="str">
        <f t="array" ref="M34">XLOOKUP(D34,'Category dict'!$B$1:$B$4,'Category dict'!$A$1:$A$4,0,0,1)</f>
        <v>Business</v>
      </c>
      <c r="N34" s="39" t="str">
        <f>VLOOKUP(H34,'Purpose dict'!$A$1:$B$12,2,0)</f>
        <v>NOT DEFINED</v>
      </c>
    </row>
    <row r="35" hidden="1">
      <c r="A35" s="3" t="s">
        <v>109</v>
      </c>
      <c r="B35" s="34">
        <v>42388.45486111111</v>
      </c>
      <c r="C35" s="34">
        <v>42388.464583333334</v>
      </c>
      <c r="D35" s="35">
        <v>423.0</v>
      </c>
      <c r="E35" s="3" t="s">
        <v>108</v>
      </c>
      <c r="F35" s="3" t="s">
        <v>106</v>
      </c>
      <c r="G35" s="36">
        <v>7.6</v>
      </c>
      <c r="H35" s="35">
        <v>5.0</v>
      </c>
      <c r="I35" s="37">
        <v>0.4548611111111111</v>
      </c>
      <c r="J35" s="37">
        <v>0.46458333333333335</v>
      </c>
      <c r="K35" s="38">
        <f t="shared" si="1"/>
        <v>0.009722222222</v>
      </c>
      <c r="L35" s="39" t="str">
        <f t="shared" si="2"/>
        <v>Morning</v>
      </c>
      <c r="M35" s="39" t="str">
        <f t="array" ref="M35">XLOOKUP(D35,'Category dict'!$B$1:$B$4,'Category dict'!$A$1:$A$4,0,0,1)</f>
        <v>Business</v>
      </c>
      <c r="N35" s="39" t="str">
        <f>VLOOKUP(H35,'Purpose dict'!$A$1:$B$12,2,0)</f>
        <v>Temporary Site</v>
      </c>
    </row>
    <row r="36" hidden="1">
      <c r="A36" s="3" t="s">
        <v>110</v>
      </c>
      <c r="B36" s="34">
        <v>42389.441666666666</v>
      </c>
      <c r="C36" s="34">
        <v>42389.46597222222</v>
      </c>
      <c r="D36" s="35">
        <v>423.0</v>
      </c>
      <c r="E36" s="3" t="s">
        <v>60</v>
      </c>
      <c r="F36" s="3" t="s">
        <v>111</v>
      </c>
      <c r="G36" s="36">
        <v>17.1</v>
      </c>
      <c r="H36" s="35">
        <v>3.0</v>
      </c>
      <c r="I36" s="37">
        <v>0.44166666666666665</v>
      </c>
      <c r="J36" s="37">
        <v>0.46597222222222223</v>
      </c>
      <c r="K36" s="38">
        <f t="shared" si="1"/>
        <v>0.02430555556</v>
      </c>
      <c r="L36" s="39" t="str">
        <f t="shared" si="2"/>
        <v>Morning</v>
      </c>
      <c r="M36" s="39" t="str">
        <f t="array" ref="M36">XLOOKUP(D36,'Category dict'!$B$1:$B$4,'Category dict'!$A$1:$A$4,0,0,1)</f>
        <v>Business</v>
      </c>
      <c r="N36" s="39" t="str">
        <f>VLOOKUP(H36,'Purpose dict'!$A$1:$B$12,2,0)</f>
        <v>Meeting</v>
      </c>
    </row>
    <row r="37" hidden="1">
      <c r="A37" s="3" t="s">
        <v>112</v>
      </c>
      <c r="B37" s="34">
        <v>42389.49166666667</v>
      </c>
      <c r="C37" s="34">
        <v>42389.513194444444</v>
      </c>
      <c r="D37" s="35">
        <v>423.0</v>
      </c>
      <c r="E37" s="3" t="s">
        <v>113</v>
      </c>
      <c r="F37" s="3" t="s">
        <v>114</v>
      </c>
      <c r="G37" s="36">
        <v>15.1</v>
      </c>
      <c r="H37" s="35">
        <v>3.0</v>
      </c>
      <c r="I37" s="37">
        <v>0.49166666666666664</v>
      </c>
      <c r="J37" s="37">
        <v>0.5131944444444444</v>
      </c>
      <c r="K37" s="38">
        <f t="shared" si="1"/>
        <v>0.02152777778</v>
      </c>
      <c r="L37" s="39" t="str">
        <f t="shared" si="2"/>
        <v>Morning</v>
      </c>
      <c r="M37" s="39" t="str">
        <f t="array" ref="M37">XLOOKUP(D37,'Category dict'!$B$1:$B$4,'Category dict'!$A$1:$A$4,0,0,1)</f>
        <v>Business</v>
      </c>
      <c r="N37" s="39" t="str">
        <f>VLOOKUP(H37,'Purpose dict'!$A$1:$B$12,2,0)</f>
        <v>Meeting</v>
      </c>
    </row>
    <row r="38" hidden="1">
      <c r="A38" s="3" t="s">
        <v>115</v>
      </c>
      <c r="B38" s="34">
        <v>42389.55902777778</v>
      </c>
      <c r="C38" s="34">
        <v>42389.59652777778</v>
      </c>
      <c r="D38" s="35">
        <v>423.0</v>
      </c>
      <c r="E38" s="3" t="s">
        <v>111</v>
      </c>
      <c r="F38" s="3" t="s">
        <v>60</v>
      </c>
      <c r="G38" s="36">
        <v>40.2</v>
      </c>
      <c r="H38" s="35">
        <v>4.0</v>
      </c>
      <c r="I38" s="37">
        <v>0.5590277777777778</v>
      </c>
      <c r="J38" s="37">
        <v>0.5965277777777778</v>
      </c>
      <c r="K38" s="38">
        <f t="shared" si="1"/>
        <v>0.0375</v>
      </c>
      <c r="L38" s="39" t="str">
        <f t="shared" si="2"/>
        <v>Day</v>
      </c>
      <c r="M38" s="39" t="str">
        <f t="array" ref="M38">XLOOKUP(D38,'Category dict'!$B$1:$B$4,'Category dict'!$A$1:$A$4,0,0,1)</f>
        <v>Business</v>
      </c>
      <c r="N38" s="39" t="str">
        <f>VLOOKUP(H38,'Purpose dict'!$A$1:$B$12,2,0)</f>
        <v>Customer Visit</v>
      </c>
    </row>
    <row r="39" hidden="1">
      <c r="A39" s="3" t="s">
        <v>116</v>
      </c>
      <c r="B39" s="34">
        <v>42390.600694444445</v>
      </c>
      <c r="C39" s="34">
        <v>42390.603472222225</v>
      </c>
      <c r="D39" s="35">
        <v>423.0</v>
      </c>
      <c r="E39" s="3" t="s">
        <v>60</v>
      </c>
      <c r="F39" s="3" t="s">
        <v>60</v>
      </c>
      <c r="G39" s="36">
        <v>1.6</v>
      </c>
      <c r="H39" s="35">
        <v>2.0</v>
      </c>
      <c r="I39" s="37">
        <v>0.6006944444444444</v>
      </c>
      <c r="J39" s="37">
        <v>0.6034722222222222</v>
      </c>
      <c r="K39" s="38">
        <f t="shared" si="1"/>
        <v>0.002777777778</v>
      </c>
      <c r="L39" s="39" t="str">
        <f t="shared" si="2"/>
        <v>Day</v>
      </c>
      <c r="M39" s="39" t="str">
        <f t="array" ref="M39">XLOOKUP(D39,'Category dict'!$B$1:$B$4,'Category dict'!$A$1:$A$4,0,0,1)</f>
        <v>Business</v>
      </c>
      <c r="N39" s="39" t="str">
        <f>VLOOKUP(H39,'Purpose dict'!$A$1:$B$12,2,0)</f>
        <v>Errand/Supplies</v>
      </c>
    </row>
    <row r="40" hidden="1">
      <c r="A40" s="3" t="s">
        <v>117</v>
      </c>
      <c r="B40" s="34">
        <v>42390.61319444444</v>
      </c>
      <c r="C40" s="34">
        <v>42390.61875</v>
      </c>
      <c r="D40" s="35">
        <v>423.0</v>
      </c>
      <c r="E40" s="3" t="s">
        <v>60</v>
      </c>
      <c r="F40" s="3" t="s">
        <v>60</v>
      </c>
      <c r="G40" s="36">
        <v>2.4</v>
      </c>
      <c r="H40" s="35">
        <v>1.0</v>
      </c>
      <c r="I40" s="37">
        <v>0.6131944444444445</v>
      </c>
      <c r="J40" s="37">
        <v>0.61875</v>
      </c>
      <c r="K40" s="38">
        <f t="shared" si="1"/>
        <v>0.005555555556</v>
      </c>
      <c r="L40" s="39" t="str">
        <f t="shared" si="2"/>
        <v>Day</v>
      </c>
      <c r="M40" s="39" t="str">
        <f t="array" ref="M40">XLOOKUP(D40,'Category dict'!$B$1:$B$4,'Category dict'!$A$1:$A$4,0,0,1)</f>
        <v>Business</v>
      </c>
      <c r="N40" s="39" t="str">
        <f>VLOOKUP(H40,'Purpose dict'!$A$1:$B$12,2,0)</f>
        <v>Meal/Entertain</v>
      </c>
    </row>
    <row r="41">
      <c r="A41" s="3" t="s">
        <v>118</v>
      </c>
      <c r="B41" s="34">
        <v>42390.66736111111</v>
      </c>
      <c r="C41" s="34">
        <v>42390.67083333333</v>
      </c>
      <c r="D41" s="35">
        <v>423.0</v>
      </c>
      <c r="E41" s="3" t="s">
        <v>60</v>
      </c>
      <c r="F41" s="3" t="s">
        <v>60</v>
      </c>
      <c r="G41" s="40">
        <v>1.0</v>
      </c>
      <c r="H41" s="35">
        <v>1.0</v>
      </c>
      <c r="I41" s="37">
        <v>0.6673611111111111</v>
      </c>
      <c r="J41" s="37">
        <v>0.6708333333333333</v>
      </c>
      <c r="K41" s="38">
        <f t="shared" si="1"/>
        <v>0.003472222222</v>
      </c>
      <c r="L41" s="39" t="str">
        <f t="shared" si="2"/>
        <v>Day</v>
      </c>
      <c r="M41" s="39" t="str">
        <f t="array" ref="M41">XLOOKUP(D41,'Category dict'!$B$1:$B$4,'Category dict'!$A$1:$A$4,0,0,1)</f>
        <v>Business</v>
      </c>
      <c r="N41" s="39" t="str">
        <f>VLOOKUP(H41,'Purpose dict'!$A$1:$B$12,2,0)</f>
        <v>Meal/Entertain</v>
      </c>
    </row>
    <row r="42" hidden="1">
      <c r="A42" s="3" t="s">
        <v>119</v>
      </c>
      <c r="B42" s="34">
        <v>42395.44513888889</v>
      </c>
      <c r="C42" s="34">
        <v>42395.45138888889</v>
      </c>
      <c r="D42" s="35">
        <v>423.0</v>
      </c>
      <c r="E42" s="3" t="s">
        <v>106</v>
      </c>
      <c r="F42" s="3" t="s">
        <v>120</v>
      </c>
      <c r="G42" s="36">
        <v>2.0</v>
      </c>
      <c r="H42" s="35">
        <v>1.0</v>
      </c>
      <c r="I42" s="37">
        <v>0.44513888888888886</v>
      </c>
      <c r="J42" s="37">
        <v>0.4513888888888889</v>
      </c>
      <c r="K42" s="38">
        <f t="shared" si="1"/>
        <v>0.00625</v>
      </c>
      <c r="L42" s="39" t="str">
        <f t="shared" si="2"/>
        <v>Morning</v>
      </c>
      <c r="M42" s="39" t="str">
        <f t="array" ref="M42">XLOOKUP(D42,'Category dict'!$B$1:$B$4,'Category dict'!$A$1:$A$4,0,0,1)</f>
        <v>Business</v>
      </c>
      <c r="N42" s="39" t="str">
        <f>VLOOKUP(H42,'Purpose dict'!$A$1:$B$12,2,0)</f>
        <v>Meal/Entertain</v>
      </c>
    </row>
    <row r="43" hidden="1">
      <c r="A43" s="3" t="s">
        <v>121</v>
      </c>
      <c r="B43" s="34">
        <v>42395.52291666667</v>
      </c>
      <c r="C43" s="34">
        <v>42395.52847222222</v>
      </c>
      <c r="D43" s="35">
        <v>423.0</v>
      </c>
      <c r="E43" s="3" t="s">
        <v>120</v>
      </c>
      <c r="F43" s="3" t="s">
        <v>106</v>
      </c>
      <c r="G43" s="36">
        <v>2.3</v>
      </c>
      <c r="H43" s="35">
        <v>2.0</v>
      </c>
      <c r="I43" s="37">
        <v>0.5229166666666667</v>
      </c>
      <c r="J43" s="37">
        <v>0.5284722222222222</v>
      </c>
      <c r="K43" s="38">
        <f t="shared" si="1"/>
        <v>0.005555555556</v>
      </c>
      <c r="L43" s="39" t="str">
        <f t="shared" si="2"/>
        <v>Day</v>
      </c>
      <c r="M43" s="39" t="str">
        <f t="array" ref="M43">XLOOKUP(D43,'Category dict'!$B$1:$B$4,'Category dict'!$A$1:$A$4,0,0,1)</f>
        <v>Business</v>
      </c>
      <c r="N43" s="39" t="str">
        <f>VLOOKUP(H43,'Purpose dict'!$A$1:$B$12,2,0)</f>
        <v>Errand/Supplies</v>
      </c>
    </row>
    <row r="44" hidden="1">
      <c r="A44" s="3" t="s">
        <v>122</v>
      </c>
      <c r="B44" s="34">
        <v>42395.683333333334</v>
      </c>
      <c r="C44" s="34">
        <v>42395.688888888886</v>
      </c>
      <c r="D44" s="35">
        <v>423.0</v>
      </c>
      <c r="E44" s="3" t="s">
        <v>106</v>
      </c>
      <c r="F44" s="3" t="s">
        <v>123</v>
      </c>
      <c r="G44" s="36">
        <v>1.9</v>
      </c>
      <c r="H44" s="35">
        <v>2.0</v>
      </c>
      <c r="I44" s="37">
        <v>0.6833333333333333</v>
      </c>
      <c r="J44" s="37">
        <v>0.6888888888888889</v>
      </c>
      <c r="K44" s="38">
        <f t="shared" si="1"/>
        <v>0.005555555556</v>
      </c>
      <c r="L44" s="39" t="str">
        <f t="shared" si="2"/>
        <v>Day</v>
      </c>
      <c r="M44" s="39" t="str">
        <f t="array" ref="M44">XLOOKUP(D44,'Category dict'!$B$1:$B$4,'Category dict'!$A$1:$A$4,0,0,1)</f>
        <v>Business</v>
      </c>
      <c r="N44" s="39" t="str">
        <f>VLOOKUP(H44,'Purpose dict'!$A$1:$B$12,2,0)</f>
        <v>Errand/Supplies</v>
      </c>
    </row>
    <row r="45">
      <c r="A45" s="3" t="s">
        <v>124</v>
      </c>
      <c r="B45" s="34">
        <v>42395.720138888886</v>
      </c>
      <c r="C45" s="34">
        <v>42395.72361111111</v>
      </c>
      <c r="D45" s="35">
        <v>423.0</v>
      </c>
      <c r="E45" s="3" t="s">
        <v>60</v>
      </c>
      <c r="F45" s="3" t="s">
        <v>60</v>
      </c>
      <c r="G45" s="40">
        <v>1.4</v>
      </c>
      <c r="H45" s="35">
        <v>2.0</v>
      </c>
      <c r="I45" s="37">
        <v>0.7201388888888889</v>
      </c>
      <c r="J45" s="37">
        <v>0.7236111111111111</v>
      </c>
      <c r="K45" s="38">
        <f t="shared" si="1"/>
        <v>0.003472222222</v>
      </c>
      <c r="L45" s="39" t="str">
        <f t="shared" si="2"/>
        <v>Day</v>
      </c>
      <c r="M45" s="39" t="str">
        <f t="array" ref="M45">XLOOKUP(D45,'Category dict'!$B$1:$B$4,'Category dict'!$A$1:$A$4,0,0,1)</f>
        <v>Business</v>
      </c>
      <c r="N45" s="39" t="str">
        <f>VLOOKUP(H45,'Purpose dict'!$A$1:$B$12,2,0)</f>
        <v>Errand/Supplies</v>
      </c>
    </row>
    <row r="46">
      <c r="A46" s="3" t="s">
        <v>125</v>
      </c>
      <c r="B46" s="34">
        <v>42395.72708333333</v>
      </c>
      <c r="C46" s="34">
        <v>42395.728472222225</v>
      </c>
      <c r="D46" s="35">
        <v>423.0</v>
      </c>
      <c r="E46" s="3" t="s">
        <v>60</v>
      </c>
      <c r="F46" s="3" t="s">
        <v>60</v>
      </c>
      <c r="G46" s="40">
        <v>0.5</v>
      </c>
      <c r="H46" s="35">
        <v>2.0</v>
      </c>
      <c r="I46" s="37">
        <v>0.7270833333333333</v>
      </c>
      <c r="J46" s="37">
        <v>0.7284722222222222</v>
      </c>
      <c r="K46" s="38">
        <f t="shared" si="1"/>
        <v>0.001388888889</v>
      </c>
      <c r="L46" s="39" t="str">
        <f t="shared" si="2"/>
        <v>Day</v>
      </c>
      <c r="M46" s="39" t="str">
        <f t="array" ref="M46">XLOOKUP(D46,'Category dict'!$B$1:$B$4,'Category dict'!$A$1:$A$4,0,0,1)</f>
        <v>Business</v>
      </c>
      <c r="N46" s="39" t="str">
        <f>VLOOKUP(H46,'Purpose dict'!$A$1:$B$12,2,0)</f>
        <v>Errand/Supplies</v>
      </c>
    </row>
    <row r="47" hidden="1">
      <c r="A47" s="3" t="s">
        <v>126</v>
      </c>
      <c r="B47" s="34">
        <v>42396.39166666667</v>
      </c>
      <c r="C47" s="34">
        <v>42396.396527777775</v>
      </c>
      <c r="D47" s="35">
        <v>423.0</v>
      </c>
      <c r="E47" s="3" t="s">
        <v>60</v>
      </c>
      <c r="F47" s="3" t="s">
        <v>60</v>
      </c>
      <c r="G47" s="36">
        <v>1.8</v>
      </c>
      <c r="H47" s="35">
        <v>3.0</v>
      </c>
      <c r="I47" s="37">
        <v>0.39166666666666666</v>
      </c>
      <c r="J47" s="37">
        <v>0.39652777777777776</v>
      </c>
      <c r="K47" s="38">
        <f t="shared" si="1"/>
        <v>0.004861111111</v>
      </c>
      <c r="L47" s="39" t="str">
        <f t="shared" si="2"/>
        <v>Morning</v>
      </c>
      <c r="M47" s="39" t="str">
        <f t="array" ref="M47">XLOOKUP(D47,'Category dict'!$B$1:$B$4,'Category dict'!$A$1:$A$4,0,0,1)</f>
        <v>Business</v>
      </c>
      <c r="N47" s="39" t="str">
        <f>VLOOKUP(H47,'Purpose dict'!$A$1:$B$12,2,0)</f>
        <v>Meeting</v>
      </c>
    </row>
    <row r="48" hidden="1">
      <c r="A48" s="3" t="s">
        <v>127</v>
      </c>
      <c r="B48" s="34">
        <v>42396.42986111111</v>
      </c>
      <c r="C48" s="34">
        <v>42396.45</v>
      </c>
      <c r="D48" s="35">
        <v>423.0</v>
      </c>
      <c r="E48" s="3" t="s">
        <v>60</v>
      </c>
      <c r="F48" s="3" t="s">
        <v>111</v>
      </c>
      <c r="G48" s="36">
        <v>18.7</v>
      </c>
      <c r="H48" s="35">
        <v>4.0</v>
      </c>
      <c r="I48" s="37">
        <v>0.42986111111111114</v>
      </c>
      <c r="J48" s="37">
        <v>0.45</v>
      </c>
      <c r="K48" s="38">
        <f t="shared" si="1"/>
        <v>0.02013888889</v>
      </c>
      <c r="L48" s="39" t="str">
        <f t="shared" si="2"/>
        <v>Morning</v>
      </c>
      <c r="M48" s="39" t="str">
        <f t="array" ref="M48">XLOOKUP(D48,'Category dict'!$B$1:$B$4,'Category dict'!$A$1:$A$4,0,0,1)</f>
        <v>Business</v>
      </c>
      <c r="N48" s="39" t="str">
        <f>VLOOKUP(H48,'Purpose dict'!$A$1:$B$12,2,0)</f>
        <v>Customer Visit</v>
      </c>
    </row>
    <row r="49" hidden="1">
      <c r="A49" s="3" t="s">
        <v>128</v>
      </c>
      <c r="B49" s="34">
        <v>42396.52361111111</v>
      </c>
      <c r="C49" s="34">
        <v>42396.53055555555</v>
      </c>
      <c r="D49" s="35">
        <v>423.0</v>
      </c>
      <c r="E49" s="3" t="s">
        <v>129</v>
      </c>
      <c r="F49" s="3" t="s">
        <v>130</v>
      </c>
      <c r="G49" s="36">
        <v>3.4</v>
      </c>
      <c r="H49" s="35">
        <v>4.0</v>
      </c>
      <c r="I49" s="37">
        <v>0.5236111111111111</v>
      </c>
      <c r="J49" s="37">
        <v>0.5305555555555556</v>
      </c>
      <c r="K49" s="38">
        <f t="shared" si="1"/>
        <v>0.006944444444</v>
      </c>
      <c r="L49" s="39" t="str">
        <f t="shared" si="2"/>
        <v>Day</v>
      </c>
      <c r="M49" s="39" t="str">
        <f t="array" ref="M49">XLOOKUP(D49,'Category dict'!$B$1:$B$4,'Category dict'!$A$1:$A$4,0,0,1)</f>
        <v>Business</v>
      </c>
      <c r="N49" s="39" t="str">
        <f>VLOOKUP(H49,'Purpose dict'!$A$1:$B$12,2,0)</f>
        <v>Customer Visit</v>
      </c>
    </row>
    <row r="50" hidden="1">
      <c r="A50" s="3" t="s">
        <v>131</v>
      </c>
      <c r="B50" s="34">
        <v>42396.586805555555</v>
      </c>
      <c r="C50" s="34">
        <v>42396.592361111114</v>
      </c>
      <c r="D50" s="35">
        <v>423.0</v>
      </c>
      <c r="E50" s="3" t="s">
        <v>111</v>
      </c>
      <c r="F50" s="3" t="s">
        <v>111</v>
      </c>
      <c r="G50" s="36">
        <v>2.7</v>
      </c>
      <c r="H50" s="35">
        <v>4.0</v>
      </c>
      <c r="I50" s="37">
        <v>0.5868055555555556</v>
      </c>
      <c r="J50" s="37">
        <v>0.5923611111111111</v>
      </c>
      <c r="K50" s="38">
        <f t="shared" si="1"/>
        <v>0.005555555556</v>
      </c>
      <c r="L50" s="39" t="str">
        <f t="shared" si="2"/>
        <v>Day</v>
      </c>
      <c r="M50" s="39" t="str">
        <f t="array" ref="M50">XLOOKUP(D50,'Category dict'!$B$1:$B$4,'Category dict'!$A$1:$A$4,0,0,1)</f>
        <v>Business</v>
      </c>
      <c r="N50" s="39" t="str">
        <f>VLOOKUP(H50,'Purpose dict'!$A$1:$B$12,2,0)</f>
        <v>Customer Visit</v>
      </c>
    </row>
    <row r="51" hidden="1">
      <c r="A51" s="3" t="s">
        <v>132</v>
      </c>
      <c r="B51" s="34">
        <v>42396.615277777775</v>
      </c>
      <c r="C51" s="34">
        <v>42396.63055555556</v>
      </c>
      <c r="D51" s="35">
        <v>423.0</v>
      </c>
      <c r="E51" s="3" t="s">
        <v>111</v>
      </c>
      <c r="F51" s="3" t="s">
        <v>60</v>
      </c>
      <c r="G51" s="36">
        <v>12.9</v>
      </c>
      <c r="H51" s="35">
        <v>4.0</v>
      </c>
      <c r="I51" s="37">
        <v>0.6152777777777778</v>
      </c>
      <c r="J51" s="37">
        <v>0.6305555555555555</v>
      </c>
      <c r="K51" s="38">
        <f t="shared" si="1"/>
        <v>0.01527777778</v>
      </c>
      <c r="L51" s="39" t="str">
        <f t="shared" si="2"/>
        <v>Day</v>
      </c>
      <c r="M51" s="39" t="str">
        <f t="array" ref="M51">XLOOKUP(D51,'Category dict'!$B$1:$B$4,'Category dict'!$A$1:$A$4,0,0,1)</f>
        <v>Business</v>
      </c>
      <c r="N51" s="39" t="str">
        <f>VLOOKUP(H51,'Purpose dict'!$A$1:$B$12,2,0)</f>
        <v>Customer Visit</v>
      </c>
    </row>
    <row r="52" hidden="1">
      <c r="A52" s="3" t="s">
        <v>133</v>
      </c>
      <c r="B52" s="34">
        <v>42397.51944444444</v>
      </c>
      <c r="C52" s="34">
        <v>42397.541666666664</v>
      </c>
      <c r="D52" s="35">
        <v>423.0</v>
      </c>
      <c r="E52" s="3" t="s">
        <v>60</v>
      </c>
      <c r="F52" s="3" t="s">
        <v>111</v>
      </c>
      <c r="G52" s="36">
        <v>19.0</v>
      </c>
      <c r="H52" s="35">
        <v>5.0</v>
      </c>
      <c r="I52" s="37">
        <v>0.5194444444444445</v>
      </c>
      <c r="J52" s="37">
        <v>0.5416666666666666</v>
      </c>
      <c r="K52" s="38">
        <f t="shared" si="1"/>
        <v>0.02222222222</v>
      </c>
      <c r="L52" s="39" t="str">
        <f t="shared" si="2"/>
        <v>Day</v>
      </c>
      <c r="M52" s="39" t="str">
        <f t="array" ref="M52">XLOOKUP(D52,'Category dict'!$B$1:$B$4,'Category dict'!$A$1:$A$4,0,0,1)</f>
        <v>Business</v>
      </c>
      <c r="N52" s="39" t="str">
        <f>VLOOKUP(H52,'Purpose dict'!$A$1:$B$12,2,0)</f>
        <v>Temporary Site</v>
      </c>
    </row>
    <row r="53" hidden="1">
      <c r="A53" s="3" t="s">
        <v>134</v>
      </c>
      <c r="B53" s="34">
        <v>42397.63263888889</v>
      </c>
      <c r="C53" s="34">
        <v>42397.646527777775</v>
      </c>
      <c r="D53" s="35">
        <v>423.0</v>
      </c>
      <c r="E53" s="3" t="s">
        <v>130</v>
      </c>
      <c r="F53" s="3" t="s">
        <v>135</v>
      </c>
      <c r="G53" s="36">
        <v>14.7</v>
      </c>
      <c r="H53" s="35">
        <v>3.0</v>
      </c>
      <c r="I53" s="37">
        <v>0.6326388888888889</v>
      </c>
      <c r="J53" s="37">
        <v>0.6465277777777778</v>
      </c>
      <c r="K53" s="38">
        <f t="shared" si="1"/>
        <v>0.01388888889</v>
      </c>
      <c r="L53" s="39" t="str">
        <f t="shared" si="2"/>
        <v>Day</v>
      </c>
      <c r="M53" s="39" t="str">
        <f t="array" ref="M53">XLOOKUP(D53,'Category dict'!$B$1:$B$4,'Category dict'!$A$1:$A$4,0,0,1)</f>
        <v>Business</v>
      </c>
      <c r="N53" s="39" t="str">
        <f>VLOOKUP(H53,'Purpose dict'!$A$1:$B$12,2,0)</f>
        <v>Meeting</v>
      </c>
    </row>
    <row r="54" hidden="1">
      <c r="A54" s="3" t="s">
        <v>136</v>
      </c>
      <c r="B54" s="34">
        <v>42397.68125</v>
      </c>
      <c r="C54" s="34">
        <v>42397.70208333333</v>
      </c>
      <c r="D54" s="35">
        <v>423.0</v>
      </c>
      <c r="E54" s="3" t="s">
        <v>111</v>
      </c>
      <c r="F54" s="3" t="s">
        <v>60</v>
      </c>
      <c r="G54" s="36">
        <v>15.7</v>
      </c>
      <c r="H54" s="35">
        <v>3.0</v>
      </c>
      <c r="I54" s="37">
        <v>0.68125</v>
      </c>
      <c r="J54" s="37">
        <v>0.7020833333333333</v>
      </c>
      <c r="K54" s="38">
        <f t="shared" si="1"/>
        <v>0.02083333333</v>
      </c>
      <c r="L54" s="39" t="str">
        <f t="shared" si="2"/>
        <v>Day</v>
      </c>
      <c r="M54" s="39" t="str">
        <f t="array" ref="M54">XLOOKUP(D54,'Category dict'!$B$1:$B$4,'Category dict'!$A$1:$A$4,0,0,1)</f>
        <v>Business</v>
      </c>
      <c r="N54" s="39" t="str">
        <f>VLOOKUP(H54,'Purpose dict'!$A$1:$B$12,2,0)</f>
        <v>Meeting</v>
      </c>
    </row>
    <row r="55" hidden="1">
      <c r="A55" s="3" t="s">
        <v>137</v>
      </c>
      <c r="B55" s="34">
        <v>42398.396527777775</v>
      </c>
      <c r="C55" s="34">
        <v>42398.40625</v>
      </c>
      <c r="D55" s="35">
        <v>423.0</v>
      </c>
      <c r="E55" s="3" t="s">
        <v>60</v>
      </c>
      <c r="F55" s="3" t="s">
        <v>60</v>
      </c>
      <c r="G55" s="36">
        <v>4.6</v>
      </c>
      <c r="H55" s="35">
        <v>4.0</v>
      </c>
      <c r="I55" s="37">
        <v>0.39652777777777776</v>
      </c>
      <c r="J55" s="37">
        <v>0.40625</v>
      </c>
      <c r="K55" s="38">
        <f t="shared" si="1"/>
        <v>0.009722222222</v>
      </c>
      <c r="L55" s="39" t="str">
        <f t="shared" si="2"/>
        <v>Morning</v>
      </c>
      <c r="M55" s="39" t="str">
        <f t="array" ref="M55">XLOOKUP(D55,'Category dict'!$B$1:$B$4,'Category dict'!$A$1:$A$4,0,0,1)</f>
        <v>Business</v>
      </c>
      <c r="N55" s="39" t="str">
        <f>VLOOKUP(H55,'Purpose dict'!$A$1:$B$12,2,0)</f>
        <v>Customer Visit</v>
      </c>
    </row>
    <row r="56" hidden="1">
      <c r="A56" s="3" t="s">
        <v>138</v>
      </c>
      <c r="B56" s="34">
        <v>42398.455555555556</v>
      </c>
      <c r="C56" s="34">
        <v>42398.46319444444</v>
      </c>
      <c r="D56" s="35">
        <v>423.0</v>
      </c>
      <c r="E56" s="3" t="s">
        <v>60</v>
      </c>
      <c r="F56" s="3" t="s">
        <v>60</v>
      </c>
      <c r="G56" s="36">
        <v>5.2</v>
      </c>
      <c r="H56" s="35">
        <v>3.0</v>
      </c>
      <c r="I56" s="37">
        <v>0.45555555555555555</v>
      </c>
      <c r="J56" s="37">
        <v>0.46319444444444446</v>
      </c>
      <c r="K56" s="38">
        <f t="shared" si="1"/>
        <v>0.007638888889</v>
      </c>
      <c r="L56" s="39" t="str">
        <f t="shared" si="2"/>
        <v>Morning</v>
      </c>
      <c r="M56" s="39" t="str">
        <f t="array" ref="M56">XLOOKUP(D56,'Category dict'!$B$1:$B$4,'Category dict'!$A$1:$A$4,0,0,1)</f>
        <v>Business</v>
      </c>
      <c r="N56" s="39" t="str">
        <f>VLOOKUP(H56,'Purpose dict'!$A$1:$B$12,2,0)</f>
        <v>Meeting</v>
      </c>
    </row>
    <row r="57" hidden="1">
      <c r="A57" s="3" t="s">
        <v>139</v>
      </c>
      <c r="B57" s="34">
        <v>42398.48819444444</v>
      </c>
      <c r="C57" s="34">
        <v>42398.50208333333</v>
      </c>
      <c r="D57" s="35">
        <v>423.0</v>
      </c>
      <c r="E57" s="3" t="s">
        <v>60</v>
      </c>
      <c r="F57" s="3" t="s">
        <v>101</v>
      </c>
      <c r="G57" s="36">
        <v>10.4</v>
      </c>
      <c r="H57" s="35">
        <v>3.0</v>
      </c>
      <c r="I57" s="37">
        <v>0.48819444444444443</v>
      </c>
      <c r="J57" s="37">
        <v>0.5020833333333333</v>
      </c>
      <c r="K57" s="38">
        <f t="shared" si="1"/>
        <v>0.01388888889</v>
      </c>
      <c r="L57" s="39" t="str">
        <f t="shared" si="2"/>
        <v>Morning</v>
      </c>
      <c r="M57" s="39" t="str">
        <f t="array" ref="M57">XLOOKUP(D57,'Category dict'!$B$1:$B$4,'Category dict'!$A$1:$A$4,0,0,1)</f>
        <v>Business</v>
      </c>
      <c r="N57" s="39" t="str">
        <f>VLOOKUP(H57,'Purpose dict'!$A$1:$B$12,2,0)</f>
        <v>Meeting</v>
      </c>
    </row>
    <row r="58" hidden="1">
      <c r="A58" s="3" t="s">
        <v>140</v>
      </c>
      <c r="B58" s="34">
        <v>42398.558333333334</v>
      </c>
      <c r="C58" s="34">
        <v>42398.57430555556</v>
      </c>
      <c r="D58" s="35">
        <v>423.0</v>
      </c>
      <c r="E58" s="3" t="s">
        <v>101</v>
      </c>
      <c r="F58" s="3" t="s">
        <v>60</v>
      </c>
      <c r="G58" s="36">
        <v>10.1</v>
      </c>
      <c r="H58" s="35">
        <v>3.0</v>
      </c>
      <c r="I58" s="37">
        <v>0.5583333333333333</v>
      </c>
      <c r="J58" s="37">
        <v>0.5743055555555555</v>
      </c>
      <c r="K58" s="38">
        <f t="shared" si="1"/>
        <v>0.01597222222</v>
      </c>
      <c r="L58" s="39" t="str">
        <f t="shared" si="2"/>
        <v>Day</v>
      </c>
      <c r="M58" s="39" t="str">
        <f t="array" ref="M58">XLOOKUP(D58,'Category dict'!$B$1:$B$4,'Category dict'!$A$1:$A$4,0,0,1)</f>
        <v>Business</v>
      </c>
      <c r="N58" s="39" t="str">
        <f>VLOOKUP(H58,'Purpose dict'!$A$1:$B$12,2,0)</f>
        <v>Meeting</v>
      </c>
    </row>
    <row r="59" hidden="1">
      <c r="A59" s="3" t="s">
        <v>141</v>
      </c>
      <c r="B59" s="34">
        <v>42398.771527777775</v>
      </c>
      <c r="C59" s="34">
        <v>42398.78611111111</v>
      </c>
      <c r="D59" s="35">
        <v>423.0</v>
      </c>
      <c r="E59" s="3" t="s">
        <v>60</v>
      </c>
      <c r="F59" s="3" t="s">
        <v>142</v>
      </c>
      <c r="G59" s="36">
        <v>5.8</v>
      </c>
      <c r="H59" s="35">
        <v>2.0</v>
      </c>
      <c r="I59" s="37">
        <v>0.7715277777777778</v>
      </c>
      <c r="J59" s="37">
        <v>0.7861111111111111</v>
      </c>
      <c r="K59" s="38">
        <f t="shared" si="1"/>
        <v>0.01458333333</v>
      </c>
      <c r="L59" s="39" t="str">
        <f t="shared" si="2"/>
        <v>Evening</v>
      </c>
      <c r="M59" s="39" t="str">
        <f t="array" ref="M59">XLOOKUP(D59,'Category dict'!$B$1:$B$4,'Category dict'!$A$1:$A$4,0,0,1)</f>
        <v>Business</v>
      </c>
      <c r="N59" s="39" t="str">
        <f>VLOOKUP(H59,'Purpose dict'!$A$1:$B$12,2,0)</f>
        <v>Errand/Supplies</v>
      </c>
    </row>
    <row r="60" hidden="1">
      <c r="A60" s="3" t="s">
        <v>143</v>
      </c>
      <c r="B60" s="34">
        <v>42398.88958333333</v>
      </c>
      <c r="C60" s="34">
        <v>42398.90277777778</v>
      </c>
      <c r="D60" s="35">
        <v>423.0</v>
      </c>
      <c r="E60" s="3" t="s">
        <v>142</v>
      </c>
      <c r="F60" s="3" t="s">
        <v>60</v>
      </c>
      <c r="G60" s="36">
        <v>5.5</v>
      </c>
      <c r="H60" s="35">
        <v>1.0</v>
      </c>
      <c r="I60" s="37">
        <v>0.8895833333333333</v>
      </c>
      <c r="J60" s="37">
        <v>0.9027777777777778</v>
      </c>
      <c r="K60" s="38">
        <f t="shared" si="1"/>
        <v>0.01319444444</v>
      </c>
      <c r="L60" s="39" t="str">
        <f t="shared" si="2"/>
        <v>Evening</v>
      </c>
      <c r="M60" s="39" t="str">
        <f t="array" ref="M60">XLOOKUP(D60,'Category dict'!$B$1:$B$4,'Category dict'!$A$1:$A$4,0,0,1)</f>
        <v>Business</v>
      </c>
      <c r="N60" s="39" t="str">
        <f>VLOOKUP(H60,'Purpose dict'!$A$1:$B$12,2,0)</f>
        <v>Meal/Entertain</v>
      </c>
    </row>
    <row r="61" hidden="1">
      <c r="A61" s="3" t="s">
        <v>144</v>
      </c>
      <c r="B61" s="34">
        <v>42399.68125</v>
      </c>
      <c r="C61" s="34">
        <v>42399.68958333333</v>
      </c>
      <c r="D61" s="35">
        <v>423.0</v>
      </c>
      <c r="E61" s="3" t="s">
        <v>60</v>
      </c>
      <c r="F61" s="3" t="s">
        <v>142</v>
      </c>
      <c r="G61" s="36">
        <v>5.7</v>
      </c>
      <c r="H61" s="35">
        <v>2.0</v>
      </c>
      <c r="I61" s="37">
        <v>0.68125</v>
      </c>
      <c r="J61" s="37">
        <v>0.6895833333333333</v>
      </c>
      <c r="K61" s="38">
        <f t="shared" si="1"/>
        <v>0.008333333333</v>
      </c>
      <c r="L61" s="39" t="str">
        <f t="shared" si="2"/>
        <v>Day</v>
      </c>
      <c r="M61" s="39" t="str">
        <f t="array" ref="M61">XLOOKUP(D61,'Category dict'!$B$1:$B$4,'Category dict'!$A$1:$A$4,0,0,1)</f>
        <v>Business</v>
      </c>
      <c r="N61" s="39" t="str">
        <f>VLOOKUP(H61,'Purpose dict'!$A$1:$B$12,2,0)</f>
        <v>Errand/Supplies</v>
      </c>
    </row>
    <row r="62" hidden="1">
      <c r="A62" s="3" t="s">
        <v>145</v>
      </c>
      <c r="B62" s="34">
        <v>42399.75625</v>
      </c>
      <c r="C62" s="34">
        <v>42399.76666666667</v>
      </c>
      <c r="D62" s="35">
        <v>423.0</v>
      </c>
      <c r="E62" s="3" t="s">
        <v>142</v>
      </c>
      <c r="F62" s="3" t="s">
        <v>60</v>
      </c>
      <c r="G62" s="36">
        <v>5.7</v>
      </c>
      <c r="H62" s="35">
        <v>4.0</v>
      </c>
      <c r="I62" s="37">
        <v>0.75625</v>
      </c>
      <c r="J62" s="37">
        <v>0.7666666666666667</v>
      </c>
      <c r="K62" s="38">
        <f t="shared" si="1"/>
        <v>0.01041666667</v>
      </c>
      <c r="L62" s="39" t="str">
        <f t="shared" si="2"/>
        <v>Evening</v>
      </c>
      <c r="M62" s="39" t="str">
        <f t="array" ref="M62">XLOOKUP(D62,'Category dict'!$B$1:$B$4,'Category dict'!$A$1:$A$4,0,0,1)</f>
        <v>Business</v>
      </c>
      <c r="N62" s="39" t="str">
        <f>VLOOKUP(H62,'Purpose dict'!$A$1:$B$12,2,0)</f>
        <v>Customer Visit</v>
      </c>
    </row>
    <row r="63" hidden="1">
      <c r="A63" s="3" t="s">
        <v>146</v>
      </c>
      <c r="B63" s="34">
        <v>42401.44097222222</v>
      </c>
      <c r="C63" s="34">
        <v>42401.46875</v>
      </c>
      <c r="D63" s="35">
        <v>423.0</v>
      </c>
      <c r="E63" s="3" t="s">
        <v>60</v>
      </c>
      <c r="F63" s="3" t="s">
        <v>147</v>
      </c>
      <c r="G63" s="36">
        <v>19.4</v>
      </c>
      <c r="H63" s="35">
        <v>4.0</v>
      </c>
      <c r="I63" s="37">
        <v>0.4409722222222222</v>
      </c>
      <c r="J63" s="37">
        <v>0.46875</v>
      </c>
      <c r="K63" s="38">
        <f t="shared" si="1"/>
        <v>0.02777777778</v>
      </c>
      <c r="L63" s="39" t="str">
        <f t="shared" si="2"/>
        <v>Morning</v>
      </c>
      <c r="M63" s="39" t="str">
        <f t="array" ref="M63">XLOOKUP(D63,'Category dict'!$B$1:$B$4,'Category dict'!$A$1:$A$4,0,0,1)</f>
        <v>Business</v>
      </c>
      <c r="N63" s="39" t="str">
        <f>VLOOKUP(H63,'Purpose dict'!$A$1:$B$12,2,0)</f>
        <v>Customer Visit</v>
      </c>
    </row>
    <row r="64" hidden="1">
      <c r="A64" s="3" t="s">
        <v>148</v>
      </c>
      <c r="B64" s="34">
        <v>42401.506944444445</v>
      </c>
      <c r="C64" s="34">
        <v>42401.529861111114</v>
      </c>
      <c r="D64" s="35">
        <v>423.0</v>
      </c>
      <c r="E64" s="3" t="s">
        <v>147</v>
      </c>
      <c r="F64" s="3" t="s">
        <v>60</v>
      </c>
      <c r="G64" s="36">
        <v>23.3</v>
      </c>
      <c r="H64" s="35">
        <v>4.0</v>
      </c>
      <c r="I64" s="37">
        <v>0.5069444444444444</v>
      </c>
      <c r="J64" s="37">
        <v>0.5298611111111111</v>
      </c>
      <c r="K64" s="38">
        <f t="shared" si="1"/>
        <v>0.02291666667</v>
      </c>
      <c r="L64" s="39" t="str">
        <f t="shared" si="2"/>
        <v>Day</v>
      </c>
      <c r="M64" s="39" t="str">
        <f t="array" ref="M64">XLOOKUP(D64,'Category dict'!$B$1:$B$4,'Category dict'!$A$1:$A$4,0,0,1)</f>
        <v>Business</v>
      </c>
      <c r="N64" s="39" t="str">
        <f>VLOOKUP(H64,'Purpose dict'!$A$1:$B$12,2,0)</f>
        <v>Customer Visit</v>
      </c>
    </row>
    <row r="65" hidden="1">
      <c r="A65" s="3" t="s">
        <v>149</v>
      </c>
      <c r="B65" s="34">
        <v>42401.53888888889</v>
      </c>
      <c r="C65" s="34">
        <v>42401.54652777778</v>
      </c>
      <c r="D65" s="35">
        <v>423.0</v>
      </c>
      <c r="E65" s="3" t="s">
        <v>150</v>
      </c>
      <c r="F65" s="3" t="s">
        <v>106</v>
      </c>
      <c r="G65" s="36">
        <v>3.9</v>
      </c>
      <c r="H65" s="35">
        <v>1.0</v>
      </c>
      <c r="I65" s="37">
        <v>0.5388888888888889</v>
      </c>
      <c r="J65" s="37">
        <v>0.5465277777777777</v>
      </c>
      <c r="K65" s="38">
        <f t="shared" si="1"/>
        <v>0.007638888889</v>
      </c>
      <c r="L65" s="39" t="str">
        <f t="shared" si="2"/>
        <v>Day</v>
      </c>
      <c r="M65" s="39" t="str">
        <f t="array" ref="M65">XLOOKUP(D65,'Category dict'!$B$1:$B$4,'Category dict'!$A$1:$A$4,0,0,1)</f>
        <v>Business</v>
      </c>
      <c r="N65" s="39" t="str">
        <f>VLOOKUP(H65,'Purpose dict'!$A$1:$B$12,2,0)</f>
        <v>Meal/Entertain</v>
      </c>
    </row>
    <row r="66" hidden="1">
      <c r="A66" s="3" t="s">
        <v>151</v>
      </c>
      <c r="B66" s="34">
        <v>42402.544444444444</v>
      </c>
      <c r="C66" s="34">
        <v>42402.55763888889</v>
      </c>
      <c r="D66" s="35">
        <v>423.0</v>
      </c>
      <c r="E66" s="3" t="s">
        <v>106</v>
      </c>
      <c r="F66" s="3" t="s">
        <v>152</v>
      </c>
      <c r="G66" s="36">
        <v>8.3</v>
      </c>
      <c r="H66" s="35">
        <v>3.0</v>
      </c>
      <c r="I66" s="37">
        <v>0.5444444444444444</v>
      </c>
      <c r="J66" s="37">
        <v>0.5576388888888889</v>
      </c>
      <c r="K66" s="38">
        <f t="shared" si="1"/>
        <v>0.01319444444</v>
      </c>
      <c r="L66" s="39" t="str">
        <f t="shared" si="2"/>
        <v>Day</v>
      </c>
      <c r="M66" s="39" t="str">
        <f t="array" ref="M66">XLOOKUP(D66,'Category dict'!$B$1:$B$4,'Category dict'!$A$1:$A$4,0,0,1)</f>
        <v>Business</v>
      </c>
      <c r="N66" s="39" t="str">
        <f>VLOOKUP(H66,'Purpose dict'!$A$1:$B$12,2,0)</f>
        <v>Meeting</v>
      </c>
    </row>
    <row r="67" hidden="1">
      <c r="A67" s="3" t="s">
        <v>153</v>
      </c>
      <c r="B67" s="34">
        <v>42402.57708333333</v>
      </c>
      <c r="C67" s="34">
        <v>42402.5875</v>
      </c>
      <c r="D67" s="35">
        <v>423.0</v>
      </c>
      <c r="E67" s="3" t="s">
        <v>60</v>
      </c>
      <c r="F67" s="3" t="s">
        <v>60</v>
      </c>
      <c r="G67" s="36">
        <v>6.0</v>
      </c>
      <c r="H67" s="35">
        <v>2.0</v>
      </c>
      <c r="I67" s="37">
        <v>0.5770833333333333</v>
      </c>
      <c r="J67" s="37">
        <v>0.5875</v>
      </c>
      <c r="K67" s="38">
        <f t="shared" si="1"/>
        <v>0.01041666667</v>
      </c>
      <c r="L67" s="39" t="str">
        <f t="shared" si="2"/>
        <v>Day</v>
      </c>
      <c r="M67" s="39" t="str">
        <f t="array" ref="M67">XLOOKUP(D67,'Category dict'!$B$1:$B$4,'Category dict'!$A$1:$A$4,0,0,1)</f>
        <v>Business</v>
      </c>
      <c r="N67" s="39" t="str">
        <f>VLOOKUP(H67,'Purpose dict'!$A$1:$B$12,2,0)</f>
        <v>Errand/Supplies</v>
      </c>
    </row>
    <row r="68" hidden="1">
      <c r="A68" s="3" t="s">
        <v>154</v>
      </c>
      <c r="B68" s="34">
        <v>42402.60972222222</v>
      </c>
      <c r="C68" s="34">
        <v>42402.6125</v>
      </c>
      <c r="D68" s="35">
        <v>423.0</v>
      </c>
      <c r="E68" s="3" t="s">
        <v>60</v>
      </c>
      <c r="F68" s="3" t="s">
        <v>60</v>
      </c>
      <c r="G68" s="36">
        <v>1.6</v>
      </c>
      <c r="H68" s="35">
        <v>2.0</v>
      </c>
      <c r="I68" s="37">
        <v>0.6097222222222223</v>
      </c>
      <c r="J68" s="37">
        <v>0.6125</v>
      </c>
      <c r="K68" s="38">
        <f t="shared" si="1"/>
        <v>0.002777777778</v>
      </c>
      <c r="L68" s="39" t="str">
        <f t="shared" si="2"/>
        <v>Day</v>
      </c>
      <c r="M68" s="39" t="str">
        <f t="array" ref="M68">XLOOKUP(D68,'Category dict'!$B$1:$B$4,'Category dict'!$A$1:$A$4,0,0,1)</f>
        <v>Business</v>
      </c>
      <c r="N68" s="39" t="str">
        <f>VLOOKUP(H68,'Purpose dict'!$A$1:$B$12,2,0)</f>
        <v>Errand/Supplies</v>
      </c>
    </row>
    <row r="69" hidden="1">
      <c r="A69" s="3" t="s">
        <v>155</v>
      </c>
      <c r="B69" s="34">
        <v>42404.36111111111</v>
      </c>
      <c r="C69" s="34">
        <v>42404.37569444445</v>
      </c>
      <c r="D69" s="35">
        <v>423.0</v>
      </c>
      <c r="E69" s="3" t="s">
        <v>60</v>
      </c>
      <c r="F69" s="3" t="s">
        <v>62</v>
      </c>
      <c r="G69" s="36">
        <v>5.2</v>
      </c>
      <c r="H69" s="35">
        <v>2.0</v>
      </c>
      <c r="I69" s="37">
        <v>0.3611111111111111</v>
      </c>
      <c r="J69" s="37">
        <v>0.37569444444444444</v>
      </c>
      <c r="K69" s="38">
        <f t="shared" si="1"/>
        <v>0.01458333333</v>
      </c>
      <c r="L69" s="39" t="str">
        <f t="shared" si="2"/>
        <v>Morning</v>
      </c>
      <c r="M69" s="39" t="str">
        <f t="array" ref="M69">XLOOKUP(D69,'Category dict'!$B$1:$B$4,'Category dict'!$A$1:$A$4,0,0,1)</f>
        <v>Business</v>
      </c>
      <c r="N69" s="39" t="str">
        <f>VLOOKUP(H69,'Purpose dict'!$A$1:$B$12,2,0)</f>
        <v>Errand/Supplies</v>
      </c>
    </row>
    <row r="70" hidden="1">
      <c r="A70" s="3" t="s">
        <v>156</v>
      </c>
      <c r="B70" s="34">
        <v>42404.40069444444</v>
      </c>
      <c r="C70" s="34">
        <v>42404.42291666667</v>
      </c>
      <c r="D70" s="35">
        <v>423.0</v>
      </c>
      <c r="E70" s="3" t="s">
        <v>62</v>
      </c>
      <c r="F70" s="3" t="s">
        <v>60</v>
      </c>
      <c r="G70" s="36">
        <v>9.7</v>
      </c>
      <c r="H70" s="35">
        <v>1.0</v>
      </c>
      <c r="I70" s="37">
        <v>0.40069444444444446</v>
      </c>
      <c r="J70" s="37">
        <v>0.42291666666666666</v>
      </c>
      <c r="K70" s="38">
        <f t="shared" si="1"/>
        <v>0.02222222222</v>
      </c>
      <c r="L70" s="39" t="str">
        <f t="shared" si="2"/>
        <v>Morning</v>
      </c>
      <c r="M70" s="39" t="str">
        <f t="array" ref="M70">XLOOKUP(D70,'Category dict'!$B$1:$B$4,'Category dict'!$A$1:$A$4,0,0,1)</f>
        <v>Business</v>
      </c>
      <c r="N70" s="39" t="str">
        <f>VLOOKUP(H70,'Purpose dict'!$A$1:$B$12,2,0)</f>
        <v>Meal/Entertain</v>
      </c>
    </row>
    <row r="71" hidden="1">
      <c r="A71" s="3" t="s">
        <v>157</v>
      </c>
      <c r="B71" s="34">
        <v>42404.43472222222</v>
      </c>
      <c r="C71" s="34">
        <v>42404.438888888886</v>
      </c>
      <c r="D71" s="35">
        <v>423.0</v>
      </c>
      <c r="E71" s="3" t="s">
        <v>60</v>
      </c>
      <c r="F71" s="3" t="s">
        <v>60</v>
      </c>
      <c r="G71" s="36">
        <v>1.6</v>
      </c>
      <c r="H71" s="35">
        <v>1.0</v>
      </c>
      <c r="I71" s="37">
        <v>0.43472222222222223</v>
      </c>
      <c r="J71" s="37">
        <v>0.4388888888888889</v>
      </c>
      <c r="K71" s="38">
        <f t="shared" si="1"/>
        <v>0.004166666667</v>
      </c>
      <c r="L71" s="39" t="str">
        <f t="shared" si="2"/>
        <v>Morning</v>
      </c>
      <c r="M71" s="39" t="str">
        <f t="array" ref="M71">XLOOKUP(D71,'Category dict'!$B$1:$B$4,'Category dict'!$A$1:$A$4,0,0,1)</f>
        <v>Business</v>
      </c>
      <c r="N71" s="39" t="str">
        <f>VLOOKUP(H71,'Purpose dict'!$A$1:$B$12,2,0)</f>
        <v>Meal/Entertain</v>
      </c>
    </row>
    <row r="72">
      <c r="A72" s="3" t="s">
        <v>158</v>
      </c>
      <c r="B72" s="34">
        <v>42404.665972222225</v>
      </c>
      <c r="C72" s="34">
        <v>42404.66875</v>
      </c>
      <c r="D72" s="35">
        <v>423.0</v>
      </c>
      <c r="E72" s="3" t="s">
        <v>60</v>
      </c>
      <c r="F72" s="3" t="s">
        <v>60</v>
      </c>
      <c r="G72" s="40">
        <v>1.1</v>
      </c>
      <c r="H72" s="35">
        <v>1.0</v>
      </c>
      <c r="I72" s="37">
        <v>0.6659722222222222</v>
      </c>
      <c r="J72" s="37">
        <v>0.66875</v>
      </c>
      <c r="K72" s="38">
        <f t="shared" si="1"/>
        <v>0.002777777778</v>
      </c>
      <c r="L72" s="39" t="str">
        <f t="shared" si="2"/>
        <v>Day</v>
      </c>
      <c r="M72" s="39" t="str">
        <f t="array" ref="M72">XLOOKUP(D72,'Category dict'!$B$1:$B$4,'Category dict'!$A$1:$A$4,0,0,1)</f>
        <v>Business</v>
      </c>
      <c r="N72" s="39" t="str">
        <f>VLOOKUP(H72,'Purpose dict'!$A$1:$B$12,2,0)</f>
        <v>Meal/Entertain</v>
      </c>
    </row>
    <row r="73" hidden="1">
      <c r="A73" s="3" t="s">
        <v>159</v>
      </c>
      <c r="B73" s="34">
        <v>42404.69097222222</v>
      </c>
      <c r="C73" s="34">
        <v>42404.69375</v>
      </c>
      <c r="D73" s="35">
        <v>423.0</v>
      </c>
      <c r="E73" s="3" t="s">
        <v>60</v>
      </c>
      <c r="F73" s="3" t="s">
        <v>60</v>
      </c>
      <c r="G73" s="36">
        <v>1.6</v>
      </c>
      <c r="H73" s="35">
        <v>1.0</v>
      </c>
      <c r="I73" s="37">
        <v>0.6909722222222222</v>
      </c>
      <c r="J73" s="37">
        <v>0.69375</v>
      </c>
      <c r="K73" s="38">
        <f t="shared" si="1"/>
        <v>0.002777777778</v>
      </c>
      <c r="L73" s="39" t="str">
        <f t="shared" si="2"/>
        <v>Day</v>
      </c>
      <c r="M73" s="39" t="str">
        <f t="array" ref="M73">XLOOKUP(D73,'Category dict'!$B$1:$B$4,'Category dict'!$A$1:$A$4,0,0,1)</f>
        <v>Business</v>
      </c>
      <c r="N73" s="39" t="str">
        <f>VLOOKUP(H73,'Purpose dict'!$A$1:$B$12,2,0)</f>
        <v>Meal/Entertain</v>
      </c>
    </row>
    <row r="74" hidden="1">
      <c r="A74" s="3" t="s">
        <v>160</v>
      </c>
      <c r="B74" s="34">
        <v>42404.75277777778</v>
      </c>
      <c r="C74" s="34">
        <v>42404.771527777775</v>
      </c>
      <c r="D74" s="35">
        <v>423.0</v>
      </c>
      <c r="E74" s="3" t="s">
        <v>106</v>
      </c>
      <c r="F74" s="3" t="s">
        <v>161</v>
      </c>
      <c r="G74" s="36">
        <v>9.0</v>
      </c>
      <c r="H74" s="35">
        <v>3.0</v>
      </c>
      <c r="I74" s="37">
        <v>0.7527777777777778</v>
      </c>
      <c r="J74" s="37">
        <v>0.7715277777777778</v>
      </c>
      <c r="K74" s="38">
        <f t="shared" si="1"/>
        <v>0.01875</v>
      </c>
      <c r="L74" s="39" t="str">
        <f t="shared" si="2"/>
        <v>Evening</v>
      </c>
      <c r="M74" s="39" t="str">
        <f t="array" ref="M74">XLOOKUP(D74,'Category dict'!$B$1:$B$4,'Category dict'!$A$1:$A$4,0,0,1)</f>
        <v>Business</v>
      </c>
      <c r="N74" s="39" t="str">
        <f>VLOOKUP(H74,'Purpose dict'!$A$1:$B$12,2,0)</f>
        <v>Meeting</v>
      </c>
    </row>
    <row r="75" hidden="1">
      <c r="A75" s="3" t="s">
        <v>162</v>
      </c>
      <c r="B75" s="34">
        <v>42404.85833333333</v>
      </c>
      <c r="C75" s="34">
        <v>42404.87152777778</v>
      </c>
      <c r="D75" s="35">
        <v>423.0</v>
      </c>
      <c r="E75" s="3" t="s">
        <v>60</v>
      </c>
      <c r="F75" s="3" t="s">
        <v>60</v>
      </c>
      <c r="G75" s="36">
        <v>7.7</v>
      </c>
      <c r="H75" s="35">
        <v>3.0</v>
      </c>
      <c r="I75" s="37">
        <v>0.8583333333333333</v>
      </c>
      <c r="J75" s="37">
        <v>0.8715277777777778</v>
      </c>
      <c r="K75" s="38">
        <f t="shared" si="1"/>
        <v>0.01319444444</v>
      </c>
      <c r="L75" s="39" t="str">
        <f t="shared" si="2"/>
        <v>Evening</v>
      </c>
      <c r="M75" s="39" t="str">
        <f t="array" ref="M75">XLOOKUP(D75,'Category dict'!$B$1:$B$4,'Category dict'!$A$1:$A$4,0,0,1)</f>
        <v>Business</v>
      </c>
      <c r="N75" s="39" t="str">
        <f>VLOOKUP(H75,'Purpose dict'!$A$1:$B$12,2,0)</f>
        <v>Meeting</v>
      </c>
    </row>
    <row r="76" hidden="1">
      <c r="A76" s="3" t="s">
        <v>163</v>
      </c>
      <c r="B76" s="34">
        <v>42405.49097222222</v>
      </c>
      <c r="C76" s="34">
        <v>42405.50486111111</v>
      </c>
      <c r="D76" s="35">
        <v>423.0</v>
      </c>
      <c r="E76" s="3" t="s">
        <v>60</v>
      </c>
      <c r="F76" s="3" t="s">
        <v>101</v>
      </c>
      <c r="G76" s="36">
        <v>10.4</v>
      </c>
      <c r="H76" s="35">
        <v>3.0</v>
      </c>
      <c r="I76" s="37">
        <v>0.4909722222222222</v>
      </c>
      <c r="J76" s="37">
        <v>0.5048611111111111</v>
      </c>
      <c r="K76" s="38">
        <f t="shared" si="1"/>
        <v>0.01388888889</v>
      </c>
      <c r="L76" s="39" t="str">
        <f t="shared" si="2"/>
        <v>Morning</v>
      </c>
      <c r="M76" s="39" t="str">
        <f t="array" ref="M76">XLOOKUP(D76,'Category dict'!$B$1:$B$4,'Category dict'!$A$1:$A$4,0,0,1)</f>
        <v>Business</v>
      </c>
      <c r="N76" s="39" t="str">
        <f>VLOOKUP(H76,'Purpose dict'!$A$1:$B$12,2,0)</f>
        <v>Meeting</v>
      </c>
    </row>
    <row r="77" hidden="1">
      <c r="A77" s="3" t="s">
        <v>164</v>
      </c>
      <c r="B77" s="34">
        <v>42405.55694444444</v>
      </c>
      <c r="C77" s="34">
        <v>42405.57013888889</v>
      </c>
      <c r="D77" s="35">
        <v>423.0</v>
      </c>
      <c r="E77" s="3" t="s">
        <v>101</v>
      </c>
      <c r="F77" s="3" t="s">
        <v>60</v>
      </c>
      <c r="G77" s="36">
        <v>10.4</v>
      </c>
      <c r="H77" s="35">
        <v>3.0</v>
      </c>
      <c r="I77" s="37">
        <v>0.5569444444444445</v>
      </c>
      <c r="J77" s="37">
        <v>0.5701388888888889</v>
      </c>
      <c r="K77" s="38">
        <f t="shared" si="1"/>
        <v>0.01319444444</v>
      </c>
      <c r="L77" s="39" t="str">
        <f t="shared" si="2"/>
        <v>Day</v>
      </c>
      <c r="M77" s="39" t="str">
        <f t="array" ref="M77">XLOOKUP(D77,'Category dict'!$B$1:$B$4,'Category dict'!$A$1:$A$4,0,0,1)</f>
        <v>Business</v>
      </c>
      <c r="N77" s="39" t="str">
        <f>VLOOKUP(H77,'Purpose dict'!$A$1:$B$12,2,0)</f>
        <v>Meeting</v>
      </c>
    </row>
    <row r="78" hidden="1">
      <c r="A78" s="3" t="s">
        <v>165</v>
      </c>
      <c r="B78" s="34">
        <v>42406.680555555555</v>
      </c>
      <c r="C78" s="34">
        <v>42406.70347222222</v>
      </c>
      <c r="D78" s="35">
        <v>423.0</v>
      </c>
      <c r="E78" s="3" t="s">
        <v>60</v>
      </c>
      <c r="F78" s="3" t="s">
        <v>111</v>
      </c>
      <c r="G78" s="36">
        <v>11.4</v>
      </c>
      <c r="H78" s="35">
        <v>6.0</v>
      </c>
      <c r="I78" s="37">
        <v>0.6805555555555556</v>
      </c>
      <c r="J78" s="37">
        <v>0.7034722222222223</v>
      </c>
      <c r="K78" s="38">
        <f t="shared" si="1"/>
        <v>0.02291666667</v>
      </c>
      <c r="L78" s="39" t="str">
        <f t="shared" si="2"/>
        <v>Day</v>
      </c>
      <c r="M78" s="39" t="str">
        <f t="array" ref="M78">XLOOKUP(D78,'Category dict'!$B$1:$B$4,'Category dict'!$A$1:$A$4,0,0,1)</f>
        <v>Business</v>
      </c>
      <c r="N78" s="39" t="str">
        <f>VLOOKUP(H78,'Purpose dict'!$A$1:$B$12,2,0)</f>
        <v>Between Offices</v>
      </c>
    </row>
    <row r="79" hidden="1">
      <c r="A79" s="3" t="s">
        <v>166</v>
      </c>
      <c r="B79" s="34">
        <v>42406.78958333333</v>
      </c>
      <c r="C79" s="34">
        <v>42406.80625</v>
      </c>
      <c r="D79" s="35">
        <v>423.0</v>
      </c>
      <c r="E79" s="3" t="s">
        <v>111</v>
      </c>
      <c r="F79" s="3" t="s">
        <v>60</v>
      </c>
      <c r="G79" s="36">
        <v>9.0</v>
      </c>
      <c r="H79" s="35">
        <v>2.0</v>
      </c>
      <c r="I79" s="37">
        <v>0.7895833333333333</v>
      </c>
      <c r="J79" s="37">
        <v>0.80625</v>
      </c>
      <c r="K79" s="38">
        <f t="shared" si="1"/>
        <v>0.01666666667</v>
      </c>
      <c r="L79" s="39" t="str">
        <f t="shared" si="2"/>
        <v>Evening</v>
      </c>
      <c r="M79" s="39" t="str">
        <f t="array" ref="M79">XLOOKUP(D79,'Category dict'!$B$1:$B$4,'Category dict'!$A$1:$A$4,0,0,1)</f>
        <v>Business</v>
      </c>
      <c r="N79" s="39" t="str">
        <f>VLOOKUP(H79,'Purpose dict'!$A$1:$B$12,2,0)</f>
        <v>Errand/Supplies</v>
      </c>
    </row>
    <row r="80" hidden="1">
      <c r="A80" s="3" t="s">
        <v>167</v>
      </c>
      <c r="B80" s="34">
        <v>42406.811111111114</v>
      </c>
      <c r="C80" s="34">
        <v>42406.81736111111</v>
      </c>
      <c r="D80" s="35">
        <v>423.0</v>
      </c>
      <c r="E80" s="3" t="s">
        <v>168</v>
      </c>
      <c r="F80" s="3" t="s">
        <v>106</v>
      </c>
      <c r="G80" s="36">
        <v>3.2</v>
      </c>
      <c r="H80" s="35">
        <v>1.0</v>
      </c>
      <c r="I80" s="37">
        <v>0.8111111111111111</v>
      </c>
      <c r="J80" s="37">
        <v>0.8173611111111111</v>
      </c>
      <c r="K80" s="38">
        <f t="shared" si="1"/>
        <v>0.00625</v>
      </c>
      <c r="L80" s="39" t="str">
        <f t="shared" si="2"/>
        <v>Evening</v>
      </c>
      <c r="M80" s="39" t="str">
        <f t="array" ref="M80">XLOOKUP(D80,'Category dict'!$B$1:$B$4,'Category dict'!$A$1:$A$4,0,0,1)</f>
        <v>Business</v>
      </c>
      <c r="N80" s="39" t="str">
        <f>VLOOKUP(H80,'Purpose dict'!$A$1:$B$12,2,0)</f>
        <v>Meal/Entertain</v>
      </c>
    </row>
    <row r="81" hidden="1">
      <c r="A81" s="3" t="s">
        <v>169</v>
      </c>
      <c r="B81" s="34">
        <v>42407.700694444444</v>
      </c>
      <c r="C81" s="34">
        <v>42407.709027777775</v>
      </c>
      <c r="D81" s="35">
        <v>423.0</v>
      </c>
      <c r="E81" s="3" t="s">
        <v>60</v>
      </c>
      <c r="F81" s="3" t="s">
        <v>142</v>
      </c>
      <c r="G81" s="36">
        <v>5.6</v>
      </c>
      <c r="H81" s="35">
        <v>2.0</v>
      </c>
      <c r="I81" s="37">
        <v>0.7006944444444444</v>
      </c>
      <c r="J81" s="37">
        <v>0.7090277777777778</v>
      </c>
      <c r="K81" s="38">
        <f t="shared" si="1"/>
        <v>0.008333333333</v>
      </c>
      <c r="L81" s="39" t="str">
        <f t="shared" si="2"/>
        <v>Day</v>
      </c>
      <c r="M81" s="39" t="str">
        <f t="array" ref="M81">XLOOKUP(D81,'Category dict'!$B$1:$B$4,'Category dict'!$A$1:$A$4,0,0,1)</f>
        <v>Business</v>
      </c>
      <c r="N81" s="39" t="str">
        <f>VLOOKUP(H81,'Purpose dict'!$A$1:$B$12,2,0)</f>
        <v>Errand/Supplies</v>
      </c>
    </row>
    <row r="82" hidden="1">
      <c r="A82" s="3" t="s">
        <v>170</v>
      </c>
      <c r="B82" s="34">
        <v>42407.75208333333</v>
      </c>
      <c r="C82" s="34">
        <v>42407.76180555556</v>
      </c>
      <c r="D82" s="35">
        <v>423.0</v>
      </c>
      <c r="E82" s="3" t="s">
        <v>142</v>
      </c>
      <c r="F82" s="3" t="s">
        <v>60</v>
      </c>
      <c r="G82" s="36">
        <v>5.7</v>
      </c>
      <c r="H82" s="35">
        <v>4.0</v>
      </c>
      <c r="I82" s="37">
        <v>0.7520833333333333</v>
      </c>
      <c r="J82" s="37">
        <v>0.7618055555555555</v>
      </c>
      <c r="K82" s="38">
        <f t="shared" si="1"/>
        <v>0.009722222222</v>
      </c>
      <c r="L82" s="39" t="str">
        <f t="shared" si="2"/>
        <v>Evening</v>
      </c>
      <c r="M82" s="39" t="str">
        <f t="array" ref="M82">XLOOKUP(D82,'Category dict'!$B$1:$B$4,'Category dict'!$A$1:$A$4,0,0,1)</f>
        <v>Business</v>
      </c>
      <c r="N82" s="39" t="str">
        <f>VLOOKUP(H82,'Purpose dict'!$A$1:$B$12,2,0)</f>
        <v>Customer Visit</v>
      </c>
    </row>
    <row r="83" hidden="1">
      <c r="A83" s="3" t="s">
        <v>171</v>
      </c>
      <c r="B83" s="34">
        <v>42407.777083333334</v>
      </c>
      <c r="C83" s="34">
        <v>42407.78680555556</v>
      </c>
      <c r="D83" s="35">
        <v>423.0</v>
      </c>
      <c r="E83" s="3" t="s">
        <v>60</v>
      </c>
      <c r="F83" s="3" t="s">
        <v>62</v>
      </c>
      <c r="G83" s="36">
        <v>6.1</v>
      </c>
      <c r="H83" s="35">
        <v>5.0</v>
      </c>
      <c r="I83" s="37">
        <v>0.7770833333333333</v>
      </c>
      <c r="J83" s="37">
        <v>0.7868055555555555</v>
      </c>
      <c r="K83" s="38">
        <f t="shared" si="1"/>
        <v>0.009722222222</v>
      </c>
      <c r="L83" s="39" t="str">
        <f t="shared" si="2"/>
        <v>Evening</v>
      </c>
      <c r="M83" s="39" t="str">
        <f t="array" ref="M83">XLOOKUP(D83,'Category dict'!$B$1:$B$4,'Category dict'!$A$1:$A$4,0,0,1)</f>
        <v>Business</v>
      </c>
      <c r="N83" s="39" t="str">
        <f>VLOOKUP(H83,'Purpose dict'!$A$1:$B$12,2,0)</f>
        <v>Temporary Site</v>
      </c>
    </row>
    <row r="84" hidden="1">
      <c r="A84" s="3" t="s">
        <v>172</v>
      </c>
      <c r="B84" s="34">
        <v>42407.84861111111</v>
      </c>
      <c r="C84" s="34">
        <v>42407.86111111111</v>
      </c>
      <c r="D84" s="35">
        <v>423.0</v>
      </c>
      <c r="E84" s="3" t="s">
        <v>62</v>
      </c>
      <c r="F84" s="3" t="s">
        <v>60</v>
      </c>
      <c r="G84" s="36">
        <v>6.1</v>
      </c>
      <c r="H84" s="35">
        <v>3.0</v>
      </c>
      <c r="I84" s="37">
        <v>0.8486111111111111</v>
      </c>
      <c r="J84" s="37">
        <v>0.8611111111111112</v>
      </c>
      <c r="K84" s="38">
        <f t="shared" si="1"/>
        <v>0.0125</v>
      </c>
      <c r="L84" s="39" t="str">
        <f t="shared" si="2"/>
        <v>Evening</v>
      </c>
      <c r="M84" s="39" t="str">
        <f t="array" ref="M84">XLOOKUP(D84,'Category dict'!$B$1:$B$4,'Category dict'!$A$1:$A$4,0,0,1)</f>
        <v>Business</v>
      </c>
      <c r="N84" s="39" t="str">
        <f>VLOOKUP(H84,'Purpose dict'!$A$1:$B$12,2,0)</f>
        <v>Meeting</v>
      </c>
    </row>
    <row r="85" hidden="1">
      <c r="A85" s="3" t="s">
        <v>173</v>
      </c>
      <c r="B85" s="34">
        <v>42408.53958333333</v>
      </c>
      <c r="C85" s="34">
        <v>42408.54722222222</v>
      </c>
      <c r="D85" s="35">
        <v>423.0</v>
      </c>
      <c r="E85" s="3" t="s">
        <v>106</v>
      </c>
      <c r="F85" s="3" t="s">
        <v>168</v>
      </c>
      <c r="G85" s="36">
        <v>4.3</v>
      </c>
      <c r="H85" s="35">
        <v>1.0</v>
      </c>
      <c r="I85" s="37">
        <v>0.5395833333333333</v>
      </c>
      <c r="J85" s="37">
        <v>0.5472222222222223</v>
      </c>
      <c r="K85" s="38">
        <f t="shared" si="1"/>
        <v>0.007638888889</v>
      </c>
      <c r="L85" s="39" t="str">
        <f t="shared" si="2"/>
        <v>Day</v>
      </c>
      <c r="M85" s="39" t="str">
        <f t="array" ref="M85">XLOOKUP(D85,'Category dict'!$B$1:$B$4,'Category dict'!$A$1:$A$4,0,0,1)</f>
        <v>Business</v>
      </c>
      <c r="N85" s="39" t="str">
        <f>VLOOKUP(H85,'Purpose dict'!$A$1:$B$12,2,0)</f>
        <v>Meal/Entertain</v>
      </c>
    </row>
    <row r="86" hidden="1">
      <c r="A86" s="3" t="s">
        <v>174</v>
      </c>
      <c r="B86" s="34">
        <v>42408.583333333336</v>
      </c>
      <c r="C86" s="34">
        <v>42408.59027777778</v>
      </c>
      <c r="D86" s="35">
        <v>423.0</v>
      </c>
      <c r="E86" s="3" t="s">
        <v>168</v>
      </c>
      <c r="F86" s="3" t="s">
        <v>106</v>
      </c>
      <c r="G86" s="36">
        <v>2.7</v>
      </c>
      <c r="H86" s="35">
        <v>1.0</v>
      </c>
      <c r="I86" s="37">
        <v>0.5833333333333334</v>
      </c>
      <c r="J86" s="37">
        <v>0.5902777777777778</v>
      </c>
      <c r="K86" s="38">
        <f t="shared" si="1"/>
        <v>0.006944444444</v>
      </c>
      <c r="L86" s="39" t="str">
        <f t="shared" si="2"/>
        <v>Day</v>
      </c>
      <c r="M86" s="39" t="str">
        <f t="array" ref="M86">XLOOKUP(D86,'Category dict'!$B$1:$B$4,'Category dict'!$A$1:$A$4,0,0,1)</f>
        <v>Business</v>
      </c>
      <c r="N86" s="39" t="str">
        <f>VLOOKUP(H86,'Purpose dict'!$A$1:$B$12,2,0)</f>
        <v>Meal/Entertain</v>
      </c>
    </row>
    <row r="87" hidden="1">
      <c r="A87" s="3" t="s">
        <v>175</v>
      </c>
      <c r="B87" s="34">
        <v>42409.45416666667</v>
      </c>
      <c r="C87" s="34">
        <v>42409.46319444444</v>
      </c>
      <c r="D87" s="35">
        <v>527.0</v>
      </c>
      <c r="E87" s="3" t="s">
        <v>106</v>
      </c>
      <c r="F87" s="3" t="s">
        <v>150</v>
      </c>
      <c r="G87" s="36">
        <v>5.3</v>
      </c>
      <c r="H87" s="35">
        <v>123.0</v>
      </c>
      <c r="I87" s="37">
        <v>0.45416666666666666</v>
      </c>
      <c r="J87" s="37">
        <v>0.46319444444444446</v>
      </c>
      <c r="K87" s="38">
        <f t="shared" si="1"/>
        <v>0.009027777778</v>
      </c>
      <c r="L87" s="39" t="str">
        <f t="shared" si="2"/>
        <v>Morning</v>
      </c>
      <c r="M87" s="39" t="str">
        <f t="array" ref="M87">XLOOKUP(D87,'Category dict'!$B$1:$B$4,'Category dict'!$A$1:$A$4,0,0,1)</f>
        <v>Personal</v>
      </c>
      <c r="N87" s="39" t="str">
        <f>VLOOKUP(H87,'Purpose dict'!$A$1:$B$12,2,0)</f>
        <v>NOT DEFINED</v>
      </c>
    </row>
    <row r="88" hidden="1">
      <c r="A88" s="3" t="s">
        <v>176</v>
      </c>
      <c r="B88" s="34">
        <v>42409.48819444444</v>
      </c>
      <c r="C88" s="34">
        <v>42409.493055555555</v>
      </c>
      <c r="D88" s="35">
        <v>527.0</v>
      </c>
      <c r="E88" s="3" t="s">
        <v>150</v>
      </c>
      <c r="F88" s="3" t="s">
        <v>177</v>
      </c>
      <c r="G88" s="36">
        <v>3.0</v>
      </c>
      <c r="H88" s="35">
        <v>123.0</v>
      </c>
      <c r="I88" s="37">
        <v>0.48819444444444443</v>
      </c>
      <c r="J88" s="37">
        <v>0.4930555555555556</v>
      </c>
      <c r="K88" s="38">
        <f t="shared" si="1"/>
        <v>0.004861111111</v>
      </c>
      <c r="L88" s="39" t="str">
        <f t="shared" si="2"/>
        <v>Morning</v>
      </c>
      <c r="M88" s="39" t="str">
        <f t="array" ref="M88">XLOOKUP(D88,'Category dict'!$B$1:$B$4,'Category dict'!$A$1:$A$4,0,0,1)</f>
        <v>Personal</v>
      </c>
      <c r="N88" s="39" t="str">
        <f>VLOOKUP(H88,'Purpose dict'!$A$1:$B$12,2,0)</f>
        <v>NOT DEFINED</v>
      </c>
    </row>
    <row r="89" hidden="1">
      <c r="A89" s="3" t="s">
        <v>178</v>
      </c>
      <c r="B89" s="34">
        <v>42409.566666666666</v>
      </c>
      <c r="C89" s="34">
        <v>42409.57777777778</v>
      </c>
      <c r="D89" s="35">
        <v>527.0</v>
      </c>
      <c r="E89" s="3" t="s">
        <v>177</v>
      </c>
      <c r="F89" s="3" t="s">
        <v>179</v>
      </c>
      <c r="G89" s="36">
        <v>5.1</v>
      </c>
      <c r="H89" s="35">
        <v>123.0</v>
      </c>
      <c r="I89" s="37">
        <v>0.5666666666666667</v>
      </c>
      <c r="J89" s="37">
        <v>0.5777777777777777</v>
      </c>
      <c r="K89" s="38">
        <f t="shared" si="1"/>
        <v>0.01111111111</v>
      </c>
      <c r="L89" s="39" t="str">
        <f t="shared" si="2"/>
        <v>Day</v>
      </c>
      <c r="M89" s="39" t="str">
        <f t="array" ref="M89">XLOOKUP(D89,'Category dict'!$B$1:$B$4,'Category dict'!$A$1:$A$4,0,0,1)</f>
        <v>Personal</v>
      </c>
      <c r="N89" s="39" t="str">
        <f>VLOOKUP(H89,'Purpose dict'!$A$1:$B$12,2,0)</f>
        <v>NOT DEFINED</v>
      </c>
    </row>
    <row r="90">
      <c r="A90" s="3" t="s">
        <v>180</v>
      </c>
      <c r="B90" s="34">
        <v>42409.58194444444</v>
      </c>
      <c r="C90" s="34">
        <v>42409.58472222222</v>
      </c>
      <c r="D90" s="35">
        <v>527.0</v>
      </c>
      <c r="E90" s="3" t="s">
        <v>179</v>
      </c>
      <c r="F90" s="3" t="s">
        <v>106</v>
      </c>
      <c r="G90" s="40">
        <v>1.5</v>
      </c>
      <c r="H90" s="35">
        <v>123.0</v>
      </c>
      <c r="I90" s="37">
        <v>0.5819444444444445</v>
      </c>
      <c r="J90" s="37">
        <v>0.5847222222222223</v>
      </c>
      <c r="K90" s="38">
        <f t="shared" si="1"/>
        <v>0.002777777778</v>
      </c>
      <c r="L90" s="39" t="str">
        <f t="shared" si="2"/>
        <v>Day</v>
      </c>
      <c r="M90" s="39" t="str">
        <f t="array" ref="M90">XLOOKUP(D90,'Category dict'!$B$1:$B$4,'Category dict'!$A$1:$A$4,0,0,1)</f>
        <v>Personal</v>
      </c>
      <c r="N90" s="39" t="str">
        <f>VLOOKUP(H90,'Purpose dict'!$A$1:$B$12,2,0)</f>
        <v>NOT DEFINED</v>
      </c>
    </row>
    <row r="91" hidden="1">
      <c r="A91" s="3" t="s">
        <v>181</v>
      </c>
      <c r="B91" s="34">
        <v>42409.788194444445</v>
      </c>
      <c r="C91" s="34">
        <v>42409.799305555556</v>
      </c>
      <c r="D91" s="35">
        <v>423.0</v>
      </c>
      <c r="E91" s="3" t="s">
        <v>60</v>
      </c>
      <c r="F91" s="3" t="s">
        <v>62</v>
      </c>
      <c r="G91" s="36">
        <v>6.1</v>
      </c>
      <c r="H91" s="35">
        <v>123.0</v>
      </c>
      <c r="I91" s="37">
        <v>0.7881944444444444</v>
      </c>
      <c r="J91" s="37">
        <v>0.7993055555555556</v>
      </c>
      <c r="K91" s="38">
        <f t="shared" si="1"/>
        <v>0.01111111111</v>
      </c>
      <c r="L91" s="39" t="str">
        <f t="shared" si="2"/>
        <v>Evening</v>
      </c>
      <c r="M91" s="39" t="str">
        <f t="array" ref="M91">XLOOKUP(D91,'Category dict'!$B$1:$B$4,'Category dict'!$A$1:$A$4,0,0,1)</f>
        <v>Business</v>
      </c>
      <c r="N91" s="39" t="str">
        <f>VLOOKUP(H91,'Purpose dict'!$A$1:$B$12,2,0)</f>
        <v>NOT DEFINED</v>
      </c>
    </row>
    <row r="92" hidden="1">
      <c r="A92" s="3" t="s">
        <v>182</v>
      </c>
      <c r="B92" s="34">
        <v>42409.85</v>
      </c>
      <c r="C92" s="34">
        <v>42409.86111111111</v>
      </c>
      <c r="D92" s="35">
        <v>423.0</v>
      </c>
      <c r="E92" s="3" t="s">
        <v>62</v>
      </c>
      <c r="F92" s="3" t="s">
        <v>60</v>
      </c>
      <c r="G92" s="36">
        <v>6.1</v>
      </c>
      <c r="H92" s="35">
        <v>1.0</v>
      </c>
      <c r="I92" s="37">
        <v>0.85</v>
      </c>
      <c r="J92" s="37">
        <v>0.8611111111111112</v>
      </c>
      <c r="K92" s="38">
        <f t="shared" si="1"/>
        <v>0.01111111111</v>
      </c>
      <c r="L92" s="39" t="str">
        <f t="shared" si="2"/>
        <v>Evening</v>
      </c>
      <c r="M92" s="39" t="str">
        <f t="array" ref="M92">XLOOKUP(D92,'Category dict'!$B$1:$B$4,'Category dict'!$A$1:$A$4,0,0,1)</f>
        <v>Business</v>
      </c>
      <c r="N92" s="39" t="str">
        <f>VLOOKUP(H92,'Purpose dict'!$A$1:$B$12,2,0)</f>
        <v>Meal/Entertain</v>
      </c>
    </row>
    <row r="93" hidden="1">
      <c r="A93" s="3" t="s">
        <v>183</v>
      </c>
      <c r="B93" s="34">
        <v>42411.686111111114</v>
      </c>
      <c r="C93" s="34">
        <v>42411.71527777778</v>
      </c>
      <c r="D93" s="35">
        <v>423.0</v>
      </c>
      <c r="E93" s="3" t="s">
        <v>60</v>
      </c>
      <c r="F93" s="3" t="s">
        <v>111</v>
      </c>
      <c r="G93" s="36">
        <v>17.3</v>
      </c>
      <c r="H93" s="35">
        <v>1.0</v>
      </c>
      <c r="I93" s="37">
        <v>0.6861111111111111</v>
      </c>
      <c r="J93" s="37">
        <v>0.7152777777777778</v>
      </c>
      <c r="K93" s="38">
        <f t="shared" si="1"/>
        <v>0.02916666667</v>
      </c>
      <c r="L93" s="39" t="str">
        <f t="shared" si="2"/>
        <v>Day</v>
      </c>
      <c r="M93" s="39" t="str">
        <f t="array" ref="M93">XLOOKUP(D93,'Category dict'!$B$1:$B$4,'Category dict'!$A$1:$A$4,0,0,1)</f>
        <v>Business</v>
      </c>
      <c r="N93" s="39" t="str">
        <f>VLOOKUP(H93,'Purpose dict'!$A$1:$B$12,2,0)</f>
        <v>Meal/Entertain</v>
      </c>
    </row>
    <row r="94" hidden="1">
      <c r="A94" s="3" t="s">
        <v>184</v>
      </c>
      <c r="B94" s="34">
        <v>42411.74236111111</v>
      </c>
      <c r="C94" s="34">
        <v>42411.756944444445</v>
      </c>
      <c r="D94" s="35">
        <v>423.0</v>
      </c>
      <c r="E94" s="3" t="s">
        <v>185</v>
      </c>
      <c r="F94" s="3" t="s">
        <v>186</v>
      </c>
      <c r="G94" s="36">
        <v>5.7</v>
      </c>
      <c r="H94" s="35">
        <v>1.0</v>
      </c>
      <c r="I94" s="37">
        <v>0.7423611111111111</v>
      </c>
      <c r="J94" s="37">
        <v>0.7569444444444444</v>
      </c>
      <c r="K94" s="38">
        <f t="shared" si="1"/>
        <v>0.01458333333</v>
      </c>
      <c r="L94" s="39" t="str">
        <f t="shared" si="2"/>
        <v>Day</v>
      </c>
      <c r="M94" s="39" t="str">
        <f t="array" ref="M94">XLOOKUP(D94,'Category dict'!$B$1:$B$4,'Category dict'!$A$1:$A$4,0,0,1)</f>
        <v>Business</v>
      </c>
      <c r="N94" s="39" t="str">
        <f>VLOOKUP(H94,'Purpose dict'!$A$1:$B$12,2,0)</f>
        <v>Meal/Entertain</v>
      </c>
    </row>
    <row r="95" hidden="1">
      <c r="A95" s="3" t="s">
        <v>187</v>
      </c>
      <c r="B95" s="34">
        <v>42411.76666666667</v>
      </c>
      <c r="C95" s="34">
        <v>42411.78194444445</v>
      </c>
      <c r="D95" s="35">
        <v>423.0</v>
      </c>
      <c r="E95" s="3" t="s">
        <v>111</v>
      </c>
      <c r="F95" s="3" t="s">
        <v>62</v>
      </c>
      <c r="G95" s="36">
        <v>13.5</v>
      </c>
      <c r="H95" s="35">
        <v>5.0</v>
      </c>
      <c r="I95" s="37">
        <v>0.7666666666666667</v>
      </c>
      <c r="J95" s="37">
        <v>0.7819444444444444</v>
      </c>
      <c r="K95" s="38">
        <f t="shared" si="1"/>
        <v>0.01527777778</v>
      </c>
      <c r="L95" s="39" t="str">
        <f t="shared" si="2"/>
        <v>Evening</v>
      </c>
      <c r="M95" s="39" t="str">
        <f t="array" ref="M95">XLOOKUP(D95,'Category dict'!$B$1:$B$4,'Category dict'!$A$1:$A$4,0,0,1)</f>
        <v>Business</v>
      </c>
      <c r="N95" s="39" t="str">
        <f>VLOOKUP(H95,'Purpose dict'!$A$1:$B$12,2,0)</f>
        <v>Temporary Site</v>
      </c>
    </row>
    <row r="96" hidden="1">
      <c r="A96" s="3" t="s">
        <v>188</v>
      </c>
      <c r="B96" s="34">
        <v>42411.85833333333</v>
      </c>
      <c r="C96" s="34">
        <v>42411.86875</v>
      </c>
      <c r="D96" s="35">
        <v>423.0</v>
      </c>
      <c r="E96" s="3" t="s">
        <v>62</v>
      </c>
      <c r="F96" s="3" t="s">
        <v>60</v>
      </c>
      <c r="G96" s="36">
        <v>6.1</v>
      </c>
      <c r="H96" s="35">
        <v>5.0</v>
      </c>
      <c r="I96" s="37">
        <v>0.8583333333333333</v>
      </c>
      <c r="J96" s="37">
        <v>0.86875</v>
      </c>
      <c r="K96" s="38">
        <f t="shared" si="1"/>
        <v>0.01041666667</v>
      </c>
      <c r="L96" s="39" t="str">
        <f t="shared" si="2"/>
        <v>Evening</v>
      </c>
      <c r="M96" s="39" t="str">
        <f t="array" ref="M96">XLOOKUP(D96,'Category dict'!$B$1:$B$4,'Category dict'!$A$1:$A$4,0,0,1)</f>
        <v>Business</v>
      </c>
      <c r="N96" s="39" t="str">
        <f>VLOOKUP(H96,'Purpose dict'!$A$1:$B$12,2,0)</f>
        <v>Temporary Site</v>
      </c>
    </row>
    <row r="97" hidden="1">
      <c r="A97" s="3" t="s">
        <v>189</v>
      </c>
      <c r="B97" s="34">
        <v>42412.347916666666</v>
      </c>
      <c r="C97" s="34">
        <v>42412.3625</v>
      </c>
      <c r="D97" s="35">
        <v>423.0</v>
      </c>
      <c r="E97" s="3" t="s">
        <v>60</v>
      </c>
      <c r="F97" s="3" t="s">
        <v>101</v>
      </c>
      <c r="G97" s="36">
        <v>8.5</v>
      </c>
      <c r="H97" s="35">
        <v>5.0</v>
      </c>
      <c r="I97" s="37">
        <v>0.34791666666666665</v>
      </c>
      <c r="J97" s="37">
        <v>0.3625</v>
      </c>
      <c r="K97" s="38">
        <f t="shared" si="1"/>
        <v>0.01458333333</v>
      </c>
      <c r="L97" s="39" t="str">
        <f t="shared" si="2"/>
        <v>Morning</v>
      </c>
      <c r="M97" s="39" t="str">
        <f t="array" ref="M97">XLOOKUP(D97,'Category dict'!$B$1:$B$4,'Category dict'!$A$1:$A$4,0,0,1)</f>
        <v>Business</v>
      </c>
      <c r="N97" s="39" t="str">
        <f>VLOOKUP(H97,'Purpose dict'!$A$1:$B$12,2,0)</f>
        <v>Temporary Site</v>
      </c>
    </row>
    <row r="98" hidden="1">
      <c r="A98" s="3" t="s">
        <v>190</v>
      </c>
      <c r="B98" s="34">
        <v>42412.447916666664</v>
      </c>
      <c r="C98" s="34">
        <v>42412.45277777778</v>
      </c>
      <c r="D98" s="35">
        <v>423.0</v>
      </c>
      <c r="E98" s="3" t="s">
        <v>101</v>
      </c>
      <c r="F98" s="3" t="s">
        <v>62</v>
      </c>
      <c r="G98" s="36">
        <v>2.6</v>
      </c>
      <c r="H98" s="35">
        <v>5.0</v>
      </c>
      <c r="I98" s="37">
        <v>0.4479166666666667</v>
      </c>
      <c r="J98" s="37">
        <v>0.4527777777777778</v>
      </c>
      <c r="K98" s="38">
        <f t="shared" si="1"/>
        <v>0.004861111111</v>
      </c>
      <c r="L98" s="39" t="str">
        <f t="shared" si="2"/>
        <v>Morning</v>
      </c>
      <c r="M98" s="39" t="str">
        <f t="array" ref="M98">XLOOKUP(D98,'Category dict'!$B$1:$B$4,'Category dict'!$A$1:$A$4,0,0,1)</f>
        <v>Business</v>
      </c>
      <c r="N98" s="39" t="str">
        <f>VLOOKUP(H98,'Purpose dict'!$A$1:$B$12,2,0)</f>
        <v>Temporary Site</v>
      </c>
    </row>
    <row r="99" hidden="1">
      <c r="A99" s="3" t="s">
        <v>191</v>
      </c>
      <c r="B99" s="34">
        <v>42412.46805555555</v>
      </c>
      <c r="C99" s="34">
        <v>42412.48263888889</v>
      </c>
      <c r="D99" s="35">
        <v>423.0</v>
      </c>
      <c r="E99" s="3" t="s">
        <v>62</v>
      </c>
      <c r="F99" s="3" t="s">
        <v>111</v>
      </c>
      <c r="G99" s="36">
        <v>17.0</v>
      </c>
      <c r="H99" s="35">
        <v>4.0</v>
      </c>
      <c r="I99" s="37">
        <v>0.46805555555555556</v>
      </c>
      <c r="J99" s="37">
        <v>0.4826388888888889</v>
      </c>
      <c r="K99" s="38">
        <f t="shared" si="1"/>
        <v>0.01458333333</v>
      </c>
      <c r="L99" s="39" t="str">
        <f t="shared" si="2"/>
        <v>Morning</v>
      </c>
      <c r="M99" s="39" t="str">
        <f t="array" ref="M99">XLOOKUP(D99,'Category dict'!$B$1:$B$4,'Category dict'!$A$1:$A$4,0,0,1)</f>
        <v>Business</v>
      </c>
      <c r="N99" s="39" t="str">
        <f>VLOOKUP(H99,'Purpose dict'!$A$1:$B$12,2,0)</f>
        <v>Customer Visit</v>
      </c>
    </row>
    <row r="100" hidden="1">
      <c r="A100" s="3" t="s">
        <v>192</v>
      </c>
      <c r="B100" s="34">
        <v>42412.54305555556</v>
      </c>
      <c r="C100" s="34">
        <v>42412.566666666666</v>
      </c>
      <c r="D100" s="35">
        <v>423.0</v>
      </c>
      <c r="E100" s="3" t="s">
        <v>111</v>
      </c>
      <c r="F100" s="3" t="s">
        <v>60</v>
      </c>
      <c r="G100" s="36">
        <v>18.0</v>
      </c>
      <c r="H100" s="35">
        <v>3.0</v>
      </c>
      <c r="I100" s="37">
        <v>0.5430555555555555</v>
      </c>
      <c r="J100" s="37">
        <v>0.5666666666666667</v>
      </c>
      <c r="K100" s="38">
        <f t="shared" si="1"/>
        <v>0.02361111111</v>
      </c>
      <c r="L100" s="39" t="str">
        <f t="shared" si="2"/>
        <v>Day</v>
      </c>
      <c r="M100" s="39" t="str">
        <f t="array" ref="M100">XLOOKUP(D100,'Category dict'!$B$1:$B$4,'Category dict'!$A$1:$A$4,0,0,1)</f>
        <v>Business</v>
      </c>
      <c r="N100" s="39" t="str">
        <f>VLOOKUP(H100,'Purpose dict'!$A$1:$B$12,2,0)</f>
        <v>Meeting</v>
      </c>
    </row>
    <row r="101" hidden="1">
      <c r="A101" s="3" t="s">
        <v>193</v>
      </c>
      <c r="B101" s="34">
        <v>42412.61736111111</v>
      </c>
      <c r="C101" s="34">
        <v>42412.629166666666</v>
      </c>
      <c r="D101" s="35">
        <v>423.0</v>
      </c>
      <c r="E101" s="3" t="s">
        <v>60</v>
      </c>
      <c r="F101" s="3" t="s">
        <v>62</v>
      </c>
      <c r="G101" s="36">
        <v>8.4</v>
      </c>
      <c r="H101" s="35">
        <v>3.0</v>
      </c>
      <c r="I101" s="37">
        <v>0.6173611111111111</v>
      </c>
      <c r="J101" s="37">
        <v>0.6291666666666667</v>
      </c>
      <c r="K101" s="38">
        <f t="shared" si="1"/>
        <v>0.01180555556</v>
      </c>
      <c r="L101" s="39" t="str">
        <f t="shared" si="2"/>
        <v>Day</v>
      </c>
      <c r="M101" s="39" t="str">
        <f t="array" ref="M101">XLOOKUP(D101,'Category dict'!$B$1:$B$4,'Category dict'!$A$1:$A$4,0,0,1)</f>
        <v>Business</v>
      </c>
      <c r="N101" s="39" t="str">
        <f>VLOOKUP(H101,'Purpose dict'!$A$1:$B$12,2,0)</f>
        <v>Meeting</v>
      </c>
    </row>
    <row r="102" hidden="1">
      <c r="A102" s="3" t="s">
        <v>194</v>
      </c>
      <c r="B102" s="34">
        <v>42412.64791666667</v>
      </c>
      <c r="C102" s="34">
        <v>42412.67083333333</v>
      </c>
      <c r="D102" s="35">
        <v>423.0</v>
      </c>
      <c r="E102" s="3" t="s">
        <v>62</v>
      </c>
      <c r="F102" s="3" t="s">
        <v>60</v>
      </c>
      <c r="G102" s="36">
        <v>11.5</v>
      </c>
      <c r="H102" s="35">
        <v>4.0</v>
      </c>
      <c r="I102" s="37">
        <v>0.6479166666666667</v>
      </c>
      <c r="J102" s="37">
        <v>0.6708333333333333</v>
      </c>
      <c r="K102" s="38">
        <f t="shared" si="1"/>
        <v>0.02291666667</v>
      </c>
      <c r="L102" s="39" t="str">
        <f t="shared" si="2"/>
        <v>Day</v>
      </c>
      <c r="M102" s="39" t="str">
        <f t="array" ref="M102">XLOOKUP(D102,'Category dict'!$B$1:$B$4,'Category dict'!$A$1:$A$4,0,0,1)</f>
        <v>Business</v>
      </c>
      <c r="N102" s="39" t="str">
        <f>VLOOKUP(H102,'Purpose dict'!$A$1:$B$12,2,0)</f>
        <v>Customer Visit</v>
      </c>
    </row>
    <row r="103" hidden="1">
      <c r="A103" s="3" t="s">
        <v>195</v>
      </c>
      <c r="B103" s="34">
        <v>42413.597916666666</v>
      </c>
      <c r="C103" s="34">
        <v>42413.611805555556</v>
      </c>
      <c r="D103" s="35">
        <v>423.0</v>
      </c>
      <c r="E103" s="3" t="s">
        <v>60</v>
      </c>
      <c r="F103" s="3" t="s">
        <v>62</v>
      </c>
      <c r="G103" s="36">
        <v>8.9</v>
      </c>
      <c r="H103" s="35">
        <v>3.0</v>
      </c>
      <c r="I103" s="37">
        <v>0.5979166666666667</v>
      </c>
      <c r="J103" s="37">
        <v>0.6118055555555556</v>
      </c>
      <c r="K103" s="38">
        <f t="shared" si="1"/>
        <v>0.01388888889</v>
      </c>
      <c r="L103" s="39" t="str">
        <f t="shared" si="2"/>
        <v>Day</v>
      </c>
      <c r="M103" s="39" t="str">
        <f t="array" ref="M103">XLOOKUP(D103,'Category dict'!$B$1:$B$4,'Category dict'!$A$1:$A$4,0,0,1)</f>
        <v>Business</v>
      </c>
      <c r="N103" s="39" t="str">
        <f>VLOOKUP(H103,'Purpose dict'!$A$1:$B$12,2,0)</f>
        <v>Meeting</v>
      </c>
    </row>
    <row r="104" hidden="1">
      <c r="A104" s="3" t="s">
        <v>196</v>
      </c>
      <c r="B104" s="34">
        <v>42413.989583333336</v>
      </c>
      <c r="C104" s="34">
        <v>42414.00069444445</v>
      </c>
      <c r="D104" s="35">
        <v>527.0</v>
      </c>
      <c r="E104" s="3" t="s">
        <v>197</v>
      </c>
      <c r="F104" s="3" t="s">
        <v>198</v>
      </c>
      <c r="G104" s="36">
        <v>2.7</v>
      </c>
      <c r="H104" s="35">
        <v>123.0</v>
      </c>
      <c r="I104" s="37">
        <v>0.9895833333333334</v>
      </c>
      <c r="J104" s="37">
        <v>6.944444444444445E-4</v>
      </c>
      <c r="K104" s="41">
        <f>C104-B104</f>
        <v>0.01111111111</v>
      </c>
      <c r="L104" s="39" t="str">
        <f t="shared" si="2"/>
        <v>Evening</v>
      </c>
      <c r="M104" s="39" t="str">
        <f t="array" ref="M104">XLOOKUP(D104,'Category dict'!$B$1:$B$4,'Category dict'!$A$1:$A$4,0,0,1)</f>
        <v>Personal</v>
      </c>
      <c r="N104" s="39" t="str">
        <f>VLOOKUP(H104,'Purpose dict'!$A$1:$B$12,2,0)</f>
        <v>NOT DEFINED</v>
      </c>
    </row>
    <row r="105" hidden="1">
      <c r="A105" s="3" t="s">
        <v>199</v>
      </c>
      <c r="B105" s="34">
        <v>42414.03472222222</v>
      </c>
      <c r="C105" s="34">
        <v>42414.041666666664</v>
      </c>
      <c r="D105" s="35">
        <v>527.0</v>
      </c>
      <c r="E105" s="3" t="s">
        <v>198</v>
      </c>
      <c r="F105" s="3" t="s">
        <v>197</v>
      </c>
      <c r="G105" s="36">
        <v>1.8</v>
      </c>
      <c r="H105" s="35">
        <v>123.0</v>
      </c>
      <c r="I105" s="37">
        <v>0.034722222222222224</v>
      </c>
      <c r="J105" s="37">
        <v>0.041666666666666664</v>
      </c>
      <c r="K105" s="38">
        <f t="shared" ref="K105:K271" si="3">J105-I105</f>
        <v>0.006944444444</v>
      </c>
      <c r="L105" s="39" t="str">
        <f t="shared" si="2"/>
        <v>Night</v>
      </c>
      <c r="M105" s="39" t="str">
        <f t="array" ref="M105">XLOOKUP(D105,'Category dict'!$B$1:$B$4,'Category dict'!$A$1:$A$4,0,0,1)</f>
        <v>Personal</v>
      </c>
      <c r="N105" s="39" t="str">
        <f>VLOOKUP(H105,'Purpose dict'!$A$1:$B$12,2,0)</f>
        <v>NOT DEFINED</v>
      </c>
    </row>
    <row r="106" hidden="1">
      <c r="A106" s="3" t="s">
        <v>200</v>
      </c>
      <c r="B106" s="34">
        <v>42414.58819444444</v>
      </c>
      <c r="C106" s="34">
        <v>42414.61111111111</v>
      </c>
      <c r="D106" s="35">
        <v>423.0</v>
      </c>
      <c r="E106" s="3" t="s">
        <v>197</v>
      </c>
      <c r="F106" s="3" t="s">
        <v>65</v>
      </c>
      <c r="G106" s="36">
        <v>8.1</v>
      </c>
      <c r="H106" s="35">
        <v>3.0</v>
      </c>
      <c r="I106" s="37">
        <v>0.5881944444444445</v>
      </c>
      <c r="J106" s="37">
        <v>0.6111111111111112</v>
      </c>
      <c r="K106" s="38">
        <f t="shared" si="3"/>
        <v>0.02291666667</v>
      </c>
      <c r="L106" s="39" t="str">
        <f t="shared" si="2"/>
        <v>Day</v>
      </c>
      <c r="M106" s="39" t="str">
        <f t="array" ref="M106">XLOOKUP(D106,'Category dict'!$B$1:$B$4,'Category dict'!$A$1:$A$4,0,0,1)</f>
        <v>Business</v>
      </c>
      <c r="N106" s="39" t="str">
        <f>VLOOKUP(H106,'Purpose dict'!$A$1:$B$12,2,0)</f>
        <v>Meeting</v>
      </c>
    </row>
    <row r="107" hidden="1">
      <c r="A107" s="3" t="s">
        <v>201</v>
      </c>
      <c r="B107" s="34">
        <v>42414.615277777775</v>
      </c>
      <c r="C107" s="34">
        <v>42414.62708333333</v>
      </c>
      <c r="D107" s="35">
        <v>423.0</v>
      </c>
      <c r="E107" s="3" t="s">
        <v>71</v>
      </c>
      <c r="F107" s="3" t="s">
        <v>202</v>
      </c>
      <c r="G107" s="36">
        <v>2.0</v>
      </c>
      <c r="H107" s="35">
        <v>3.0</v>
      </c>
      <c r="I107" s="37">
        <v>0.6152777777777778</v>
      </c>
      <c r="J107" s="37">
        <v>0.6270833333333333</v>
      </c>
      <c r="K107" s="38">
        <f t="shared" si="3"/>
        <v>0.01180555556</v>
      </c>
      <c r="L107" s="39" t="str">
        <f t="shared" si="2"/>
        <v>Day</v>
      </c>
      <c r="M107" s="39" t="str">
        <f t="array" ref="M107">XLOOKUP(D107,'Category dict'!$B$1:$B$4,'Category dict'!$A$1:$A$4,0,0,1)</f>
        <v>Business</v>
      </c>
      <c r="N107" s="39" t="str">
        <f>VLOOKUP(H107,'Purpose dict'!$A$1:$B$12,2,0)</f>
        <v>Meeting</v>
      </c>
    </row>
    <row r="108" hidden="1">
      <c r="A108" s="3" t="s">
        <v>203</v>
      </c>
      <c r="B108" s="34">
        <v>42414.69097222222</v>
      </c>
      <c r="C108" s="34">
        <v>42414.70972222222</v>
      </c>
      <c r="D108" s="35">
        <v>423.0</v>
      </c>
      <c r="E108" s="3" t="s">
        <v>65</v>
      </c>
      <c r="F108" s="3" t="s">
        <v>204</v>
      </c>
      <c r="G108" s="36">
        <v>13.0</v>
      </c>
      <c r="H108" s="35">
        <v>3.0</v>
      </c>
      <c r="I108" s="37">
        <v>0.6909722222222222</v>
      </c>
      <c r="J108" s="37">
        <v>0.7097222222222223</v>
      </c>
      <c r="K108" s="38">
        <f t="shared" si="3"/>
        <v>0.01875</v>
      </c>
      <c r="L108" s="39" t="str">
        <f t="shared" si="2"/>
        <v>Day</v>
      </c>
      <c r="M108" s="39" t="str">
        <f t="array" ref="M108">XLOOKUP(D108,'Category dict'!$B$1:$B$4,'Category dict'!$A$1:$A$4,0,0,1)</f>
        <v>Business</v>
      </c>
      <c r="N108" s="39" t="str">
        <f>VLOOKUP(H108,'Purpose dict'!$A$1:$B$12,2,0)</f>
        <v>Meeting</v>
      </c>
    </row>
    <row r="109" hidden="1">
      <c r="A109" s="3" t="s">
        <v>205</v>
      </c>
      <c r="B109" s="34">
        <v>42414.7125</v>
      </c>
      <c r="C109" s="34">
        <v>42414.728472222225</v>
      </c>
      <c r="D109" s="35">
        <v>423.0</v>
      </c>
      <c r="E109" s="3" t="s">
        <v>204</v>
      </c>
      <c r="F109" s="3" t="s">
        <v>64</v>
      </c>
      <c r="G109" s="36">
        <v>13.9</v>
      </c>
      <c r="H109" s="35">
        <v>3.0</v>
      </c>
      <c r="I109" s="37">
        <v>0.7125</v>
      </c>
      <c r="J109" s="37">
        <v>0.7284722222222222</v>
      </c>
      <c r="K109" s="38">
        <f t="shared" si="3"/>
        <v>0.01597222222</v>
      </c>
      <c r="L109" s="39" t="str">
        <f t="shared" si="2"/>
        <v>Day</v>
      </c>
      <c r="M109" s="39" t="str">
        <f t="array" ref="M109">XLOOKUP(D109,'Category dict'!$B$1:$B$4,'Category dict'!$A$1:$A$4,0,0,1)</f>
        <v>Business</v>
      </c>
      <c r="N109" s="39" t="str">
        <f>VLOOKUP(H109,'Purpose dict'!$A$1:$B$12,2,0)</f>
        <v>Meeting</v>
      </c>
    </row>
    <row r="110" hidden="1">
      <c r="A110" s="3" t="s">
        <v>206</v>
      </c>
      <c r="B110" s="34">
        <v>42416.13958333333</v>
      </c>
      <c r="C110" s="34">
        <v>42416.17569444444</v>
      </c>
      <c r="D110" s="35">
        <v>423.0</v>
      </c>
      <c r="E110" s="3" t="s">
        <v>207</v>
      </c>
      <c r="F110" s="3" t="s">
        <v>208</v>
      </c>
      <c r="G110" s="36">
        <v>43.7</v>
      </c>
      <c r="H110" s="35">
        <v>4.0</v>
      </c>
      <c r="I110" s="37">
        <v>0.13958333333333334</v>
      </c>
      <c r="J110" s="37">
        <v>0.17569444444444443</v>
      </c>
      <c r="K110" s="38">
        <f t="shared" si="3"/>
        <v>0.03611111111</v>
      </c>
      <c r="L110" s="39" t="str">
        <f t="shared" si="2"/>
        <v>Night</v>
      </c>
      <c r="M110" s="39" t="str">
        <f t="array" ref="M110">XLOOKUP(D110,'Category dict'!$B$1:$B$4,'Category dict'!$A$1:$A$4,0,0,1)</f>
        <v>Business</v>
      </c>
      <c r="N110" s="39" t="str">
        <f>VLOOKUP(H110,'Purpose dict'!$A$1:$B$12,2,0)</f>
        <v>Customer Visit</v>
      </c>
    </row>
    <row r="111" hidden="1">
      <c r="A111" s="3" t="s">
        <v>209</v>
      </c>
      <c r="B111" s="34">
        <v>42416.353472222225</v>
      </c>
      <c r="C111" s="34">
        <v>42416.39861111111</v>
      </c>
      <c r="D111" s="35">
        <v>423.0</v>
      </c>
      <c r="E111" s="3" t="s">
        <v>208</v>
      </c>
      <c r="F111" s="3" t="s">
        <v>210</v>
      </c>
      <c r="G111" s="36">
        <v>14.1</v>
      </c>
      <c r="H111" s="35">
        <v>123.0</v>
      </c>
      <c r="I111" s="37">
        <v>0.35347222222222224</v>
      </c>
      <c r="J111" s="37">
        <v>0.39861111111111114</v>
      </c>
      <c r="K111" s="38">
        <f t="shared" si="3"/>
        <v>0.04513888889</v>
      </c>
      <c r="L111" s="39" t="str">
        <f t="shared" si="2"/>
        <v>Morning</v>
      </c>
      <c r="M111" s="39" t="str">
        <f t="array" ref="M111">XLOOKUP(D111,'Category dict'!$B$1:$B$4,'Category dict'!$A$1:$A$4,0,0,1)</f>
        <v>Business</v>
      </c>
      <c r="N111" s="39" t="str">
        <f>VLOOKUP(H111,'Purpose dict'!$A$1:$B$12,2,0)</f>
        <v>NOT DEFINED</v>
      </c>
    </row>
    <row r="112" hidden="1">
      <c r="A112" s="3" t="s">
        <v>211</v>
      </c>
      <c r="B112" s="34">
        <v>42416.43819444445</v>
      </c>
      <c r="C112" s="34">
        <v>42416.44513888889</v>
      </c>
      <c r="D112" s="35">
        <v>423.0</v>
      </c>
      <c r="E112" s="3" t="s">
        <v>210</v>
      </c>
      <c r="F112" s="3" t="s">
        <v>210</v>
      </c>
      <c r="G112" s="36">
        <v>2.6</v>
      </c>
      <c r="H112" s="35">
        <v>123.0</v>
      </c>
      <c r="I112" s="37">
        <v>0.43819444444444444</v>
      </c>
      <c r="J112" s="37">
        <v>0.44513888888888886</v>
      </c>
      <c r="K112" s="38">
        <f t="shared" si="3"/>
        <v>0.006944444444</v>
      </c>
      <c r="L112" s="39" t="str">
        <f t="shared" si="2"/>
        <v>Morning</v>
      </c>
      <c r="M112" s="39" t="str">
        <f t="array" ref="M112">XLOOKUP(D112,'Category dict'!$B$1:$B$4,'Category dict'!$A$1:$A$4,0,0,1)</f>
        <v>Business</v>
      </c>
      <c r="N112" s="39" t="str">
        <f>VLOOKUP(H112,'Purpose dict'!$A$1:$B$12,2,0)</f>
        <v>NOT DEFINED</v>
      </c>
    </row>
    <row r="113" hidden="1">
      <c r="A113" s="3" t="s">
        <v>212</v>
      </c>
      <c r="B113" s="34">
        <v>42416.48055555556</v>
      </c>
      <c r="C113" s="34">
        <v>42416.501388888886</v>
      </c>
      <c r="D113" s="35">
        <v>423.0</v>
      </c>
      <c r="E113" s="3" t="s">
        <v>210</v>
      </c>
      <c r="F113" s="3" t="s">
        <v>210</v>
      </c>
      <c r="G113" s="36">
        <v>4.5</v>
      </c>
      <c r="H113" s="35">
        <v>123.0</v>
      </c>
      <c r="I113" s="37">
        <v>0.48055555555555557</v>
      </c>
      <c r="J113" s="37">
        <v>0.5013888888888889</v>
      </c>
      <c r="K113" s="38">
        <f t="shared" si="3"/>
        <v>0.02083333333</v>
      </c>
      <c r="L113" s="39" t="str">
        <f t="shared" si="2"/>
        <v>Morning</v>
      </c>
      <c r="M113" s="39" t="str">
        <f t="array" ref="M113">XLOOKUP(D113,'Category dict'!$B$1:$B$4,'Category dict'!$A$1:$A$4,0,0,1)</f>
        <v>Business</v>
      </c>
      <c r="N113" s="39" t="str">
        <f>VLOOKUP(H113,'Purpose dict'!$A$1:$B$12,2,0)</f>
        <v>NOT DEFINED</v>
      </c>
    </row>
    <row r="114" hidden="1">
      <c r="A114" s="3" t="s">
        <v>213</v>
      </c>
      <c r="B114" s="34">
        <v>42416.527083333334</v>
      </c>
      <c r="C114" s="34">
        <v>42416.52916666667</v>
      </c>
      <c r="D114" s="35">
        <v>423.0</v>
      </c>
      <c r="E114" s="3" t="s">
        <v>210</v>
      </c>
      <c r="F114" s="3" t="s">
        <v>210</v>
      </c>
      <c r="G114" s="36">
        <v>1.7</v>
      </c>
      <c r="H114" s="35">
        <v>123.0</v>
      </c>
      <c r="I114" s="37">
        <v>0.5270833333333333</v>
      </c>
      <c r="J114" s="37">
        <v>0.5291666666666667</v>
      </c>
      <c r="K114" s="38">
        <f t="shared" si="3"/>
        <v>0.002083333333</v>
      </c>
      <c r="L114" s="39" t="str">
        <f t="shared" si="2"/>
        <v>Day</v>
      </c>
      <c r="M114" s="39" t="str">
        <f t="array" ref="M114">XLOOKUP(D114,'Category dict'!$B$1:$B$4,'Category dict'!$A$1:$A$4,0,0,1)</f>
        <v>Business</v>
      </c>
      <c r="N114" s="39" t="str">
        <f>VLOOKUP(H114,'Purpose dict'!$A$1:$B$12,2,0)</f>
        <v>NOT DEFINED</v>
      </c>
    </row>
    <row r="115" hidden="1">
      <c r="A115" s="3" t="s">
        <v>214</v>
      </c>
      <c r="B115" s="34">
        <v>42416.57152777778</v>
      </c>
      <c r="C115" s="34">
        <v>42416.57986111111</v>
      </c>
      <c r="D115" s="35">
        <v>423.0</v>
      </c>
      <c r="E115" s="3" t="s">
        <v>210</v>
      </c>
      <c r="F115" s="3" t="s">
        <v>210</v>
      </c>
      <c r="G115" s="36">
        <v>1.8</v>
      </c>
      <c r="H115" s="35">
        <v>5.0</v>
      </c>
      <c r="I115" s="37">
        <v>0.5715277777777777</v>
      </c>
      <c r="J115" s="37">
        <v>0.5798611111111112</v>
      </c>
      <c r="K115" s="38">
        <f t="shared" si="3"/>
        <v>0.008333333333</v>
      </c>
      <c r="L115" s="39" t="str">
        <f t="shared" si="2"/>
        <v>Day</v>
      </c>
      <c r="M115" s="39" t="str">
        <f t="array" ref="M115">XLOOKUP(D115,'Category dict'!$B$1:$B$4,'Category dict'!$A$1:$A$4,0,0,1)</f>
        <v>Business</v>
      </c>
      <c r="N115" s="39" t="str">
        <f>VLOOKUP(H115,'Purpose dict'!$A$1:$B$12,2,0)</f>
        <v>Temporary Site</v>
      </c>
    </row>
    <row r="116" hidden="1">
      <c r="A116" s="3" t="s">
        <v>215</v>
      </c>
      <c r="B116" s="34">
        <v>42416.69027777778</v>
      </c>
      <c r="C116" s="34">
        <v>42416.71527777778</v>
      </c>
      <c r="D116" s="35">
        <v>423.0</v>
      </c>
      <c r="E116" s="3" t="s">
        <v>210</v>
      </c>
      <c r="F116" s="3" t="s">
        <v>210</v>
      </c>
      <c r="G116" s="36">
        <v>6.0</v>
      </c>
      <c r="H116" s="35">
        <v>123.0</v>
      </c>
      <c r="I116" s="37">
        <v>0.6902777777777778</v>
      </c>
      <c r="J116" s="37">
        <v>0.7152777777777778</v>
      </c>
      <c r="K116" s="38">
        <f t="shared" si="3"/>
        <v>0.025</v>
      </c>
      <c r="L116" s="39" t="str">
        <f t="shared" si="2"/>
        <v>Day</v>
      </c>
      <c r="M116" s="39" t="str">
        <f t="array" ref="M116">XLOOKUP(D116,'Category dict'!$B$1:$B$4,'Category dict'!$A$1:$A$4,0,0,1)</f>
        <v>Business</v>
      </c>
      <c r="N116" s="39" t="str">
        <f>VLOOKUP(H116,'Purpose dict'!$A$1:$B$12,2,0)</f>
        <v>NOT DEFINED</v>
      </c>
    </row>
    <row r="117">
      <c r="A117" s="3" t="s">
        <v>216</v>
      </c>
      <c r="B117" s="34">
        <v>42416.720138888886</v>
      </c>
      <c r="C117" s="34">
        <v>42416.72638888889</v>
      </c>
      <c r="D117" s="35">
        <v>423.0</v>
      </c>
      <c r="E117" s="3" t="s">
        <v>210</v>
      </c>
      <c r="F117" s="3" t="s">
        <v>217</v>
      </c>
      <c r="G117" s="40">
        <v>1.1</v>
      </c>
      <c r="H117" s="35">
        <v>1.0</v>
      </c>
      <c r="I117" s="37">
        <v>0.7201388888888889</v>
      </c>
      <c r="J117" s="37">
        <v>0.7263888888888889</v>
      </c>
      <c r="K117" s="38">
        <f t="shared" si="3"/>
        <v>0.00625</v>
      </c>
      <c r="L117" s="39" t="str">
        <f t="shared" si="2"/>
        <v>Day</v>
      </c>
      <c r="M117" s="39" t="str">
        <f t="array" ref="M117">XLOOKUP(D117,'Category dict'!$B$1:$B$4,'Category dict'!$A$1:$A$4,0,0,1)</f>
        <v>Business</v>
      </c>
      <c r="N117" s="39" t="str">
        <f>VLOOKUP(H117,'Purpose dict'!$A$1:$B$12,2,0)</f>
        <v>Meal/Entertain</v>
      </c>
    </row>
    <row r="118" hidden="1">
      <c r="A118" s="3" t="s">
        <v>218</v>
      </c>
      <c r="B118" s="34">
        <v>42416.73611111111</v>
      </c>
      <c r="C118" s="34">
        <v>42416.73888888889</v>
      </c>
      <c r="D118" s="35">
        <v>423.0</v>
      </c>
      <c r="E118" s="3" t="s">
        <v>217</v>
      </c>
      <c r="F118" s="3" t="s">
        <v>208</v>
      </c>
      <c r="G118" s="36">
        <v>3.6</v>
      </c>
      <c r="H118" s="35">
        <v>2.0</v>
      </c>
      <c r="I118" s="37">
        <v>0.7361111111111112</v>
      </c>
      <c r="J118" s="37">
        <v>0.7388888888888889</v>
      </c>
      <c r="K118" s="38">
        <f t="shared" si="3"/>
        <v>0.002777777778</v>
      </c>
      <c r="L118" s="39" t="str">
        <f t="shared" si="2"/>
        <v>Day</v>
      </c>
      <c r="M118" s="39" t="str">
        <f t="array" ref="M118">XLOOKUP(D118,'Category dict'!$B$1:$B$4,'Category dict'!$A$1:$A$4,0,0,1)</f>
        <v>Business</v>
      </c>
      <c r="N118" s="39" t="str">
        <f>VLOOKUP(H118,'Purpose dict'!$A$1:$B$12,2,0)</f>
        <v>Errand/Supplies</v>
      </c>
    </row>
    <row r="119" hidden="1">
      <c r="A119" s="3" t="s">
        <v>219</v>
      </c>
      <c r="B119" s="34">
        <v>42417.55416666667</v>
      </c>
      <c r="C119" s="34">
        <v>42417.58611111111</v>
      </c>
      <c r="D119" s="35">
        <v>423.0</v>
      </c>
      <c r="E119" s="3" t="s">
        <v>208</v>
      </c>
      <c r="F119" s="3" t="s">
        <v>210</v>
      </c>
      <c r="G119" s="36">
        <v>14.7</v>
      </c>
      <c r="H119" s="35">
        <v>5.0</v>
      </c>
      <c r="I119" s="37">
        <v>0.5541666666666667</v>
      </c>
      <c r="J119" s="37">
        <v>0.5861111111111111</v>
      </c>
      <c r="K119" s="38">
        <f t="shared" si="3"/>
        <v>0.03194444444</v>
      </c>
      <c r="L119" s="39" t="str">
        <f t="shared" si="2"/>
        <v>Day</v>
      </c>
      <c r="M119" s="39" t="str">
        <f t="array" ref="M119">XLOOKUP(D119,'Category dict'!$B$1:$B$4,'Category dict'!$A$1:$A$4,0,0,1)</f>
        <v>Business</v>
      </c>
      <c r="N119" s="39" t="str">
        <f>VLOOKUP(H119,'Purpose dict'!$A$1:$B$12,2,0)</f>
        <v>Temporary Site</v>
      </c>
    </row>
    <row r="120" hidden="1">
      <c r="A120" s="3" t="s">
        <v>220</v>
      </c>
      <c r="B120" s="34">
        <v>42417.63680555556</v>
      </c>
      <c r="C120" s="34">
        <v>42417.64027777778</v>
      </c>
      <c r="D120" s="35">
        <v>423.0</v>
      </c>
      <c r="E120" s="3" t="s">
        <v>210</v>
      </c>
      <c r="F120" s="3" t="s">
        <v>210</v>
      </c>
      <c r="G120" s="36">
        <v>1.7</v>
      </c>
      <c r="H120" s="35">
        <v>1.0</v>
      </c>
      <c r="I120" s="37">
        <v>0.6368055555555555</v>
      </c>
      <c r="J120" s="37">
        <v>0.6402777777777777</v>
      </c>
      <c r="K120" s="38">
        <f t="shared" si="3"/>
        <v>0.003472222222</v>
      </c>
      <c r="L120" s="39" t="str">
        <f t="shared" si="2"/>
        <v>Day</v>
      </c>
      <c r="M120" s="39" t="str">
        <f t="array" ref="M120">XLOOKUP(D120,'Category dict'!$B$1:$B$4,'Category dict'!$A$1:$A$4,0,0,1)</f>
        <v>Business</v>
      </c>
      <c r="N120" s="39" t="str">
        <f>VLOOKUP(H120,'Purpose dict'!$A$1:$B$12,2,0)</f>
        <v>Meal/Entertain</v>
      </c>
    </row>
    <row r="121" hidden="1">
      <c r="A121" s="3" t="s">
        <v>221</v>
      </c>
      <c r="B121" s="34">
        <v>42417.64791666667</v>
      </c>
      <c r="C121" s="34">
        <v>42417.67847222222</v>
      </c>
      <c r="D121" s="35">
        <v>423.0</v>
      </c>
      <c r="E121" s="3" t="s">
        <v>210</v>
      </c>
      <c r="F121" s="3" t="s">
        <v>207</v>
      </c>
      <c r="G121" s="36">
        <v>21.4</v>
      </c>
      <c r="H121" s="35">
        <v>5.0</v>
      </c>
      <c r="I121" s="37">
        <v>0.6479166666666667</v>
      </c>
      <c r="J121" s="37">
        <v>0.6784722222222223</v>
      </c>
      <c r="K121" s="38">
        <f t="shared" si="3"/>
        <v>0.03055555556</v>
      </c>
      <c r="L121" s="39" t="str">
        <f t="shared" si="2"/>
        <v>Day</v>
      </c>
      <c r="M121" s="39" t="str">
        <f t="array" ref="M121">XLOOKUP(D121,'Category dict'!$B$1:$B$4,'Category dict'!$A$1:$A$4,0,0,1)</f>
        <v>Business</v>
      </c>
      <c r="N121" s="39" t="str">
        <f>VLOOKUP(H121,'Purpose dict'!$A$1:$B$12,2,0)</f>
        <v>Temporary Site</v>
      </c>
    </row>
    <row r="122">
      <c r="A122" s="3" t="s">
        <v>222</v>
      </c>
      <c r="B122" s="34">
        <v>42417.69305555556</v>
      </c>
      <c r="C122" s="34">
        <v>42417.69652777778</v>
      </c>
      <c r="D122" s="35">
        <v>423.0</v>
      </c>
      <c r="E122" s="3" t="s">
        <v>207</v>
      </c>
      <c r="F122" s="3" t="s">
        <v>207</v>
      </c>
      <c r="G122" s="40">
        <v>0.5</v>
      </c>
      <c r="H122" s="35">
        <v>2.0</v>
      </c>
      <c r="I122" s="37">
        <v>0.6930555555555555</v>
      </c>
      <c r="J122" s="37">
        <v>0.6965277777777777</v>
      </c>
      <c r="K122" s="38">
        <f t="shared" si="3"/>
        <v>0.003472222222</v>
      </c>
      <c r="L122" s="39" t="str">
        <f t="shared" si="2"/>
        <v>Day</v>
      </c>
      <c r="M122" s="39" t="str">
        <f t="array" ref="M122">XLOOKUP(D122,'Category dict'!$B$1:$B$4,'Category dict'!$A$1:$A$4,0,0,1)</f>
        <v>Business</v>
      </c>
      <c r="N122" s="39" t="str">
        <f>VLOOKUP(H122,'Purpose dict'!$A$1:$B$12,2,0)</f>
        <v>Errand/Supplies</v>
      </c>
    </row>
    <row r="123" hidden="1">
      <c r="A123" s="3" t="s">
        <v>223</v>
      </c>
      <c r="B123" s="34">
        <v>42418.34652777778</v>
      </c>
      <c r="C123" s="34">
        <v>42418.35208333333</v>
      </c>
      <c r="D123" s="35">
        <v>423.0</v>
      </c>
      <c r="E123" s="3" t="s">
        <v>208</v>
      </c>
      <c r="F123" s="3" t="s">
        <v>208</v>
      </c>
      <c r="G123" s="36">
        <v>23.5</v>
      </c>
      <c r="H123" s="35">
        <v>5.0</v>
      </c>
      <c r="I123" s="37">
        <v>0.34652777777777777</v>
      </c>
      <c r="J123" s="37">
        <v>0.35208333333333336</v>
      </c>
      <c r="K123" s="38">
        <f t="shared" si="3"/>
        <v>0.005555555556</v>
      </c>
      <c r="L123" s="39" t="str">
        <f t="shared" si="2"/>
        <v>Morning</v>
      </c>
      <c r="M123" s="39" t="str">
        <f t="array" ref="M123">XLOOKUP(D123,'Category dict'!$B$1:$B$4,'Category dict'!$A$1:$A$4,0,0,1)</f>
        <v>Business</v>
      </c>
      <c r="N123" s="39" t="str">
        <f>VLOOKUP(H123,'Purpose dict'!$A$1:$B$12,2,0)</f>
        <v>Temporary Site</v>
      </c>
    </row>
    <row r="124" hidden="1">
      <c r="A124" s="3" t="s">
        <v>224</v>
      </c>
      <c r="B124" s="34">
        <v>42418.58541666667</v>
      </c>
      <c r="C124" s="34">
        <v>42418.614583333336</v>
      </c>
      <c r="D124" s="35">
        <v>423.0</v>
      </c>
      <c r="E124" s="3" t="s">
        <v>208</v>
      </c>
      <c r="F124" s="3" t="s">
        <v>225</v>
      </c>
      <c r="G124" s="36">
        <v>12.7</v>
      </c>
      <c r="H124" s="35">
        <v>5.0</v>
      </c>
      <c r="I124" s="37">
        <v>0.5854166666666667</v>
      </c>
      <c r="J124" s="37">
        <v>0.6145833333333334</v>
      </c>
      <c r="K124" s="38">
        <f t="shared" si="3"/>
        <v>0.02916666667</v>
      </c>
      <c r="L124" s="39" t="str">
        <f t="shared" si="2"/>
        <v>Day</v>
      </c>
      <c r="M124" s="39" t="str">
        <f t="array" ref="M124">XLOOKUP(D124,'Category dict'!$B$1:$B$4,'Category dict'!$A$1:$A$4,0,0,1)</f>
        <v>Business</v>
      </c>
      <c r="N124" s="39" t="str">
        <f>VLOOKUP(H124,'Purpose dict'!$A$1:$B$12,2,0)</f>
        <v>Temporary Site</v>
      </c>
    </row>
    <row r="125" hidden="1">
      <c r="A125" s="3" t="s">
        <v>226</v>
      </c>
      <c r="B125" s="34">
        <v>42418.63611111111</v>
      </c>
      <c r="C125" s="34">
        <v>42418.646527777775</v>
      </c>
      <c r="D125" s="35">
        <v>423.0</v>
      </c>
      <c r="E125" s="3" t="s">
        <v>225</v>
      </c>
      <c r="F125" s="3" t="s">
        <v>208</v>
      </c>
      <c r="G125" s="36">
        <v>6.0</v>
      </c>
      <c r="H125" s="35">
        <v>5.0</v>
      </c>
      <c r="I125" s="37">
        <v>0.6361111111111111</v>
      </c>
      <c r="J125" s="37">
        <v>0.6465277777777778</v>
      </c>
      <c r="K125" s="38">
        <f t="shared" si="3"/>
        <v>0.01041666667</v>
      </c>
      <c r="L125" s="39" t="str">
        <f t="shared" si="2"/>
        <v>Day</v>
      </c>
      <c r="M125" s="39" t="str">
        <f t="array" ref="M125">XLOOKUP(D125,'Category dict'!$B$1:$B$4,'Category dict'!$A$1:$A$4,0,0,1)</f>
        <v>Business</v>
      </c>
      <c r="N125" s="39" t="str">
        <f>VLOOKUP(H125,'Purpose dict'!$A$1:$B$12,2,0)</f>
        <v>Temporary Site</v>
      </c>
    </row>
    <row r="126" hidden="1">
      <c r="A126" s="3" t="s">
        <v>227</v>
      </c>
      <c r="B126" s="34">
        <v>42418.78055555555</v>
      </c>
      <c r="C126" s="34">
        <v>42418.79027777778</v>
      </c>
      <c r="D126" s="35">
        <v>423.0</v>
      </c>
      <c r="E126" s="3" t="s">
        <v>208</v>
      </c>
      <c r="F126" s="3" t="s">
        <v>225</v>
      </c>
      <c r="G126" s="36">
        <v>5.2</v>
      </c>
      <c r="H126" s="35">
        <v>4.0</v>
      </c>
      <c r="I126" s="37">
        <v>0.7805555555555556</v>
      </c>
      <c r="J126" s="37">
        <v>0.7902777777777777</v>
      </c>
      <c r="K126" s="38">
        <f t="shared" si="3"/>
        <v>0.009722222222</v>
      </c>
      <c r="L126" s="39" t="str">
        <f t="shared" si="2"/>
        <v>Evening</v>
      </c>
      <c r="M126" s="39" t="str">
        <f t="array" ref="M126">XLOOKUP(D126,'Category dict'!$B$1:$B$4,'Category dict'!$A$1:$A$4,0,0,1)</f>
        <v>Business</v>
      </c>
      <c r="N126" s="39" t="str">
        <f>VLOOKUP(H126,'Purpose dict'!$A$1:$B$12,2,0)</f>
        <v>Customer Visit</v>
      </c>
    </row>
    <row r="127" hidden="1">
      <c r="A127" s="3" t="s">
        <v>228</v>
      </c>
      <c r="B127" s="34">
        <v>42418.81041666667</v>
      </c>
      <c r="C127" s="34">
        <v>42418.83888888889</v>
      </c>
      <c r="D127" s="35">
        <v>423.0</v>
      </c>
      <c r="E127" s="3" t="s">
        <v>225</v>
      </c>
      <c r="F127" s="3" t="s">
        <v>208</v>
      </c>
      <c r="G127" s="36">
        <v>10.0</v>
      </c>
      <c r="H127" s="35">
        <v>3.0</v>
      </c>
      <c r="I127" s="37">
        <v>0.8104166666666667</v>
      </c>
      <c r="J127" s="37">
        <v>0.8388888888888889</v>
      </c>
      <c r="K127" s="38">
        <f t="shared" si="3"/>
        <v>0.02847222222</v>
      </c>
      <c r="L127" s="39" t="str">
        <f t="shared" si="2"/>
        <v>Evening</v>
      </c>
      <c r="M127" s="39" t="str">
        <f t="array" ref="M127">XLOOKUP(D127,'Category dict'!$B$1:$B$4,'Category dict'!$A$1:$A$4,0,0,1)</f>
        <v>Business</v>
      </c>
      <c r="N127" s="39" t="str">
        <f>VLOOKUP(H127,'Purpose dict'!$A$1:$B$12,2,0)</f>
        <v>Meeting</v>
      </c>
    </row>
    <row r="128" hidden="1">
      <c r="A128" s="3" t="s">
        <v>229</v>
      </c>
      <c r="B128" s="34">
        <v>42419.376388888886</v>
      </c>
      <c r="C128" s="34">
        <v>42419.384722222225</v>
      </c>
      <c r="D128" s="35">
        <v>423.0</v>
      </c>
      <c r="E128" s="3" t="s">
        <v>208</v>
      </c>
      <c r="F128" s="3" t="s">
        <v>208</v>
      </c>
      <c r="G128" s="36">
        <v>18.3</v>
      </c>
      <c r="H128" s="35">
        <v>3.0</v>
      </c>
      <c r="I128" s="37">
        <v>0.3763888888888889</v>
      </c>
      <c r="J128" s="37">
        <v>0.38472222222222224</v>
      </c>
      <c r="K128" s="38">
        <f t="shared" si="3"/>
        <v>0.008333333333</v>
      </c>
      <c r="L128" s="39" t="str">
        <f t="shared" si="2"/>
        <v>Morning</v>
      </c>
      <c r="M128" s="39" t="str">
        <f t="array" ref="M128">XLOOKUP(D128,'Category dict'!$B$1:$B$4,'Category dict'!$A$1:$A$4,0,0,1)</f>
        <v>Business</v>
      </c>
      <c r="N128" s="39" t="str">
        <f>VLOOKUP(H128,'Purpose dict'!$A$1:$B$12,2,0)</f>
        <v>Meeting</v>
      </c>
    </row>
    <row r="129" hidden="1">
      <c r="A129" s="3" t="s">
        <v>230</v>
      </c>
      <c r="B129" s="34">
        <v>42419.38958333333</v>
      </c>
      <c r="C129" s="34">
        <v>42419.410416666666</v>
      </c>
      <c r="D129" s="35">
        <v>423.0</v>
      </c>
      <c r="E129" s="3" t="s">
        <v>208</v>
      </c>
      <c r="F129" s="3" t="s">
        <v>208</v>
      </c>
      <c r="G129" s="36">
        <v>11.2</v>
      </c>
      <c r="H129" s="35">
        <v>3.0</v>
      </c>
      <c r="I129" s="37">
        <v>0.38958333333333334</v>
      </c>
      <c r="J129" s="37">
        <v>0.41041666666666665</v>
      </c>
      <c r="K129" s="38">
        <f t="shared" si="3"/>
        <v>0.02083333333</v>
      </c>
      <c r="L129" s="39" t="str">
        <f t="shared" si="2"/>
        <v>Morning</v>
      </c>
      <c r="M129" s="39" t="str">
        <f t="array" ref="M129">XLOOKUP(D129,'Category dict'!$B$1:$B$4,'Category dict'!$A$1:$A$4,0,0,1)</f>
        <v>Business</v>
      </c>
      <c r="N129" s="39" t="str">
        <f>VLOOKUP(H129,'Purpose dict'!$A$1:$B$12,2,0)</f>
        <v>Meeting</v>
      </c>
    </row>
    <row r="130" hidden="1">
      <c r="A130" s="3" t="s">
        <v>231</v>
      </c>
      <c r="B130" s="34">
        <v>42419.43125</v>
      </c>
      <c r="C130" s="34">
        <v>42419.45</v>
      </c>
      <c r="D130" s="35">
        <v>423.0</v>
      </c>
      <c r="E130" s="3" t="s">
        <v>208</v>
      </c>
      <c r="F130" s="3" t="s">
        <v>225</v>
      </c>
      <c r="G130" s="36">
        <v>7.6</v>
      </c>
      <c r="H130" s="35">
        <v>3.0</v>
      </c>
      <c r="I130" s="37">
        <v>0.43125</v>
      </c>
      <c r="J130" s="37">
        <v>0.45</v>
      </c>
      <c r="K130" s="38">
        <f t="shared" si="3"/>
        <v>0.01875</v>
      </c>
      <c r="L130" s="39" t="str">
        <f t="shared" si="2"/>
        <v>Morning</v>
      </c>
      <c r="M130" s="39" t="str">
        <f t="array" ref="M130">XLOOKUP(D130,'Category dict'!$B$1:$B$4,'Category dict'!$A$1:$A$4,0,0,1)</f>
        <v>Business</v>
      </c>
      <c r="N130" s="39" t="str">
        <f>VLOOKUP(H130,'Purpose dict'!$A$1:$B$12,2,0)</f>
        <v>Meeting</v>
      </c>
    </row>
    <row r="131">
      <c r="A131" s="3" t="s">
        <v>232</v>
      </c>
      <c r="B131" s="34">
        <v>42419.47222222222</v>
      </c>
      <c r="C131" s="34">
        <v>42419.47638888889</v>
      </c>
      <c r="D131" s="35">
        <v>527.0</v>
      </c>
      <c r="E131" s="3" t="s">
        <v>225</v>
      </c>
      <c r="F131" s="3" t="s">
        <v>225</v>
      </c>
      <c r="G131" s="40">
        <v>1.5</v>
      </c>
      <c r="H131" s="35">
        <v>123.0</v>
      </c>
      <c r="I131" s="37">
        <v>0.4722222222222222</v>
      </c>
      <c r="J131" s="37">
        <v>0.47638888888888886</v>
      </c>
      <c r="K131" s="38">
        <f t="shared" si="3"/>
        <v>0.004166666667</v>
      </c>
      <c r="L131" s="39" t="str">
        <f t="shared" si="2"/>
        <v>Morning</v>
      </c>
      <c r="M131" s="39" t="str">
        <f t="array" ref="M131">XLOOKUP(D131,'Category dict'!$B$1:$B$4,'Category dict'!$A$1:$A$4,0,0,1)</f>
        <v>Personal</v>
      </c>
      <c r="N131" s="39" t="str">
        <f>VLOOKUP(H131,'Purpose dict'!$A$1:$B$12,2,0)</f>
        <v>NOT DEFINED</v>
      </c>
    </row>
    <row r="132">
      <c r="A132" s="3" t="s">
        <v>233</v>
      </c>
      <c r="B132" s="34">
        <v>42419.489583333336</v>
      </c>
      <c r="C132" s="34">
        <v>42419.493055555555</v>
      </c>
      <c r="D132" s="35">
        <v>527.0</v>
      </c>
      <c r="E132" s="3" t="s">
        <v>225</v>
      </c>
      <c r="F132" s="3" t="s">
        <v>225</v>
      </c>
      <c r="G132" s="40">
        <v>1.0</v>
      </c>
      <c r="H132" s="35">
        <v>123.0</v>
      </c>
      <c r="I132" s="37">
        <v>0.4895833333333333</v>
      </c>
      <c r="J132" s="37">
        <v>0.4930555555555556</v>
      </c>
      <c r="K132" s="38">
        <f t="shared" si="3"/>
        <v>0.003472222222</v>
      </c>
      <c r="L132" s="39" t="str">
        <f t="shared" si="2"/>
        <v>Morning</v>
      </c>
      <c r="M132" s="39" t="str">
        <f t="array" ref="M132">XLOOKUP(D132,'Category dict'!$B$1:$B$4,'Category dict'!$A$1:$A$4,0,0,1)</f>
        <v>Personal</v>
      </c>
      <c r="N132" s="39" t="str">
        <f>VLOOKUP(H132,'Purpose dict'!$A$1:$B$12,2,0)</f>
        <v>NOT DEFINED</v>
      </c>
    </row>
    <row r="133" hidden="1">
      <c r="A133" s="3" t="s">
        <v>234</v>
      </c>
      <c r="B133" s="34">
        <v>42419.50625</v>
      </c>
      <c r="C133" s="34">
        <v>42419.51875</v>
      </c>
      <c r="D133" s="35">
        <v>423.0</v>
      </c>
      <c r="E133" s="3" t="s">
        <v>225</v>
      </c>
      <c r="F133" s="3" t="s">
        <v>208</v>
      </c>
      <c r="G133" s="36">
        <v>7.3</v>
      </c>
      <c r="H133" s="35">
        <v>5.0</v>
      </c>
      <c r="I133" s="37">
        <v>0.50625</v>
      </c>
      <c r="J133" s="37">
        <v>0.51875</v>
      </c>
      <c r="K133" s="38">
        <f t="shared" si="3"/>
        <v>0.0125</v>
      </c>
      <c r="L133" s="39" t="str">
        <f t="shared" si="2"/>
        <v>Day</v>
      </c>
      <c r="M133" s="39" t="str">
        <f t="array" ref="M133">XLOOKUP(D133,'Category dict'!$B$1:$B$4,'Category dict'!$A$1:$A$4,0,0,1)</f>
        <v>Business</v>
      </c>
      <c r="N133" s="39" t="str">
        <f>VLOOKUP(H133,'Purpose dict'!$A$1:$B$12,2,0)</f>
        <v>Temporary Site</v>
      </c>
    </row>
    <row r="134" hidden="1">
      <c r="A134" s="3" t="s">
        <v>235</v>
      </c>
      <c r="B134" s="34">
        <v>42419.68472222222</v>
      </c>
      <c r="C134" s="34">
        <v>42419.697916666664</v>
      </c>
      <c r="D134" s="35">
        <v>423.0</v>
      </c>
      <c r="E134" s="3" t="s">
        <v>208</v>
      </c>
      <c r="F134" s="3" t="s">
        <v>225</v>
      </c>
      <c r="G134" s="36">
        <v>3.5</v>
      </c>
      <c r="H134" s="35">
        <v>123.0</v>
      </c>
      <c r="I134" s="37">
        <v>0.6847222222222222</v>
      </c>
      <c r="J134" s="37">
        <v>0.6979166666666666</v>
      </c>
      <c r="K134" s="38">
        <f t="shared" si="3"/>
        <v>0.01319444444</v>
      </c>
      <c r="L134" s="39" t="str">
        <f t="shared" si="2"/>
        <v>Day</v>
      </c>
      <c r="M134" s="39" t="str">
        <f t="array" ref="M134">XLOOKUP(D134,'Category dict'!$B$1:$B$4,'Category dict'!$A$1:$A$4,0,0,1)</f>
        <v>Business</v>
      </c>
      <c r="N134" s="39" t="str">
        <f>VLOOKUP(H134,'Purpose dict'!$A$1:$B$12,2,0)</f>
        <v>NOT DEFINED</v>
      </c>
    </row>
    <row r="135" hidden="1">
      <c r="A135" s="3" t="s">
        <v>236</v>
      </c>
      <c r="B135" s="34">
        <v>42419.714583333334</v>
      </c>
      <c r="C135" s="34">
        <v>42419.72222222222</v>
      </c>
      <c r="D135" s="35">
        <v>423.0</v>
      </c>
      <c r="E135" s="3" t="s">
        <v>225</v>
      </c>
      <c r="F135" s="3" t="s">
        <v>225</v>
      </c>
      <c r="G135" s="36">
        <v>4.2</v>
      </c>
      <c r="H135" s="35">
        <v>123.0</v>
      </c>
      <c r="I135" s="37">
        <v>0.7145833333333333</v>
      </c>
      <c r="J135" s="37">
        <v>0.7222222222222222</v>
      </c>
      <c r="K135" s="38">
        <f t="shared" si="3"/>
        <v>0.007638888889</v>
      </c>
      <c r="L135" s="39" t="str">
        <f t="shared" si="2"/>
        <v>Day</v>
      </c>
      <c r="M135" s="39" t="str">
        <f t="array" ref="M135">XLOOKUP(D135,'Category dict'!$B$1:$B$4,'Category dict'!$A$1:$A$4,0,0,1)</f>
        <v>Business</v>
      </c>
      <c r="N135" s="39" t="str">
        <f>VLOOKUP(H135,'Purpose dict'!$A$1:$B$12,2,0)</f>
        <v>NOT DEFINED</v>
      </c>
    </row>
    <row r="136" hidden="1">
      <c r="A136" s="3" t="s">
        <v>237</v>
      </c>
      <c r="B136" s="34">
        <v>42419.83888888889</v>
      </c>
      <c r="C136" s="34">
        <v>42419.854166666664</v>
      </c>
      <c r="D136" s="35">
        <v>527.0</v>
      </c>
      <c r="E136" s="3" t="s">
        <v>225</v>
      </c>
      <c r="F136" s="3" t="s">
        <v>208</v>
      </c>
      <c r="G136" s="36">
        <v>13.6</v>
      </c>
      <c r="H136" s="35">
        <v>123.0</v>
      </c>
      <c r="I136" s="37">
        <v>0.8388888888888889</v>
      </c>
      <c r="J136" s="37">
        <v>0.8541666666666666</v>
      </c>
      <c r="K136" s="38">
        <f t="shared" si="3"/>
        <v>0.01527777778</v>
      </c>
      <c r="L136" s="39" t="str">
        <f t="shared" si="2"/>
        <v>Evening</v>
      </c>
      <c r="M136" s="39" t="str">
        <f t="array" ref="M136">XLOOKUP(D136,'Category dict'!$B$1:$B$4,'Category dict'!$A$1:$A$4,0,0,1)</f>
        <v>Personal</v>
      </c>
      <c r="N136" s="39" t="str">
        <f>VLOOKUP(H136,'Purpose dict'!$A$1:$B$12,2,0)</f>
        <v>NOT DEFINED</v>
      </c>
    </row>
    <row r="137" hidden="1">
      <c r="A137" s="3" t="s">
        <v>238</v>
      </c>
      <c r="B137" s="34">
        <v>42419.856944444444</v>
      </c>
      <c r="C137" s="34">
        <v>42419.86875</v>
      </c>
      <c r="D137" s="35">
        <v>527.0</v>
      </c>
      <c r="E137" s="3" t="s">
        <v>208</v>
      </c>
      <c r="F137" s="3" t="s">
        <v>208</v>
      </c>
      <c r="G137" s="36">
        <v>2.5</v>
      </c>
      <c r="H137" s="35">
        <v>123.0</v>
      </c>
      <c r="I137" s="37">
        <v>0.8569444444444444</v>
      </c>
      <c r="J137" s="37">
        <v>0.86875</v>
      </c>
      <c r="K137" s="38">
        <f t="shared" si="3"/>
        <v>0.01180555556</v>
      </c>
      <c r="L137" s="39" t="str">
        <f t="shared" si="2"/>
        <v>Evening</v>
      </c>
      <c r="M137" s="39" t="str">
        <f t="array" ref="M137">XLOOKUP(D137,'Category dict'!$B$1:$B$4,'Category dict'!$A$1:$A$4,0,0,1)</f>
        <v>Personal</v>
      </c>
      <c r="N137" s="39" t="str">
        <f>VLOOKUP(H137,'Purpose dict'!$A$1:$B$12,2,0)</f>
        <v>NOT DEFINED</v>
      </c>
    </row>
    <row r="138" hidden="1">
      <c r="A138" s="3" t="s">
        <v>239</v>
      </c>
      <c r="B138" s="34">
        <v>42420.33263888889</v>
      </c>
      <c r="C138" s="34">
        <v>42420.35555555556</v>
      </c>
      <c r="D138" s="35">
        <v>527.0</v>
      </c>
      <c r="E138" s="3" t="s">
        <v>208</v>
      </c>
      <c r="F138" s="3" t="s">
        <v>225</v>
      </c>
      <c r="G138" s="36">
        <v>14.4</v>
      </c>
      <c r="H138" s="35">
        <v>123.0</v>
      </c>
      <c r="I138" s="37">
        <v>0.3326388888888889</v>
      </c>
      <c r="J138" s="37">
        <v>0.35555555555555557</v>
      </c>
      <c r="K138" s="38">
        <f t="shared" si="3"/>
        <v>0.02291666667</v>
      </c>
      <c r="L138" s="39" t="str">
        <f t="shared" si="2"/>
        <v>Morning</v>
      </c>
      <c r="M138" s="39" t="str">
        <f t="array" ref="M138">XLOOKUP(D138,'Category dict'!$B$1:$B$4,'Category dict'!$A$1:$A$4,0,0,1)</f>
        <v>Personal</v>
      </c>
      <c r="N138" s="39" t="str">
        <f>VLOOKUP(H138,'Purpose dict'!$A$1:$B$12,2,0)</f>
        <v>NOT DEFINED</v>
      </c>
    </row>
    <row r="139" hidden="1">
      <c r="A139" s="3" t="s">
        <v>240</v>
      </c>
      <c r="B139" s="34">
        <v>42420.45</v>
      </c>
      <c r="C139" s="34">
        <v>42420.455555555556</v>
      </c>
      <c r="D139" s="35">
        <v>527.0</v>
      </c>
      <c r="E139" s="3" t="s">
        <v>225</v>
      </c>
      <c r="F139" s="3" t="s">
        <v>225</v>
      </c>
      <c r="G139" s="36">
        <v>3.0</v>
      </c>
      <c r="H139" s="35">
        <v>123.0</v>
      </c>
      <c r="I139" s="37">
        <v>0.45</v>
      </c>
      <c r="J139" s="37">
        <v>0.45555555555555555</v>
      </c>
      <c r="K139" s="38">
        <f t="shared" si="3"/>
        <v>0.005555555556</v>
      </c>
      <c r="L139" s="39" t="str">
        <f t="shared" si="2"/>
        <v>Morning</v>
      </c>
      <c r="M139" s="39" t="str">
        <f t="array" ref="M139">XLOOKUP(D139,'Category dict'!$B$1:$B$4,'Category dict'!$A$1:$A$4,0,0,1)</f>
        <v>Personal</v>
      </c>
      <c r="N139" s="39" t="str">
        <f>VLOOKUP(H139,'Purpose dict'!$A$1:$B$12,2,0)</f>
        <v>NOT DEFINED</v>
      </c>
    </row>
    <row r="140">
      <c r="A140" s="3" t="s">
        <v>241</v>
      </c>
      <c r="B140" s="34">
        <v>42420.489583333336</v>
      </c>
      <c r="C140" s="34">
        <v>42420.49513888889</v>
      </c>
      <c r="D140" s="35">
        <v>527.0</v>
      </c>
      <c r="E140" s="3" t="s">
        <v>225</v>
      </c>
      <c r="F140" s="3" t="s">
        <v>225</v>
      </c>
      <c r="G140" s="40">
        <v>1.5</v>
      </c>
      <c r="H140" s="35">
        <v>123.0</v>
      </c>
      <c r="I140" s="37">
        <v>0.4895833333333333</v>
      </c>
      <c r="J140" s="37">
        <v>0.4951388888888889</v>
      </c>
      <c r="K140" s="38">
        <f t="shared" si="3"/>
        <v>0.005555555556</v>
      </c>
      <c r="L140" s="39" t="str">
        <f t="shared" si="2"/>
        <v>Morning</v>
      </c>
      <c r="M140" s="39" t="str">
        <f t="array" ref="M140">XLOOKUP(D140,'Category dict'!$B$1:$B$4,'Category dict'!$A$1:$A$4,0,0,1)</f>
        <v>Personal</v>
      </c>
      <c r="N140" s="39" t="str">
        <f>VLOOKUP(H140,'Purpose dict'!$A$1:$B$12,2,0)</f>
        <v>NOT DEFINED</v>
      </c>
    </row>
    <row r="141" hidden="1">
      <c r="A141" s="3" t="s">
        <v>242</v>
      </c>
      <c r="B141" s="34">
        <v>42420.52847222222</v>
      </c>
      <c r="C141" s="34">
        <v>42420.55347222222</v>
      </c>
      <c r="D141" s="35">
        <v>423.0</v>
      </c>
      <c r="E141" s="3" t="s">
        <v>225</v>
      </c>
      <c r="F141" s="3" t="s">
        <v>243</v>
      </c>
      <c r="G141" s="36">
        <v>18.4</v>
      </c>
      <c r="H141" s="35">
        <v>123.0</v>
      </c>
      <c r="I141" s="37">
        <v>0.5284722222222222</v>
      </c>
      <c r="J141" s="37">
        <v>0.5534722222222223</v>
      </c>
      <c r="K141" s="38">
        <f t="shared" si="3"/>
        <v>0.025</v>
      </c>
      <c r="L141" s="39" t="str">
        <f t="shared" si="2"/>
        <v>Day</v>
      </c>
      <c r="M141" s="39" t="str">
        <f t="array" ref="M141">XLOOKUP(D141,'Category dict'!$B$1:$B$4,'Category dict'!$A$1:$A$4,0,0,1)</f>
        <v>Business</v>
      </c>
      <c r="N141" s="39" t="str">
        <f>VLOOKUP(H141,'Purpose dict'!$A$1:$B$12,2,0)</f>
        <v>NOT DEFINED</v>
      </c>
    </row>
    <row r="142" hidden="1">
      <c r="A142" s="3" t="s">
        <v>244</v>
      </c>
      <c r="B142" s="34">
        <v>42420.618055555555</v>
      </c>
      <c r="C142" s="34">
        <v>42420.6625</v>
      </c>
      <c r="D142" s="35">
        <v>423.0</v>
      </c>
      <c r="E142" s="3" t="s">
        <v>243</v>
      </c>
      <c r="F142" s="3" t="s">
        <v>243</v>
      </c>
      <c r="G142" s="36">
        <v>23.1</v>
      </c>
      <c r="H142" s="35">
        <v>3.0</v>
      </c>
      <c r="I142" s="37">
        <v>0.6180555555555556</v>
      </c>
      <c r="J142" s="37">
        <v>0.6625</v>
      </c>
      <c r="K142" s="38">
        <f t="shared" si="3"/>
        <v>0.04444444444</v>
      </c>
      <c r="L142" s="39" t="str">
        <f t="shared" si="2"/>
        <v>Day</v>
      </c>
      <c r="M142" s="39" t="str">
        <f t="array" ref="M142">XLOOKUP(D142,'Category dict'!$B$1:$B$4,'Category dict'!$A$1:$A$4,0,0,1)</f>
        <v>Business</v>
      </c>
      <c r="N142" s="39" t="str">
        <f>VLOOKUP(H142,'Purpose dict'!$A$1:$B$12,2,0)</f>
        <v>Meeting</v>
      </c>
    </row>
    <row r="143" hidden="1">
      <c r="A143" s="3" t="s">
        <v>245</v>
      </c>
      <c r="B143" s="34">
        <v>42420.70763888889</v>
      </c>
      <c r="C143" s="34">
        <v>42420.745833333334</v>
      </c>
      <c r="D143" s="35">
        <v>527.0</v>
      </c>
      <c r="E143" s="3" t="s">
        <v>243</v>
      </c>
      <c r="F143" s="3" t="s">
        <v>208</v>
      </c>
      <c r="G143" s="36">
        <v>16.5</v>
      </c>
      <c r="H143" s="35">
        <v>123.0</v>
      </c>
      <c r="I143" s="37">
        <v>0.7076388888888889</v>
      </c>
      <c r="J143" s="37">
        <v>0.7458333333333333</v>
      </c>
      <c r="K143" s="38">
        <f t="shared" si="3"/>
        <v>0.03819444444</v>
      </c>
      <c r="L143" s="39" t="str">
        <f t="shared" si="2"/>
        <v>Day</v>
      </c>
      <c r="M143" s="39" t="str">
        <f t="array" ref="M143">XLOOKUP(D143,'Category dict'!$B$1:$B$4,'Category dict'!$A$1:$A$4,0,0,1)</f>
        <v>Personal</v>
      </c>
      <c r="N143" s="39" t="str">
        <f>VLOOKUP(H143,'Purpose dict'!$A$1:$B$12,2,0)</f>
        <v>NOT DEFINED</v>
      </c>
    </row>
    <row r="144" hidden="1">
      <c r="A144" s="3" t="s">
        <v>246</v>
      </c>
      <c r="B144" s="34">
        <v>42420.75</v>
      </c>
      <c r="C144" s="34">
        <v>42420.75208333333</v>
      </c>
      <c r="D144" s="35">
        <v>423.0</v>
      </c>
      <c r="E144" s="3" t="s">
        <v>208</v>
      </c>
      <c r="F144" s="3" t="s">
        <v>208</v>
      </c>
      <c r="G144" s="36">
        <v>3.2</v>
      </c>
      <c r="H144" s="35">
        <v>2.0</v>
      </c>
      <c r="I144" s="37">
        <v>0.75</v>
      </c>
      <c r="J144" s="37">
        <v>0.7520833333333333</v>
      </c>
      <c r="K144" s="38">
        <f t="shared" si="3"/>
        <v>0.002083333333</v>
      </c>
      <c r="L144" s="39" t="str">
        <f t="shared" si="2"/>
        <v>Day</v>
      </c>
      <c r="M144" s="39" t="str">
        <f t="array" ref="M144">XLOOKUP(D144,'Category dict'!$B$1:$B$4,'Category dict'!$A$1:$A$4,0,0,1)</f>
        <v>Business</v>
      </c>
      <c r="N144" s="39" t="str">
        <f>VLOOKUP(H144,'Purpose dict'!$A$1:$B$12,2,0)</f>
        <v>Errand/Supplies</v>
      </c>
    </row>
    <row r="145" hidden="1">
      <c r="A145" s="3" t="s">
        <v>247</v>
      </c>
      <c r="B145" s="34">
        <v>42420.811111111114</v>
      </c>
      <c r="C145" s="34">
        <v>42420.825694444444</v>
      </c>
      <c r="D145" s="35">
        <v>423.0</v>
      </c>
      <c r="E145" s="3" t="s">
        <v>208</v>
      </c>
      <c r="F145" s="3" t="s">
        <v>208</v>
      </c>
      <c r="G145" s="36">
        <v>7.7</v>
      </c>
      <c r="H145" s="35">
        <v>2.0</v>
      </c>
      <c r="I145" s="37">
        <v>0.8111111111111111</v>
      </c>
      <c r="J145" s="37">
        <v>0.8256944444444444</v>
      </c>
      <c r="K145" s="38">
        <f t="shared" si="3"/>
        <v>0.01458333333</v>
      </c>
      <c r="L145" s="39" t="str">
        <f t="shared" si="2"/>
        <v>Evening</v>
      </c>
      <c r="M145" s="39" t="str">
        <f t="array" ref="M145">XLOOKUP(D145,'Category dict'!$B$1:$B$4,'Category dict'!$A$1:$A$4,0,0,1)</f>
        <v>Business</v>
      </c>
      <c r="N145" s="39" t="str">
        <f>VLOOKUP(H145,'Purpose dict'!$A$1:$B$12,2,0)</f>
        <v>Errand/Supplies</v>
      </c>
    </row>
    <row r="146" hidden="1">
      <c r="A146" s="3" t="s">
        <v>248</v>
      </c>
      <c r="B146" s="34">
        <v>42421.37986111111</v>
      </c>
      <c r="C146" s="34">
        <v>42421.40694444445</v>
      </c>
      <c r="D146" s="35">
        <v>423.0</v>
      </c>
      <c r="E146" s="3" t="s">
        <v>208</v>
      </c>
      <c r="F146" s="3" t="s">
        <v>225</v>
      </c>
      <c r="G146" s="36">
        <v>14.5</v>
      </c>
      <c r="H146" s="35">
        <v>123.0</v>
      </c>
      <c r="I146" s="37">
        <v>0.3798611111111111</v>
      </c>
      <c r="J146" s="37">
        <v>0.40694444444444444</v>
      </c>
      <c r="K146" s="38">
        <f t="shared" si="3"/>
        <v>0.02708333333</v>
      </c>
      <c r="L146" s="39" t="str">
        <f t="shared" si="2"/>
        <v>Morning</v>
      </c>
      <c r="M146" s="39" t="str">
        <f t="array" ref="M146">XLOOKUP(D146,'Category dict'!$B$1:$B$4,'Category dict'!$A$1:$A$4,0,0,1)</f>
        <v>Business</v>
      </c>
      <c r="N146" s="39" t="str">
        <f>VLOOKUP(H146,'Purpose dict'!$A$1:$B$12,2,0)</f>
        <v>NOT DEFINED</v>
      </c>
    </row>
    <row r="147" hidden="1">
      <c r="A147" s="3" t="s">
        <v>249</v>
      </c>
      <c r="B147" s="34">
        <v>42421.48541666667</v>
      </c>
      <c r="C147" s="34">
        <v>42421.48819444444</v>
      </c>
      <c r="D147" s="35">
        <v>423.0</v>
      </c>
      <c r="E147" s="3" t="s">
        <v>208</v>
      </c>
      <c r="F147" s="3" t="s">
        <v>225</v>
      </c>
      <c r="G147" s="36">
        <v>2.4</v>
      </c>
      <c r="H147" s="35">
        <v>2.0</v>
      </c>
      <c r="I147" s="37">
        <v>0.48541666666666666</v>
      </c>
      <c r="J147" s="37">
        <v>0.48819444444444443</v>
      </c>
      <c r="K147" s="38">
        <f t="shared" si="3"/>
        <v>0.002777777778</v>
      </c>
      <c r="L147" s="39" t="str">
        <f t="shared" si="2"/>
        <v>Morning</v>
      </c>
      <c r="M147" s="39" t="str">
        <f t="array" ref="M147">XLOOKUP(D147,'Category dict'!$B$1:$B$4,'Category dict'!$A$1:$A$4,0,0,1)</f>
        <v>Business</v>
      </c>
      <c r="N147" s="39" t="str">
        <f>VLOOKUP(H147,'Purpose dict'!$A$1:$B$12,2,0)</f>
        <v>Errand/Supplies</v>
      </c>
    </row>
    <row r="148" hidden="1">
      <c r="A148" s="3" t="s">
        <v>250</v>
      </c>
      <c r="B148" s="34">
        <v>42421.49097222222</v>
      </c>
      <c r="C148" s="34">
        <v>42421.50069444445</v>
      </c>
      <c r="D148" s="35">
        <v>423.0</v>
      </c>
      <c r="E148" s="3" t="s">
        <v>225</v>
      </c>
      <c r="F148" s="3" t="s">
        <v>225</v>
      </c>
      <c r="G148" s="36">
        <v>4.6</v>
      </c>
      <c r="H148" s="35">
        <v>2.0</v>
      </c>
      <c r="I148" s="37">
        <v>0.4909722222222222</v>
      </c>
      <c r="J148" s="37">
        <v>0.5006944444444444</v>
      </c>
      <c r="K148" s="38">
        <f t="shared" si="3"/>
        <v>0.009722222222</v>
      </c>
      <c r="L148" s="39" t="str">
        <f t="shared" si="2"/>
        <v>Morning</v>
      </c>
      <c r="M148" s="39" t="str">
        <f t="array" ref="M148">XLOOKUP(D148,'Category dict'!$B$1:$B$4,'Category dict'!$A$1:$A$4,0,0,1)</f>
        <v>Business</v>
      </c>
      <c r="N148" s="39" t="str">
        <f>VLOOKUP(H148,'Purpose dict'!$A$1:$B$12,2,0)</f>
        <v>Errand/Supplies</v>
      </c>
    </row>
    <row r="149" hidden="1">
      <c r="A149" s="3" t="s">
        <v>251</v>
      </c>
      <c r="B149" s="34">
        <v>42421.50902777778</v>
      </c>
      <c r="C149" s="34">
        <v>42421.524305555555</v>
      </c>
      <c r="D149" s="35">
        <v>423.0</v>
      </c>
      <c r="E149" s="3" t="s">
        <v>225</v>
      </c>
      <c r="F149" s="3" t="s">
        <v>208</v>
      </c>
      <c r="G149" s="36">
        <v>8.8</v>
      </c>
      <c r="H149" s="35">
        <v>1.0</v>
      </c>
      <c r="I149" s="37">
        <v>0.5090277777777777</v>
      </c>
      <c r="J149" s="37">
        <v>0.5243055555555556</v>
      </c>
      <c r="K149" s="38">
        <f t="shared" si="3"/>
        <v>0.01527777778</v>
      </c>
      <c r="L149" s="39" t="str">
        <f t="shared" si="2"/>
        <v>Day</v>
      </c>
      <c r="M149" s="39" t="str">
        <f t="array" ref="M149">XLOOKUP(D149,'Category dict'!$B$1:$B$4,'Category dict'!$A$1:$A$4,0,0,1)</f>
        <v>Business</v>
      </c>
      <c r="N149" s="39" t="str">
        <f>VLOOKUP(H149,'Purpose dict'!$A$1:$B$12,2,0)</f>
        <v>Meal/Entertain</v>
      </c>
    </row>
    <row r="150" hidden="1">
      <c r="A150" s="3" t="s">
        <v>252</v>
      </c>
      <c r="B150" s="34">
        <v>42421.535416666666</v>
      </c>
      <c r="C150" s="34">
        <v>42421.55</v>
      </c>
      <c r="D150" s="35">
        <v>423.0</v>
      </c>
      <c r="E150" s="3" t="s">
        <v>208</v>
      </c>
      <c r="F150" s="3" t="s">
        <v>208</v>
      </c>
      <c r="G150" s="36">
        <v>8.3</v>
      </c>
      <c r="H150" s="35">
        <v>5.0</v>
      </c>
      <c r="I150" s="37">
        <v>0.5354166666666667</v>
      </c>
      <c r="J150" s="37">
        <v>0.55</v>
      </c>
      <c r="K150" s="38">
        <f t="shared" si="3"/>
        <v>0.01458333333</v>
      </c>
      <c r="L150" s="39" t="str">
        <f t="shared" si="2"/>
        <v>Day</v>
      </c>
      <c r="M150" s="39" t="str">
        <f t="array" ref="M150">XLOOKUP(D150,'Category dict'!$B$1:$B$4,'Category dict'!$A$1:$A$4,0,0,1)</f>
        <v>Business</v>
      </c>
      <c r="N150" s="39" t="str">
        <f>VLOOKUP(H150,'Purpose dict'!$A$1:$B$12,2,0)</f>
        <v>Temporary Site</v>
      </c>
    </row>
    <row r="151" hidden="1">
      <c r="A151" s="3" t="s">
        <v>253</v>
      </c>
      <c r="B151" s="34">
        <v>42421.56458333333</v>
      </c>
      <c r="C151" s="34">
        <v>42421.604166666664</v>
      </c>
      <c r="D151" s="35">
        <v>423.0</v>
      </c>
      <c r="E151" s="3" t="s">
        <v>208</v>
      </c>
      <c r="F151" s="3" t="s">
        <v>208</v>
      </c>
      <c r="G151" s="36">
        <v>22.7</v>
      </c>
      <c r="H151" s="35">
        <v>5.0</v>
      </c>
      <c r="I151" s="37">
        <v>0.5645833333333333</v>
      </c>
      <c r="J151" s="37">
        <v>0.6041666666666666</v>
      </c>
      <c r="K151" s="38">
        <f t="shared" si="3"/>
        <v>0.03958333333</v>
      </c>
      <c r="L151" s="39" t="str">
        <f t="shared" si="2"/>
        <v>Day</v>
      </c>
      <c r="M151" s="39" t="str">
        <f t="array" ref="M151">XLOOKUP(D151,'Category dict'!$B$1:$B$4,'Category dict'!$A$1:$A$4,0,0,1)</f>
        <v>Business</v>
      </c>
      <c r="N151" s="39" t="str">
        <f>VLOOKUP(H151,'Purpose dict'!$A$1:$B$12,2,0)</f>
        <v>Temporary Site</v>
      </c>
    </row>
    <row r="152" hidden="1">
      <c r="A152" s="3" t="s">
        <v>254</v>
      </c>
      <c r="B152" s="34">
        <v>42421.60833333333</v>
      </c>
      <c r="C152" s="34">
        <v>42421.62708333333</v>
      </c>
      <c r="D152" s="35">
        <v>423.0</v>
      </c>
      <c r="E152" s="3" t="s">
        <v>208</v>
      </c>
      <c r="F152" s="3" t="s">
        <v>225</v>
      </c>
      <c r="G152" s="36">
        <v>13.0</v>
      </c>
      <c r="H152" s="35">
        <v>5.0</v>
      </c>
      <c r="I152" s="37">
        <v>0.6083333333333333</v>
      </c>
      <c r="J152" s="37">
        <v>0.6270833333333333</v>
      </c>
      <c r="K152" s="38">
        <f t="shared" si="3"/>
        <v>0.01875</v>
      </c>
      <c r="L152" s="39" t="str">
        <f t="shared" si="2"/>
        <v>Day</v>
      </c>
      <c r="M152" s="39" t="str">
        <f t="array" ref="M152">XLOOKUP(D152,'Category dict'!$B$1:$B$4,'Category dict'!$A$1:$A$4,0,0,1)</f>
        <v>Business</v>
      </c>
      <c r="N152" s="39" t="str">
        <f>VLOOKUP(H152,'Purpose dict'!$A$1:$B$12,2,0)</f>
        <v>Temporary Site</v>
      </c>
    </row>
    <row r="153" hidden="1">
      <c r="A153" s="3" t="s">
        <v>255</v>
      </c>
      <c r="B153" s="34">
        <v>42421.634722222225</v>
      </c>
      <c r="C153" s="34">
        <v>42421.646527777775</v>
      </c>
      <c r="D153" s="35">
        <v>423.0</v>
      </c>
      <c r="E153" s="3" t="s">
        <v>225</v>
      </c>
      <c r="F153" s="3" t="s">
        <v>256</v>
      </c>
      <c r="G153" s="36">
        <v>8.1</v>
      </c>
      <c r="H153" s="35">
        <v>5.0</v>
      </c>
      <c r="I153" s="37">
        <v>0.6347222222222222</v>
      </c>
      <c r="J153" s="37">
        <v>0.6465277777777778</v>
      </c>
      <c r="K153" s="38">
        <f t="shared" si="3"/>
        <v>0.01180555556</v>
      </c>
      <c r="L153" s="39" t="str">
        <f t="shared" si="2"/>
        <v>Day</v>
      </c>
      <c r="M153" s="39" t="str">
        <f t="array" ref="M153">XLOOKUP(D153,'Category dict'!$B$1:$B$4,'Category dict'!$A$1:$A$4,0,0,1)</f>
        <v>Business</v>
      </c>
      <c r="N153" s="39" t="str">
        <f>VLOOKUP(H153,'Purpose dict'!$A$1:$B$12,2,0)</f>
        <v>Temporary Site</v>
      </c>
    </row>
    <row r="154" hidden="1">
      <c r="A154" s="3" t="s">
        <v>257</v>
      </c>
      <c r="B154" s="34">
        <v>42421.65</v>
      </c>
      <c r="C154" s="34">
        <v>42421.65347222222</v>
      </c>
      <c r="D154" s="35">
        <v>423.0</v>
      </c>
      <c r="E154" s="3" t="s">
        <v>256</v>
      </c>
      <c r="F154" s="3" t="s">
        <v>208</v>
      </c>
      <c r="G154" s="36">
        <v>2.2</v>
      </c>
      <c r="H154" s="35">
        <v>1.0</v>
      </c>
      <c r="I154" s="37">
        <v>0.65</v>
      </c>
      <c r="J154" s="37">
        <v>0.6534722222222222</v>
      </c>
      <c r="K154" s="38">
        <f t="shared" si="3"/>
        <v>0.003472222222</v>
      </c>
      <c r="L154" s="39" t="str">
        <f t="shared" si="2"/>
        <v>Day</v>
      </c>
      <c r="M154" s="39" t="str">
        <f t="array" ref="M154">XLOOKUP(D154,'Category dict'!$B$1:$B$4,'Category dict'!$A$1:$A$4,0,0,1)</f>
        <v>Business</v>
      </c>
      <c r="N154" s="39" t="str">
        <f>VLOOKUP(H154,'Purpose dict'!$A$1:$B$12,2,0)</f>
        <v>Meal/Entertain</v>
      </c>
    </row>
    <row r="155" hidden="1">
      <c r="A155" s="3" t="s">
        <v>258</v>
      </c>
      <c r="B155" s="34">
        <v>42421.669444444444</v>
      </c>
      <c r="C155" s="34">
        <v>42421.688888888886</v>
      </c>
      <c r="D155" s="35">
        <v>423.0</v>
      </c>
      <c r="E155" s="3" t="s">
        <v>208</v>
      </c>
      <c r="F155" s="3" t="s">
        <v>208</v>
      </c>
      <c r="G155" s="36">
        <v>9.7</v>
      </c>
      <c r="H155" s="35">
        <v>123.0</v>
      </c>
      <c r="I155" s="37">
        <v>0.6694444444444444</v>
      </c>
      <c r="J155" s="37">
        <v>0.6888888888888889</v>
      </c>
      <c r="K155" s="38">
        <f t="shared" si="3"/>
        <v>0.01944444444</v>
      </c>
      <c r="L155" s="39" t="str">
        <f t="shared" si="2"/>
        <v>Day</v>
      </c>
      <c r="M155" s="39" t="str">
        <f t="array" ref="M155">XLOOKUP(D155,'Category dict'!$B$1:$B$4,'Category dict'!$A$1:$A$4,0,0,1)</f>
        <v>Business</v>
      </c>
      <c r="N155" s="39" t="str">
        <f>VLOOKUP(H155,'Purpose dict'!$A$1:$B$12,2,0)</f>
        <v>NOT DEFINED</v>
      </c>
    </row>
    <row r="156" hidden="1">
      <c r="A156" s="3" t="s">
        <v>259</v>
      </c>
      <c r="B156" s="34">
        <v>42421.96875</v>
      </c>
      <c r="C156" s="34">
        <v>42421.99444444444</v>
      </c>
      <c r="D156" s="35">
        <v>423.0</v>
      </c>
      <c r="E156" s="3" t="s">
        <v>208</v>
      </c>
      <c r="F156" s="3" t="s">
        <v>243</v>
      </c>
      <c r="G156" s="36">
        <v>20.0</v>
      </c>
      <c r="H156" s="35">
        <v>3.0</v>
      </c>
      <c r="I156" s="37">
        <v>0.96875</v>
      </c>
      <c r="J156" s="37">
        <v>0.9944444444444445</v>
      </c>
      <c r="K156" s="38">
        <f t="shared" si="3"/>
        <v>0.02569444444</v>
      </c>
      <c r="L156" s="39" t="str">
        <f t="shared" si="2"/>
        <v>Evening</v>
      </c>
      <c r="M156" s="39" t="str">
        <f t="array" ref="M156">XLOOKUP(D156,'Category dict'!$B$1:$B$4,'Category dict'!$A$1:$A$4,0,0,1)</f>
        <v>Business</v>
      </c>
      <c r="N156" s="39" t="str">
        <f>VLOOKUP(H156,'Purpose dict'!$A$1:$B$12,2,0)</f>
        <v>Meeting</v>
      </c>
    </row>
    <row r="157" hidden="1">
      <c r="A157" s="3" t="s">
        <v>260</v>
      </c>
      <c r="B157" s="34">
        <v>42422.9125</v>
      </c>
      <c r="C157" s="34">
        <v>42422.92291666667</v>
      </c>
      <c r="D157" s="35">
        <v>423.0</v>
      </c>
      <c r="E157" s="3" t="s">
        <v>62</v>
      </c>
      <c r="F157" s="3" t="s">
        <v>60</v>
      </c>
      <c r="G157" s="36">
        <v>8.1</v>
      </c>
      <c r="H157" s="35">
        <v>4.0</v>
      </c>
      <c r="I157" s="37">
        <v>0.9125</v>
      </c>
      <c r="J157" s="37">
        <v>0.9229166666666667</v>
      </c>
      <c r="K157" s="38">
        <f t="shared" si="3"/>
        <v>0.01041666667</v>
      </c>
      <c r="L157" s="39" t="str">
        <f t="shared" si="2"/>
        <v>Evening</v>
      </c>
      <c r="M157" s="39" t="str">
        <f t="array" ref="M157">XLOOKUP(D157,'Category dict'!$B$1:$B$4,'Category dict'!$A$1:$A$4,0,0,1)</f>
        <v>Business</v>
      </c>
      <c r="N157" s="39" t="str">
        <f>VLOOKUP(H157,'Purpose dict'!$A$1:$B$12,2,0)</f>
        <v>Customer Visit</v>
      </c>
    </row>
    <row r="158">
      <c r="A158" s="3" t="s">
        <v>261</v>
      </c>
      <c r="B158" s="34">
        <v>42424.604166666664</v>
      </c>
      <c r="C158" s="34">
        <v>42424.60763888889</v>
      </c>
      <c r="D158" s="35">
        <v>423.0</v>
      </c>
      <c r="E158" s="3" t="s">
        <v>106</v>
      </c>
      <c r="F158" s="3" t="s">
        <v>179</v>
      </c>
      <c r="G158" s="40">
        <v>1.5</v>
      </c>
      <c r="H158" s="35">
        <v>123.0</v>
      </c>
      <c r="I158" s="37">
        <v>0.6041666666666666</v>
      </c>
      <c r="J158" s="37">
        <v>0.6076388888888888</v>
      </c>
      <c r="K158" s="38">
        <f t="shared" si="3"/>
        <v>0.003472222222</v>
      </c>
      <c r="L158" s="39" t="str">
        <f t="shared" si="2"/>
        <v>Day</v>
      </c>
      <c r="M158" s="39" t="str">
        <f t="array" ref="M158">XLOOKUP(D158,'Category dict'!$B$1:$B$4,'Category dict'!$A$1:$A$4,0,0,1)</f>
        <v>Business</v>
      </c>
      <c r="N158" s="39" t="str">
        <f>VLOOKUP(H158,'Purpose dict'!$A$1:$B$12,2,0)</f>
        <v>NOT DEFINED</v>
      </c>
    </row>
    <row r="159" hidden="1">
      <c r="A159" s="3" t="s">
        <v>262</v>
      </c>
      <c r="B159" s="34">
        <v>42424.638194444444</v>
      </c>
      <c r="C159" s="34">
        <v>42424.64236111111</v>
      </c>
      <c r="D159" s="35">
        <v>423.0</v>
      </c>
      <c r="E159" s="3" t="s">
        <v>179</v>
      </c>
      <c r="F159" s="3" t="s">
        <v>106</v>
      </c>
      <c r="G159" s="36">
        <v>1.7</v>
      </c>
      <c r="H159" s="35">
        <v>2.0</v>
      </c>
      <c r="I159" s="37">
        <v>0.6381944444444444</v>
      </c>
      <c r="J159" s="37">
        <v>0.6423611111111112</v>
      </c>
      <c r="K159" s="38">
        <f t="shared" si="3"/>
        <v>0.004166666667</v>
      </c>
      <c r="L159" s="39" t="str">
        <f t="shared" si="2"/>
        <v>Day</v>
      </c>
      <c r="M159" s="39" t="str">
        <f t="array" ref="M159">XLOOKUP(D159,'Category dict'!$B$1:$B$4,'Category dict'!$A$1:$A$4,0,0,1)</f>
        <v>Business</v>
      </c>
      <c r="N159" s="39" t="str">
        <f>VLOOKUP(H159,'Purpose dict'!$A$1:$B$12,2,0)</f>
        <v>Errand/Supplies</v>
      </c>
    </row>
    <row r="160" hidden="1">
      <c r="A160" s="3" t="s">
        <v>263</v>
      </c>
      <c r="B160" s="34">
        <v>42425.68541666667</v>
      </c>
      <c r="C160" s="34">
        <v>42425.69097222222</v>
      </c>
      <c r="D160" s="35">
        <v>423.0</v>
      </c>
      <c r="E160" s="3" t="s">
        <v>106</v>
      </c>
      <c r="F160" s="3" t="s">
        <v>264</v>
      </c>
      <c r="G160" s="36">
        <v>3.1</v>
      </c>
      <c r="H160" s="35">
        <v>2.0</v>
      </c>
      <c r="I160" s="37">
        <v>0.6854166666666667</v>
      </c>
      <c r="J160" s="37">
        <v>0.6909722222222222</v>
      </c>
      <c r="K160" s="38">
        <f t="shared" si="3"/>
        <v>0.005555555556</v>
      </c>
      <c r="L160" s="39" t="str">
        <f t="shared" si="2"/>
        <v>Day</v>
      </c>
      <c r="M160" s="39" t="str">
        <f t="array" ref="M160">XLOOKUP(D160,'Category dict'!$B$1:$B$4,'Category dict'!$A$1:$A$4,0,0,1)</f>
        <v>Business</v>
      </c>
      <c r="N160" s="39" t="str">
        <f>VLOOKUP(H160,'Purpose dict'!$A$1:$B$12,2,0)</f>
        <v>Errand/Supplies</v>
      </c>
    </row>
    <row r="161" hidden="1">
      <c r="A161" s="3" t="s">
        <v>265</v>
      </c>
      <c r="B161" s="34">
        <v>42425.69930555556</v>
      </c>
      <c r="C161" s="34">
        <v>42425.70972222222</v>
      </c>
      <c r="D161" s="35">
        <v>423.0</v>
      </c>
      <c r="E161" s="3" t="s">
        <v>264</v>
      </c>
      <c r="F161" s="3" t="s">
        <v>106</v>
      </c>
      <c r="G161" s="36">
        <v>3.2</v>
      </c>
      <c r="H161" s="35">
        <v>2.0</v>
      </c>
      <c r="I161" s="37">
        <v>0.6993055555555555</v>
      </c>
      <c r="J161" s="37">
        <v>0.7097222222222223</v>
      </c>
      <c r="K161" s="38">
        <f t="shared" si="3"/>
        <v>0.01041666667</v>
      </c>
      <c r="L161" s="39" t="str">
        <f t="shared" si="2"/>
        <v>Day</v>
      </c>
      <c r="M161" s="39" t="str">
        <f t="array" ref="M161">XLOOKUP(D161,'Category dict'!$B$1:$B$4,'Category dict'!$A$1:$A$4,0,0,1)</f>
        <v>Business</v>
      </c>
      <c r="N161" s="39" t="str">
        <f>VLOOKUP(H161,'Purpose dict'!$A$1:$B$12,2,0)</f>
        <v>Errand/Supplies</v>
      </c>
    </row>
    <row r="162" hidden="1">
      <c r="A162" s="3" t="s">
        <v>266</v>
      </c>
      <c r="B162" s="34">
        <v>42425.71944444445</v>
      </c>
      <c r="C162" s="34">
        <v>42425.73333333333</v>
      </c>
      <c r="D162" s="35">
        <v>423.0</v>
      </c>
      <c r="E162" s="3" t="s">
        <v>106</v>
      </c>
      <c r="F162" s="3" t="s">
        <v>177</v>
      </c>
      <c r="G162" s="36">
        <v>6.0</v>
      </c>
      <c r="H162" s="35">
        <v>1.0</v>
      </c>
      <c r="I162" s="37">
        <v>0.7194444444444444</v>
      </c>
      <c r="J162" s="37">
        <v>0.7333333333333333</v>
      </c>
      <c r="K162" s="38">
        <f t="shared" si="3"/>
        <v>0.01388888889</v>
      </c>
      <c r="L162" s="39" t="str">
        <f t="shared" si="2"/>
        <v>Day</v>
      </c>
      <c r="M162" s="39" t="str">
        <f t="array" ref="M162">XLOOKUP(D162,'Category dict'!$B$1:$B$4,'Category dict'!$A$1:$A$4,0,0,1)</f>
        <v>Business</v>
      </c>
      <c r="N162" s="39" t="str">
        <f>VLOOKUP(H162,'Purpose dict'!$A$1:$B$12,2,0)</f>
        <v>Meal/Entertain</v>
      </c>
    </row>
    <row r="163" hidden="1">
      <c r="A163" s="3" t="s">
        <v>267</v>
      </c>
      <c r="B163" s="34">
        <v>42425.76527777778</v>
      </c>
      <c r="C163" s="34">
        <v>42425.777083333334</v>
      </c>
      <c r="D163" s="35">
        <v>423.0</v>
      </c>
      <c r="E163" s="3" t="s">
        <v>177</v>
      </c>
      <c r="F163" s="3" t="s">
        <v>106</v>
      </c>
      <c r="G163" s="36">
        <v>5.8</v>
      </c>
      <c r="H163" s="35">
        <v>1.0</v>
      </c>
      <c r="I163" s="37">
        <v>0.7652777777777777</v>
      </c>
      <c r="J163" s="37">
        <v>0.7770833333333333</v>
      </c>
      <c r="K163" s="38">
        <f t="shared" si="3"/>
        <v>0.01180555556</v>
      </c>
      <c r="L163" s="39" t="str">
        <f t="shared" si="2"/>
        <v>Evening</v>
      </c>
      <c r="M163" s="39" t="str">
        <f t="array" ref="M163">XLOOKUP(D163,'Category dict'!$B$1:$B$4,'Category dict'!$A$1:$A$4,0,0,1)</f>
        <v>Business</v>
      </c>
      <c r="N163" s="39" t="str">
        <f>VLOOKUP(H163,'Purpose dict'!$A$1:$B$12,2,0)</f>
        <v>Meal/Entertain</v>
      </c>
    </row>
    <row r="164" hidden="1">
      <c r="A164" s="3" t="s">
        <v>268</v>
      </c>
      <c r="B164" s="34">
        <v>42426.379166666666</v>
      </c>
      <c r="C164" s="34">
        <v>42426.39513888889</v>
      </c>
      <c r="D164" s="35">
        <v>423.0</v>
      </c>
      <c r="E164" s="3" t="s">
        <v>106</v>
      </c>
      <c r="F164" s="3" t="s">
        <v>123</v>
      </c>
      <c r="G164" s="36">
        <v>6.3</v>
      </c>
      <c r="H164" s="35">
        <v>123.0</v>
      </c>
      <c r="I164" s="37">
        <v>0.37916666666666665</v>
      </c>
      <c r="J164" s="37">
        <v>0.3951388888888889</v>
      </c>
      <c r="K164" s="38">
        <f t="shared" si="3"/>
        <v>0.01597222222</v>
      </c>
      <c r="L164" s="39" t="str">
        <f t="shared" si="2"/>
        <v>Morning</v>
      </c>
      <c r="M164" s="39" t="str">
        <f t="array" ref="M164">XLOOKUP(D164,'Category dict'!$B$1:$B$4,'Category dict'!$A$1:$A$4,0,0,1)</f>
        <v>Business</v>
      </c>
      <c r="N164" s="39" t="str">
        <f>VLOOKUP(H164,'Purpose dict'!$A$1:$B$12,2,0)</f>
        <v>NOT DEFINED</v>
      </c>
    </row>
    <row r="165" hidden="1">
      <c r="A165" s="3" t="s">
        <v>269</v>
      </c>
      <c r="B165" s="34">
        <v>42426.461805555555</v>
      </c>
      <c r="C165" s="34">
        <v>42426.46597222222</v>
      </c>
      <c r="D165" s="35">
        <v>527.0</v>
      </c>
      <c r="E165" s="3" t="s">
        <v>123</v>
      </c>
      <c r="F165" s="3" t="s">
        <v>106</v>
      </c>
      <c r="G165" s="36">
        <v>1.7</v>
      </c>
      <c r="H165" s="35">
        <v>123.0</v>
      </c>
      <c r="I165" s="37">
        <v>0.4618055555555556</v>
      </c>
      <c r="J165" s="37">
        <v>0.46597222222222223</v>
      </c>
      <c r="K165" s="38">
        <f t="shared" si="3"/>
        <v>0.004166666667</v>
      </c>
      <c r="L165" s="39" t="str">
        <f t="shared" si="2"/>
        <v>Morning</v>
      </c>
      <c r="M165" s="39" t="str">
        <f t="array" ref="M165">XLOOKUP(D165,'Category dict'!$B$1:$B$4,'Category dict'!$A$1:$A$4,0,0,1)</f>
        <v>Personal</v>
      </c>
      <c r="N165" s="39" t="str">
        <f>VLOOKUP(H165,'Purpose dict'!$A$1:$B$12,2,0)</f>
        <v>NOT DEFINED</v>
      </c>
    </row>
    <row r="166" hidden="1">
      <c r="A166" s="3" t="s">
        <v>270</v>
      </c>
      <c r="B166" s="34">
        <v>42426.48263888889</v>
      </c>
      <c r="C166" s="34">
        <v>42426.49930555555</v>
      </c>
      <c r="D166" s="35">
        <v>423.0</v>
      </c>
      <c r="E166" s="3" t="s">
        <v>60</v>
      </c>
      <c r="F166" s="3" t="s">
        <v>101</v>
      </c>
      <c r="G166" s="36">
        <v>10.6</v>
      </c>
      <c r="H166" s="35">
        <v>3.0</v>
      </c>
      <c r="I166" s="37">
        <v>0.4826388888888889</v>
      </c>
      <c r="J166" s="37">
        <v>0.49930555555555556</v>
      </c>
      <c r="K166" s="38">
        <f t="shared" si="3"/>
        <v>0.01666666667</v>
      </c>
      <c r="L166" s="39" t="str">
        <f t="shared" si="2"/>
        <v>Morning</v>
      </c>
      <c r="M166" s="39" t="str">
        <f t="array" ref="M166">XLOOKUP(D166,'Category dict'!$B$1:$B$4,'Category dict'!$A$1:$A$4,0,0,1)</f>
        <v>Business</v>
      </c>
      <c r="N166" s="39" t="str">
        <f>VLOOKUP(H166,'Purpose dict'!$A$1:$B$12,2,0)</f>
        <v>Meeting</v>
      </c>
    </row>
    <row r="167" hidden="1">
      <c r="A167" s="3" t="s">
        <v>271</v>
      </c>
      <c r="B167" s="34">
        <v>42426.54236111111</v>
      </c>
      <c r="C167" s="34">
        <v>42426.558333333334</v>
      </c>
      <c r="D167" s="35">
        <v>423.0</v>
      </c>
      <c r="E167" s="3" t="s">
        <v>101</v>
      </c>
      <c r="F167" s="3" t="s">
        <v>60</v>
      </c>
      <c r="G167" s="36">
        <v>9.9</v>
      </c>
      <c r="H167" s="35">
        <v>3.0</v>
      </c>
      <c r="I167" s="37">
        <v>0.5423611111111111</v>
      </c>
      <c r="J167" s="37">
        <v>0.5583333333333333</v>
      </c>
      <c r="K167" s="38">
        <f t="shared" si="3"/>
        <v>0.01597222222</v>
      </c>
      <c r="L167" s="39" t="str">
        <f t="shared" si="2"/>
        <v>Day</v>
      </c>
      <c r="M167" s="39" t="str">
        <f t="array" ref="M167">XLOOKUP(D167,'Category dict'!$B$1:$B$4,'Category dict'!$A$1:$A$4,0,0,1)</f>
        <v>Business</v>
      </c>
      <c r="N167" s="39" t="str">
        <f>VLOOKUP(H167,'Purpose dict'!$A$1:$B$12,2,0)</f>
        <v>Meeting</v>
      </c>
    </row>
    <row r="168" hidden="1">
      <c r="A168" s="3" t="s">
        <v>272</v>
      </c>
      <c r="B168" s="34">
        <v>42426.60972222222</v>
      </c>
      <c r="C168" s="34">
        <v>42426.615277777775</v>
      </c>
      <c r="D168" s="35">
        <v>527.0</v>
      </c>
      <c r="E168" s="3" t="s">
        <v>106</v>
      </c>
      <c r="F168" s="3" t="s">
        <v>123</v>
      </c>
      <c r="G168" s="36">
        <v>1.9</v>
      </c>
      <c r="H168" s="35">
        <v>123.0</v>
      </c>
      <c r="I168" s="37">
        <v>0.6097222222222223</v>
      </c>
      <c r="J168" s="37">
        <v>0.6152777777777778</v>
      </c>
      <c r="K168" s="38">
        <f t="shared" si="3"/>
        <v>0.005555555556</v>
      </c>
      <c r="L168" s="39" t="str">
        <f t="shared" si="2"/>
        <v>Day</v>
      </c>
      <c r="M168" s="39" t="str">
        <f t="array" ref="M168">XLOOKUP(D168,'Category dict'!$B$1:$B$4,'Category dict'!$A$1:$A$4,0,0,1)</f>
        <v>Personal</v>
      </c>
      <c r="N168" s="39" t="str">
        <f>VLOOKUP(H168,'Purpose dict'!$A$1:$B$12,2,0)</f>
        <v>NOT DEFINED</v>
      </c>
    </row>
    <row r="169" hidden="1">
      <c r="A169" s="3" t="s">
        <v>273</v>
      </c>
      <c r="B169" s="34">
        <v>42426.625</v>
      </c>
      <c r="C169" s="34">
        <v>42426.6375</v>
      </c>
      <c r="D169" s="35">
        <v>527.0</v>
      </c>
      <c r="E169" s="3" t="s">
        <v>123</v>
      </c>
      <c r="F169" s="3" t="s">
        <v>120</v>
      </c>
      <c r="G169" s="36">
        <v>4.2</v>
      </c>
      <c r="H169" s="35">
        <v>123.0</v>
      </c>
      <c r="I169" s="37">
        <v>0.625</v>
      </c>
      <c r="J169" s="37">
        <v>0.6375</v>
      </c>
      <c r="K169" s="38">
        <f t="shared" si="3"/>
        <v>0.0125</v>
      </c>
      <c r="L169" s="39" t="str">
        <f t="shared" si="2"/>
        <v>Day</v>
      </c>
      <c r="M169" s="39" t="str">
        <f t="array" ref="M169">XLOOKUP(D169,'Category dict'!$B$1:$B$4,'Category dict'!$A$1:$A$4,0,0,1)</f>
        <v>Personal</v>
      </c>
      <c r="N169" s="39" t="str">
        <f>VLOOKUP(H169,'Purpose dict'!$A$1:$B$12,2,0)</f>
        <v>NOT DEFINED</v>
      </c>
    </row>
    <row r="170" hidden="1">
      <c r="A170" s="3" t="s">
        <v>274</v>
      </c>
      <c r="B170" s="34">
        <v>42426.709027777775</v>
      </c>
      <c r="C170" s="34">
        <v>42426.71666666667</v>
      </c>
      <c r="D170" s="35">
        <v>527.0</v>
      </c>
      <c r="E170" s="3" t="s">
        <v>120</v>
      </c>
      <c r="F170" s="3" t="s">
        <v>106</v>
      </c>
      <c r="G170" s="36">
        <v>2.0</v>
      </c>
      <c r="H170" s="35">
        <v>123.0</v>
      </c>
      <c r="I170" s="37">
        <v>0.7090277777777778</v>
      </c>
      <c r="J170" s="37">
        <v>0.7166666666666667</v>
      </c>
      <c r="K170" s="38">
        <f t="shared" si="3"/>
        <v>0.007638888889</v>
      </c>
      <c r="L170" s="39" t="str">
        <f t="shared" si="2"/>
        <v>Day</v>
      </c>
      <c r="M170" s="39" t="str">
        <f t="array" ref="M170">XLOOKUP(D170,'Category dict'!$B$1:$B$4,'Category dict'!$A$1:$A$4,0,0,1)</f>
        <v>Personal</v>
      </c>
      <c r="N170" s="39" t="str">
        <f>VLOOKUP(H170,'Purpose dict'!$A$1:$B$12,2,0)</f>
        <v>NOT DEFINED</v>
      </c>
    </row>
    <row r="171" hidden="1">
      <c r="A171" s="3" t="s">
        <v>275</v>
      </c>
      <c r="B171" s="34">
        <v>42428.22361111111</v>
      </c>
      <c r="C171" s="34">
        <v>42428.23472222222</v>
      </c>
      <c r="D171" s="35">
        <v>423.0</v>
      </c>
      <c r="E171" s="3" t="s">
        <v>106</v>
      </c>
      <c r="F171" s="3" t="s">
        <v>276</v>
      </c>
      <c r="G171" s="36">
        <v>7.7</v>
      </c>
      <c r="H171" s="35">
        <v>3.0</v>
      </c>
      <c r="I171" s="37">
        <v>0.22361111111111112</v>
      </c>
      <c r="J171" s="37">
        <v>0.23472222222222222</v>
      </c>
      <c r="K171" s="38">
        <f t="shared" si="3"/>
        <v>0.01111111111</v>
      </c>
      <c r="L171" s="39" t="str">
        <f t="shared" si="2"/>
        <v>Night</v>
      </c>
      <c r="M171" s="39" t="str">
        <f t="array" ref="M171">XLOOKUP(D171,'Category dict'!$B$1:$B$4,'Category dict'!$A$1:$A$4,0,0,1)</f>
        <v>Business</v>
      </c>
      <c r="N171" s="39" t="str">
        <f>VLOOKUP(H171,'Purpose dict'!$A$1:$B$12,2,0)</f>
        <v>Meeting</v>
      </c>
    </row>
    <row r="172" hidden="1">
      <c r="A172" s="3" t="s">
        <v>277</v>
      </c>
      <c r="B172" s="34">
        <v>42428.393055555556</v>
      </c>
      <c r="C172" s="34">
        <v>42428.40416666667</v>
      </c>
      <c r="D172" s="35">
        <v>423.0</v>
      </c>
      <c r="E172" s="3" t="s">
        <v>276</v>
      </c>
      <c r="F172" s="3" t="s">
        <v>106</v>
      </c>
      <c r="G172" s="36">
        <v>6.8</v>
      </c>
      <c r="H172" s="35">
        <v>3.0</v>
      </c>
      <c r="I172" s="37">
        <v>0.39305555555555555</v>
      </c>
      <c r="J172" s="37">
        <v>0.4041666666666667</v>
      </c>
      <c r="K172" s="38">
        <f t="shared" si="3"/>
        <v>0.01111111111</v>
      </c>
      <c r="L172" s="39" t="str">
        <f t="shared" si="2"/>
        <v>Morning</v>
      </c>
      <c r="M172" s="39" t="str">
        <f t="array" ref="M172">XLOOKUP(D172,'Category dict'!$B$1:$B$4,'Category dict'!$A$1:$A$4,0,0,1)</f>
        <v>Business</v>
      </c>
      <c r="N172" s="39" t="str">
        <f>VLOOKUP(H172,'Purpose dict'!$A$1:$B$12,2,0)</f>
        <v>Meeting</v>
      </c>
    </row>
    <row r="173" hidden="1">
      <c r="A173" s="3" t="s">
        <v>278</v>
      </c>
      <c r="B173" s="34">
        <v>42429.46319444444</v>
      </c>
      <c r="C173" s="34">
        <v>42429.46805555555</v>
      </c>
      <c r="D173" s="35">
        <v>527.0</v>
      </c>
      <c r="E173" s="3" t="s">
        <v>106</v>
      </c>
      <c r="F173" s="3" t="s">
        <v>123</v>
      </c>
      <c r="G173" s="36">
        <v>2.1</v>
      </c>
      <c r="H173" s="35">
        <v>123.0</v>
      </c>
      <c r="I173" s="37">
        <v>0.46319444444444446</v>
      </c>
      <c r="J173" s="37">
        <v>0.46805555555555556</v>
      </c>
      <c r="K173" s="38">
        <f t="shared" si="3"/>
        <v>0.004861111111</v>
      </c>
      <c r="L173" s="39" t="str">
        <f t="shared" si="2"/>
        <v>Morning</v>
      </c>
      <c r="M173" s="39" t="str">
        <f t="array" ref="M173">XLOOKUP(D173,'Category dict'!$B$1:$B$4,'Category dict'!$A$1:$A$4,0,0,1)</f>
        <v>Personal</v>
      </c>
      <c r="N173" s="39" t="str">
        <f>VLOOKUP(H173,'Purpose dict'!$A$1:$B$12,2,0)</f>
        <v>NOT DEFINED</v>
      </c>
    </row>
    <row r="174" hidden="1">
      <c r="A174" s="3" t="s">
        <v>279</v>
      </c>
      <c r="B174" s="34">
        <v>42429.479166666664</v>
      </c>
      <c r="C174" s="34">
        <v>42429.48611111111</v>
      </c>
      <c r="D174" s="35">
        <v>423.0</v>
      </c>
      <c r="E174" s="3" t="s">
        <v>60</v>
      </c>
      <c r="F174" s="3" t="s">
        <v>142</v>
      </c>
      <c r="G174" s="36">
        <v>3.8</v>
      </c>
      <c r="H174" s="35">
        <v>3.0</v>
      </c>
      <c r="I174" s="37">
        <v>0.4791666666666667</v>
      </c>
      <c r="J174" s="37">
        <v>0.4861111111111111</v>
      </c>
      <c r="K174" s="38">
        <f t="shared" si="3"/>
        <v>0.006944444444</v>
      </c>
      <c r="L174" s="39" t="str">
        <f t="shared" si="2"/>
        <v>Morning</v>
      </c>
      <c r="M174" s="39" t="str">
        <f t="array" ref="M174">XLOOKUP(D174,'Category dict'!$B$1:$B$4,'Category dict'!$A$1:$A$4,0,0,1)</f>
        <v>Business</v>
      </c>
      <c r="N174" s="39" t="str">
        <f>VLOOKUP(H174,'Purpose dict'!$A$1:$B$12,2,0)</f>
        <v>Meeting</v>
      </c>
    </row>
    <row r="175" hidden="1">
      <c r="A175" s="3" t="s">
        <v>280</v>
      </c>
      <c r="B175" s="34">
        <v>42429.525</v>
      </c>
      <c r="C175" s="34">
        <v>42429.53333333333</v>
      </c>
      <c r="D175" s="35">
        <v>423.0</v>
      </c>
      <c r="E175" s="3" t="s">
        <v>142</v>
      </c>
      <c r="F175" s="3" t="s">
        <v>60</v>
      </c>
      <c r="G175" s="36">
        <v>5.6</v>
      </c>
      <c r="H175" s="35">
        <v>3.0</v>
      </c>
      <c r="I175" s="37">
        <v>0.525</v>
      </c>
      <c r="J175" s="37">
        <v>0.5333333333333333</v>
      </c>
      <c r="K175" s="38">
        <f t="shared" si="3"/>
        <v>0.008333333333</v>
      </c>
      <c r="L175" s="39" t="str">
        <f t="shared" si="2"/>
        <v>Day</v>
      </c>
      <c r="M175" s="39" t="str">
        <f t="array" ref="M175">XLOOKUP(D175,'Category dict'!$B$1:$B$4,'Category dict'!$A$1:$A$4,0,0,1)</f>
        <v>Business</v>
      </c>
      <c r="N175" s="39" t="str">
        <f>VLOOKUP(H175,'Purpose dict'!$A$1:$B$12,2,0)</f>
        <v>Meeting</v>
      </c>
    </row>
    <row r="176" hidden="1">
      <c r="A176" s="3" t="s">
        <v>281</v>
      </c>
      <c r="B176" s="34">
        <v>42429.62152777778</v>
      </c>
      <c r="C176" s="34">
        <v>42429.62708333333</v>
      </c>
      <c r="D176" s="35">
        <v>423.0</v>
      </c>
      <c r="E176" s="3" t="s">
        <v>106</v>
      </c>
      <c r="F176" s="3" t="s">
        <v>120</v>
      </c>
      <c r="G176" s="36">
        <v>2.6</v>
      </c>
      <c r="H176" s="35">
        <v>123.0</v>
      </c>
      <c r="I176" s="37">
        <v>0.6215277777777778</v>
      </c>
      <c r="J176" s="37">
        <v>0.6270833333333333</v>
      </c>
      <c r="K176" s="38">
        <f t="shared" si="3"/>
        <v>0.005555555556</v>
      </c>
      <c r="L176" s="39" t="str">
        <f t="shared" si="2"/>
        <v>Day</v>
      </c>
      <c r="M176" s="39" t="str">
        <f t="array" ref="M176">XLOOKUP(D176,'Category dict'!$B$1:$B$4,'Category dict'!$A$1:$A$4,0,0,1)</f>
        <v>Business</v>
      </c>
      <c r="N176" s="39" t="str">
        <f>VLOOKUP(H176,'Purpose dict'!$A$1:$B$12,2,0)</f>
        <v>NOT DEFINED</v>
      </c>
    </row>
    <row r="177" hidden="1">
      <c r="A177" s="3" t="s">
        <v>282</v>
      </c>
      <c r="B177" s="34">
        <v>42429.694444444445</v>
      </c>
      <c r="C177" s="34">
        <v>42429.708333333336</v>
      </c>
      <c r="D177" s="35">
        <v>423.0</v>
      </c>
      <c r="E177" s="3" t="s">
        <v>120</v>
      </c>
      <c r="F177" s="3" t="s">
        <v>106</v>
      </c>
      <c r="G177" s="36">
        <v>6.6</v>
      </c>
      <c r="H177" s="35">
        <v>4.0</v>
      </c>
      <c r="I177" s="37">
        <v>0.6944444444444444</v>
      </c>
      <c r="J177" s="37">
        <v>0.7083333333333334</v>
      </c>
      <c r="K177" s="38">
        <f t="shared" si="3"/>
        <v>0.01388888889</v>
      </c>
      <c r="L177" s="39" t="str">
        <f t="shared" si="2"/>
        <v>Day</v>
      </c>
      <c r="M177" s="39" t="str">
        <f t="array" ref="M177">XLOOKUP(D177,'Category dict'!$B$1:$B$4,'Category dict'!$A$1:$A$4,0,0,1)</f>
        <v>Business</v>
      </c>
      <c r="N177" s="39" t="str">
        <f>VLOOKUP(H177,'Purpose dict'!$A$1:$B$12,2,0)</f>
        <v>Customer Visit</v>
      </c>
    </row>
    <row r="178" hidden="1">
      <c r="A178" s="3" t="s">
        <v>283</v>
      </c>
      <c r="B178" s="34">
        <v>42430.782638888886</v>
      </c>
      <c r="C178" s="34">
        <v>42430.79861111111</v>
      </c>
      <c r="D178" s="35">
        <v>423.0</v>
      </c>
      <c r="E178" s="3" t="s">
        <v>106</v>
      </c>
      <c r="F178" s="3" t="s">
        <v>284</v>
      </c>
      <c r="G178" s="36">
        <v>8.0</v>
      </c>
      <c r="H178" s="35">
        <v>1.0</v>
      </c>
      <c r="I178" s="37">
        <v>0.7826388888888889</v>
      </c>
      <c r="J178" s="37">
        <v>0.7986111111111112</v>
      </c>
      <c r="K178" s="38">
        <f t="shared" si="3"/>
        <v>0.01597222222</v>
      </c>
      <c r="L178" s="39" t="str">
        <f t="shared" si="2"/>
        <v>Evening</v>
      </c>
      <c r="M178" s="39" t="str">
        <f t="array" ref="M178">XLOOKUP(D178,'Category dict'!$B$1:$B$4,'Category dict'!$A$1:$A$4,0,0,1)</f>
        <v>Business</v>
      </c>
      <c r="N178" s="39" t="str">
        <f>VLOOKUP(H178,'Purpose dict'!$A$1:$B$12,2,0)</f>
        <v>Meal/Entertain</v>
      </c>
    </row>
    <row r="179" hidden="1">
      <c r="A179" s="3" t="s">
        <v>285</v>
      </c>
      <c r="B179" s="34">
        <v>42430.89375</v>
      </c>
      <c r="C179" s="34">
        <v>42430.90625</v>
      </c>
      <c r="D179" s="35">
        <v>423.0</v>
      </c>
      <c r="E179" s="3" t="s">
        <v>284</v>
      </c>
      <c r="F179" s="3" t="s">
        <v>106</v>
      </c>
      <c r="G179" s="36">
        <v>8.0</v>
      </c>
      <c r="H179" s="35">
        <v>3.0</v>
      </c>
      <c r="I179" s="37">
        <v>0.89375</v>
      </c>
      <c r="J179" s="37">
        <v>0.90625</v>
      </c>
      <c r="K179" s="38">
        <f t="shared" si="3"/>
        <v>0.0125</v>
      </c>
      <c r="L179" s="39" t="str">
        <f t="shared" si="2"/>
        <v>Evening</v>
      </c>
      <c r="M179" s="39" t="str">
        <f t="array" ref="M179">XLOOKUP(D179,'Category dict'!$B$1:$B$4,'Category dict'!$A$1:$A$4,0,0,1)</f>
        <v>Business</v>
      </c>
      <c r="N179" s="39" t="str">
        <f>VLOOKUP(H179,'Purpose dict'!$A$1:$B$12,2,0)</f>
        <v>Meeting</v>
      </c>
    </row>
    <row r="180" hidden="1">
      <c r="A180" s="3" t="s">
        <v>286</v>
      </c>
      <c r="B180" s="34">
        <v>42432.40625</v>
      </c>
      <c r="C180" s="34">
        <v>42432.41111111111</v>
      </c>
      <c r="D180" s="35">
        <v>527.0</v>
      </c>
      <c r="E180" s="3" t="s">
        <v>106</v>
      </c>
      <c r="F180" s="3" t="s">
        <v>123</v>
      </c>
      <c r="G180" s="36">
        <v>2.2</v>
      </c>
      <c r="H180" s="35">
        <v>123.0</v>
      </c>
      <c r="I180" s="37">
        <v>0.40625</v>
      </c>
      <c r="J180" s="37">
        <v>0.4111111111111111</v>
      </c>
      <c r="K180" s="38">
        <f t="shared" si="3"/>
        <v>0.004861111111</v>
      </c>
      <c r="L180" s="39" t="str">
        <f t="shared" si="2"/>
        <v>Morning</v>
      </c>
      <c r="M180" s="39" t="str">
        <f t="array" ref="M180">XLOOKUP(D180,'Category dict'!$B$1:$B$4,'Category dict'!$A$1:$A$4,0,0,1)</f>
        <v>Personal</v>
      </c>
      <c r="N180" s="39" t="str">
        <f>VLOOKUP(H180,'Purpose dict'!$A$1:$B$12,2,0)</f>
        <v>NOT DEFINED</v>
      </c>
    </row>
    <row r="181" hidden="1">
      <c r="A181" s="3" t="s">
        <v>287</v>
      </c>
      <c r="B181" s="34">
        <v>42432.46111111111</v>
      </c>
      <c r="C181" s="34">
        <v>42432.46527777778</v>
      </c>
      <c r="D181" s="35">
        <v>423.0</v>
      </c>
      <c r="E181" s="3" t="s">
        <v>123</v>
      </c>
      <c r="F181" s="3" t="s">
        <v>106</v>
      </c>
      <c r="G181" s="36">
        <v>2.3</v>
      </c>
      <c r="H181" s="35">
        <v>2.0</v>
      </c>
      <c r="I181" s="37">
        <v>0.46111111111111114</v>
      </c>
      <c r="J181" s="37">
        <v>0.4652777777777778</v>
      </c>
      <c r="K181" s="38">
        <f t="shared" si="3"/>
        <v>0.004166666667</v>
      </c>
      <c r="L181" s="39" t="str">
        <f t="shared" si="2"/>
        <v>Morning</v>
      </c>
      <c r="M181" s="39" t="str">
        <f t="array" ref="M181">XLOOKUP(D181,'Category dict'!$B$1:$B$4,'Category dict'!$A$1:$A$4,0,0,1)</f>
        <v>Business</v>
      </c>
      <c r="N181" s="39" t="str">
        <f>VLOOKUP(H181,'Purpose dict'!$A$1:$B$12,2,0)</f>
        <v>Errand/Supplies</v>
      </c>
    </row>
    <row r="182" hidden="1">
      <c r="A182" s="3" t="s">
        <v>288</v>
      </c>
      <c r="B182" s="34">
        <v>42432.61388888889</v>
      </c>
      <c r="C182" s="34">
        <v>42432.623611111114</v>
      </c>
      <c r="D182" s="35">
        <v>423.0</v>
      </c>
      <c r="E182" s="3" t="s">
        <v>106</v>
      </c>
      <c r="F182" s="3" t="s">
        <v>150</v>
      </c>
      <c r="G182" s="36">
        <v>5.2</v>
      </c>
      <c r="H182" s="35">
        <v>1.0</v>
      </c>
      <c r="I182" s="37">
        <v>0.6138888888888889</v>
      </c>
      <c r="J182" s="37">
        <v>0.6236111111111111</v>
      </c>
      <c r="K182" s="38">
        <f t="shared" si="3"/>
        <v>0.009722222222</v>
      </c>
      <c r="L182" s="39" t="str">
        <f t="shared" si="2"/>
        <v>Day</v>
      </c>
      <c r="M182" s="39" t="str">
        <f t="array" ref="M182">XLOOKUP(D182,'Category dict'!$B$1:$B$4,'Category dict'!$A$1:$A$4,0,0,1)</f>
        <v>Business</v>
      </c>
      <c r="N182" s="39" t="str">
        <f>VLOOKUP(H182,'Purpose dict'!$A$1:$B$12,2,0)</f>
        <v>Meal/Entertain</v>
      </c>
    </row>
    <row r="183" hidden="1">
      <c r="A183" s="3" t="s">
        <v>289</v>
      </c>
      <c r="B183" s="34">
        <v>42432.64375</v>
      </c>
      <c r="C183" s="34">
        <v>42432.65833333333</v>
      </c>
      <c r="D183" s="35">
        <v>423.0</v>
      </c>
      <c r="E183" s="3" t="s">
        <v>60</v>
      </c>
      <c r="F183" s="3" t="s">
        <v>111</v>
      </c>
      <c r="G183" s="36">
        <v>7.6</v>
      </c>
      <c r="H183" s="35">
        <v>4.0</v>
      </c>
      <c r="I183" s="37">
        <v>0.64375</v>
      </c>
      <c r="J183" s="37">
        <v>0.6583333333333333</v>
      </c>
      <c r="K183" s="38">
        <f t="shared" si="3"/>
        <v>0.01458333333</v>
      </c>
      <c r="L183" s="39" t="str">
        <f t="shared" si="2"/>
        <v>Day</v>
      </c>
      <c r="M183" s="39" t="str">
        <f t="array" ref="M183">XLOOKUP(D183,'Category dict'!$B$1:$B$4,'Category dict'!$A$1:$A$4,0,0,1)</f>
        <v>Business</v>
      </c>
      <c r="N183" s="39" t="str">
        <f>VLOOKUP(H183,'Purpose dict'!$A$1:$B$12,2,0)</f>
        <v>Customer Visit</v>
      </c>
    </row>
    <row r="184" hidden="1">
      <c r="A184" s="3" t="s">
        <v>290</v>
      </c>
      <c r="B184" s="34">
        <v>42432.66805555556</v>
      </c>
      <c r="C184" s="34">
        <v>42432.69583333333</v>
      </c>
      <c r="D184" s="35">
        <v>423.0</v>
      </c>
      <c r="E184" s="3" t="s">
        <v>111</v>
      </c>
      <c r="F184" s="3" t="s">
        <v>60</v>
      </c>
      <c r="G184" s="36">
        <v>17.3</v>
      </c>
      <c r="H184" s="35">
        <v>3.0</v>
      </c>
      <c r="I184" s="37">
        <v>0.6680555555555555</v>
      </c>
      <c r="J184" s="37">
        <v>0.6958333333333333</v>
      </c>
      <c r="K184" s="38">
        <f t="shared" si="3"/>
        <v>0.02777777778</v>
      </c>
      <c r="L184" s="39" t="str">
        <f t="shared" si="2"/>
        <v>Day</v>
      </c>
      <c r="M184" s="39" t="str">
        <f t="array" ref="M184">XLOOKUP(D184,'Category dict'!$B$1:$B$4,'Category dict'!$A$1:$A$4,0,0,1)</f>
        <v>Business</v>
      </c>
      <c r="N184" s="39" t="str">
        <f>VLOOKUP(H184,'Purpose dict'!$A$1:$B$12,2,0)</f>
        <v>Meeting</v>
      </c>
    </row>
    <row r="185" hidden="1">
      <c r="A185" s="3" t="s">
        <v>291</v>
      </c>
      <c r="B185" s="34">
        <v>42433.32430555556</v>
      </c>
      <c r="C185" s="34">
        <v>42433.3375</v>
      </c>
      <c r="D185" s="35">
        <v>423.0</v>
      </c>
      <c r="E185" s="3" t="s">
        <v>60</v>
      </c>
      <c r="F185" s="3" t="s">
        <v>101</v>
      </c>
      <c r="G185" s="36">
        <v>9.9</v>
      </c>
      <c r="H185" s="35">
        <v>3.0</v>
      </c>
      <c r="I185" s="37">
        <v>0.32430555555555557</v>
      </c>
      <c r="J185" s="37">
        <v>0.3375</v>
      </c>
      <c r="K185" s="38">
        <f t="shared" si="3"/>
        <v>0.01319444444</v>
      </c>
      <c r="L185" s="39" t="str">
        <f t="shared" si="2"/>
        <v>Morning</v>
      </c>
      <c r="M185" s="39" t="str">
        <f t="array" ref="M185">XLOOKUP(D185,'Category dict'!$B$1:$B$4,'Category dict'!$A$1:$A$4,0,0,1)</f>
        <v>Business</v>
      </c>
      <c r="N185" s="39" t="str">
        <f>VLOOKUP(H185,'Purpose dict'!$A$1:$B$12,2,0)</f>
        <v>Meeting</v>
      </c>
    </row>
    <row r="186" hidden="1">
      <c r="A186" s="3" t="s">
        <v>292</v>
      </c>
      <c r="B186" s="34">
        <v>42433.40694444445</v>
      </c>
      <c r="C186" s="34">
        <v>42433.41875</v>
      </c>
      <c r="D186" s="35">
        <v>423.0</v>
      </c>
      <c r="E186" s="3" t="s">
        <v>101</v>
      </c>
      <c r="F186" s="3" t="s">
        <v>60</v>
      </c>
      <c r="G186" s="36">
        <v>9.9</v>
      </c>
      <c r="H186" s="35">
        <v>4.0</v>
      </c>
      <c r="I186" s="37">
        <v>0.40694444444444444</v>
      </c>
      <c r="J186" s="37">
        <v>0.41875</v>
      </c>
      <c r="K186" s="38">
        <f t="shared" si="3"/>
        <v>0.01180555556</v>
      </c>
      <c r="L186" s="39" t="str">
        <f t="shared" si="2"/>
        <v>Morning</v>
      </c>
      <c r="M186" s="39" t="str">
        <f t="array" ref="M186">XLOOKUP(D186,'Category dict'!$B$1:$B$4,'Category dict'!$A$1:$A$4,0,0,1)</f>
        <v>Business</v>
      </c>
      <c r="N186" s="39" t="str">
        <f>VLOOKUP(H186,'Purpose dict'!$A$1:$B$12,2,0)</f>
        <v>Customer Visit</v>
      </c>
    </row>
    <row r="187" hidden="1">
      <c r="A187" s="3" t="s">
        <v>293</v>
      </c>
      <c r="B187" s="34">
        <v>42433.490277777775</v>
      </c>
      <c r="C187" s="34">
        <v>42433.504166666666</v>
      </c>
      <c r="D187" s="35">
        <v>423.0</v>
      </c>
      <c r="E187" s="3" t="s">
        <v>60</v>
      </c>
      <c r="F187" s="3" t="s">
        <v>101</v>
      </c>
      <c r="G187" s="36">
        <v>10.4</v>
      </c>
      <c r="H187" s="35">
        <v>3.0</v>
      </c>
      <c r="I187" s="37">
        <v>0.49027777777777776</v>
      </c>
      <c r="J187" s="37">
        <v>0.5041666666666667</v>
      </c>
      <c r="K187" s="38">
        <f t="shared" si="3"/>
        <v>0.01388888889</v>
      </c>
      <c r="L187" s="39" t="str">
        <f t="shared" si="2"/>
        <v>Morning</v>
      </c>
      <c r="M187" s="39" t="str">
        <f t="array" ref="M187">XLOOKUP(D187,'Category dict'!$B$1:$B$4,'Category dict'!$A$1:$A$4,0,0,1)</f>
        <v>Business</v>
      </c>
      <c r="N187" s="39" t="str">
        <f>VLOOKUP(H187,'Purpose dict'!$A$1:$B$12,2,0)</f>
        <v>Meeting</v>
      </c>
    </row>
    <row r="188" hidden="1">
      <c r="A188" s="3" t="s">
        <v>294</v>
      </c>
      <c r="B188" s="34">
        <v>42433.54375</v>
      </c>
      <c r="C188" s="34">
        <v>42433.55902777778</v>
      </c>
      <c r="D188" s="35">
        <v>423.0</v>
      </c>
      <c r="E188" s="3" t="s">
        <v>101</v>
      </c>
      <c r="F188" s="3" t="s">
        <v>60</v>
      </c>
      <c r="G188" s="36">
        <v>10.9</v>
      </c>
      <c r="H188" s="35">
        <v>3.0</v>
      </c>
      <c r="I188" s="37">
        <v>0.54375</v>
      </c>
      <c r="J188" s="37">
        <v>0.5590277777777778</v>
      </c>
      <c r="K188" s="38">
        <f t="shared" si="3"/>
        <v>0.01527777778</v>
      </c>
      <c r="L188" s="39" t="str">
        <f t="shared" si="2"/>
        <v>Day</v>
      </c>
      <c r="M188" s="39" t="str">
        <f t="array" ref="M188">XLOOKUP(D188,'Category dict'!$B$1:$B$4,'Category dict'!$A$1:$A$4,0,0,1)</f>
        <v>Business</v>
      </c>
      <c r="N188" s="39" t="str">
        <f>VLOOKUP(H188,'Purpose dict'!$A$1:$B$12,2,0)</f>
        <v>Meeting</v>
      </c>
    </row>
    <row r="189" hidden="1">
      <c r="A189" s="3" t="s">
        <v>295</v>
      </c>
      <c r="B189" s="34">
        <v>42433.569444444445</v>
      </c>
      <c r="C189" s="34">
        <v>42433.589583333334</v>
      </c>
      <c r="D189" s="35">
        <v>423.0</v>
      </c>
      <c r="E189" s="3" t="s">
        <v>60</v>
      </c>
      <c r="F189" s="3" t="s">
        <v>111</v>
      </c>
      <c r="G189" s="36">
        <v>15.7</v>
      </c>
      <c r="H189" s="35">
        <v>4.0</v>
      </c>
      <c r="I189" s="37">
        <v>0.5694444444444444</v>
      </c>
      <c r="J189" s="37">
        <v>0.5895833333333333</v>
      </c>
      <c r="K189" s="38">
        <f t="shared" si="3"/>
        <v>0.02013888889</v>
      </c>
      <c r="L189" s="39" t="str">
        <f t="shared" si="2"/>
        <v>Day</v>
      </c>
      <c r="M189" s="39" t="str">
        <f t="array" ref="M189">XLOOKUP(D189,'Category dict'!$B$1:$B$4,'Category dict'!$A$1:$A$4,0,0,1)</f>
        <v>Business</v>
      </c>
      <c r="N189" s="39" t="str">
        <f>VLOOKUP(H189,'Purpose dict'!$A$1:$B$12,2,0)</f>
        <v>Customer Visit</v>
      </c>
    </row>
    <row r="190" hidden="1">
      <c r="A190" s="3" t="s">
        <v>296</v>
      </c>
      <c r="B190" s="34">
        <v>42433.66388888889</v>
      </c>
      <c r="C190" s="34">
        <v>42433.67222222222</v>
      </c>
      <c r="D190" s="35">
        <v>423.0</v>
      </c>
      <c r="E190" s="3" t="s">
        <v>111</v>
      </c>
      <c r="F190" s="3" t="s">
        <v>111</v>
      </c>
      <c r="G190" s="36">
        <v>4.9</v>
      </c>
      <c r="H190" s="35">
        <v>1.0</v>
      </c>
      <c r="I190" s="37">
        <v>0.6638888888888889</v>
      </c>
      <c r="J190" s="37">
        <v>0.6722222222222223</v>
      </c>
      <c r="K190" s="38">
        <f t="shared" si="3"/>
        <v>0.008333333333</v>
      </c>
      <c r="L190" s="39" t="str">
        <f t="shared" si="2"/>
        <v>Day</v>
      </c>
      <c r="M190" s="39" t="str">
        <f t="array" ref="M190">XLOOKUP(D190,'Category dict'!$B$1:$B$4,'Category dict'!$A$1:$A$4,0,0,1)</f>
        <v>Business</v>
      </c>
      <c r="N190" s="39" t="str">
        <f>VLOOKUP(H190,'Purpose dict'!$A$1:$B$12,2,0)</f>
        <v>Meal/Entertain</v>
      </c>
    </row>
    <row r="191">
      <c r="A191" s="3" t="s">
        <v>297</v>
      </c>
      <c r="B191" s="34">
        <v>42433.677777777775</v>
      </c>
      <c r="C191" s="34">
        <v>42433.68194444444</v>
      </c>
      <c r="D191" s="35">
        <v>423.0</v>
      </c>
      <c r="E191" s="3" t="s">
        <v>113</v>
      </c>
      <c r="F191" s="3" t="s">
        <v>298</v>
      </c>
      <c r="G191" s="40">
        <v>0.8</v>
      </c>
      <c r="H191" s="35">
        <v>2.0</v>
      </c>
      <c r="I191" s="37">
        <v>0.6777777777777778</v>
      </c>
      <c r="J191" s="37">
        <v>0.6819444444444445</v>
      </c>
      <c r="K191" s="38">
        <f t="shared" si="3"/>
        <v>0.004166666667</v>
      </c>
      <c r="L191" s="39" t="str">
        <f t="shared" si="2"/>
        <v>Day</v>
      </c>
      <c r="M191" s="39" t="str">
        <f t="array" ref="M191">XLOOKUP(D191,'Category dict'!$B$1:$B$4,'Category dict'!$A$1:$A$4,0,0,1)</f>
        <v>Business</v>
      </c>
      <c r="N191" s="39" t="str">
        <f>VLOOKUP(H191,'Purpose dict'!$A$1:$B$12,2,0)</f>
        <v>Errand/Supplies</v>
      </c>
    </row>
    <row r="192" hidden="1">
      <c r="A192" s="3" t="s">
        <v>299</v>
      </c>
      <c r="B192" s="34">
        <v>42433.69652777778</v>
      </c>
      <c r="C192" s="34">
        <v>42433.71666666667</v>
      </c>
      <c r="D192" s="35">
        <v>423.0</v>
      </c>
      <c r="E192" s="3" t="s">
        <v>111</v>
      </c>
      <c r="F192" s="3" t="s">
        <v>60</v>
      </c>
      <c r="G192" s="36">
        <v>13.5</v>
      </c>
      <c r="H192" s="35">
        <v>3.0</v>
      </c>
      <c r="I192" s="37">
        <v>0.6965277777777777</v>
      </c>
      <c r="J192" s="37">
        <v>0.7166666666666667</v>
      </c>
      <c r="K192" s="38">
        <f t="shared" si="3"/>
        <v>0.02013888889</v>
      </c>
      <c r="L192" s="39" t="str">
        <f t="shared" si="2"/>
        <v>Day</v>
      </c>
      <c r="M192" s="39" t="str">
        <f t="array" ref="M192">XLOOKUP(D192,'Category dict'!$B$1:$B$4,'Category dict'!$A$1:$A$4,0,0,1)</f>
        <v>Business</v>
      </c>
      <c r="N192" s="39" t="str">
        <f>VLOOKUP(H192,'Purpose dict'!$A$1:$B$12,2,0)</f>
        <v>Meeting</v>
      </c>
    </row>
    <row r="193" hidden="1">
      <c r="A193" s="3" t="s">
        <v>300</v>
      </c>
      <c r="B193" s="34">
        <v>42433.79305555556</v>
      </c>
      <c r="C193" s="34">
        <v>42433.79722222222</v>
      </c>
      <c r="D193" s="35">
        <v>423.0</v>
      </c>
      <c r="E193" s="3" t="s">
        <v>60</v>
      </c>
      <c r="F193" s="3" t="s">
        <v>62</v>
      </c>
      <c r="G193" s="36">
        <v>1.9</v>
      </c>
      <c r="H193" s="35">
        <v>5.0</v>
      </c>
      <c r="I193" s="37">
        <v>0.7930555555555555</v>
      </c>
      <c r="J193" s="37">
        <v>0.7972222222222223</v>
      </c>
      <c r="K193" s="38">
        <f t="shared" si="3"/>
        <v>0.004166666667</v>
      </c>
      <c r="L193" s="39" t="str">
        <f t="shared" si="2"/>
        <v>Evening</v>
      </c>
      <c r="M193" s="39" t="str">
        <f t="array" ref="M193">XLOOKUP(D193,'Category dict'!$B$1:$B$4,'Category dict'!$A$1:$A$4,0,0,1)</f>
        <v>Business</v>
      </c>
      <c r="N193" s="39" t="str">
        <f>VLOOKUP(H193,'Purpose dict'!$A$1:$B$12,2,0)</f>
        <v>Temporary Site</v>
      </c>
    </row>
    <row r="194" hidden="1">
      <c r="A194" s="3" t="s">
        <v>301</v>
      </c>
      <c r="B194" s="34">
        <v>42433.802777777775</v>
      </c>
      <c r="C194" s="34">
        <v>42433.80902777778</v>
      </c>
      <c r="D194" s="35">
        <v>423.0</v>
      </c>
      <c r="E194" s="3" t="s">
        <v>62</v>
      </c>
      <c r="F194" s="3" t="s">
        <v>60</v>
      </c>
      <c r="G194" s="36">
        <v>2.0</v>
      </c>
      <c r="H194" s="35">
        <v>1.0</v>
      </c>
      <c r="I194" s="37">
        <v>0.8027777777777778</v>
      </c>
      <c r="J194" s="37">
        <v>0.8090277777777778</v>
      </c>
      <c r="K194" s="38">
        <f t="shared" si="3"/>
        <v>0.00625</v>
      </c>
      <c r="L194" s="39" t="str">
        <f t="shared" si="2"/>
        <v>Evening</v>
      </c>
      <c r="M194" s="39" t="str">
        <f t="array" ref="M194">XLOOKUP(D194,'Category dict'!$B$1:$B$4,'Category dict'!$A$1:$A$4,0,0,1)</f>
        <v>Business</v>
      </c>
      <c r="N194" s="39" t="str">
        <f>VLOOKUP(H194,'Purpose dict'!$A$1:$B$12,2,0)</f>
        <v>Meal/Entertain</v>
      </c>
    </row>
    <row r="195" hidden="1">
      <c r="A195" s="3" t="s">
        <v>302</v>
      </c>
      <c r="B195" s="34">
        <v>42434.48888888889</v>
      </c>
      <c r="C195" s="34">
        <v>42434.49930555555</v>
      </c>
      <c r="D195" s="35">
        <v>423.0</v>
      </c>
      <c r="E195" s="3" t="s">
        <v>60</v>
      </c>
      <c r="F195" s="3" t="s">
        <v>62</v>
      </c>
      <c r="G195" s="36">
        <v>6.5</v>
      </c>
      <c r="H195" s="35">
        <v>1.0</v>
      </c>
      <c r="I195" s="37">
        <v>0.4888888888888889</v>
      </c>
      <c r="J195" s="37">
        <v>0.49930555555555556</v>
      </c>
      <c r="K195" s="38">
        <f t="shared" si="3"/>
        <v>0.01041666667</v>
      </c>
      <c r="L195" s="39" t="str">
        <f t="shared" si="2"/>
        <v>Morning</v>
      </c>
      <c r="M195" s="39" t="str">
        <f t="array" ref="M195">XLOOKUP(D195,'Category dict'!$B$1:$B$4,'Category dict'!$A$1:$A$4,0,0,1)</f>
        <v>Business</v>
      </c>
      <c r="N195" s="39" t="str">
        <f>VLOOKUP(H195,'Purpose dict'!$A$1:$B$12,2,0)</f>
        <v>Meal/Entertain</v>
      </c>
    </row>
    <row r="196" hidden="1">
      <c r="A196" s="3" t="s">
        <v>303</v>
      </c>
      <c r="B196" s="34">
        <v>42434.53958333333</v>
      </c>
      <c r="C196" s="34">
        <v>42434.55</v>
      </c>
      <c r="D196" s="35">
        <v>527.0</v>
      </c>
      <c r="E196" s="3" t="s">
        <v>304</v>
      </c>
      <c r="F196" s="3" t="s">
        <v>304</v>
      </c>
      <c r="G196" s="36">
        <v>4.2</v>
      </c>
      <c r="H196" s="35">
        <v>123.0</v>
      </c>
      <c r="I196" s="37">
        <v>0.5395833333333333</v>
      </c>
      <c r="J196" s="37">
        <v>0.55</v>
      </c>
      <c r="K196" s="38">
        <f t="shared" si="3"/>
        <v>0.01041666667</v>
      </c>
      <c r="L196" s="39" t="str">
        <f t="shared" si="2"/>
        <v>Day</v>
      </c>
      <c r="M196" s="39" t="str">
        <f t="array" ref="M196">XLOOKUP(D196,'Category dict'!$B$1:$B$4,'Category dict'!$A$1:$A$4,0,0,1)</f>
        <v>Personal</v>
      </c>
      <c r="N196" s="39" t="str">
        <f>VLOOKUP(H196,'Purpose dict'!$A$1:$B$12,2,0)</f>
        <v>NOT DEFINED</v>
      </c>
    </row>
    <row r="197" hidden="1">
      <c r="A197" s="3" t="s">
        <v>305</v>
      </c>
      <c r="B197" s="34">
        <v>42434.58888888889</v>
      </c>
      <c r="C197" s="34">
        <v>42434.59583333333</v>
      </c>
      <c r="D197" s="35">
        <v>527.0</v>
      </c>
      <c r="E197" s="3" t="s">
        <v>62</v>
      </c>
      <c r="F197" s="3" t="s">
        <v>60</v>
      </c>
      <c r="G197" s="36">
        <v>3.5</v>
      </c>
      <c r="H197" s="35">
        <v>123.0</v>
      </c>
      <c r="I197" s="37">
        <v>0.5888888888888889</v>
      </c>
      <c r="J197" s="37">
        <v>0.5958333333333333</v>
      </c>
      <c r="K197" s="38">
        <f t="shared" si="3"/>
        <v>0.006944444444</v>
      </c>
      <c r="L197" s="39" t="str">
        <f t="shared" si="2"/>
        <v>Day</v>
      </c>
      <c r="M197" s="39" t="str">
        <f t="array" ref="M197">XLOOKUP(D197,'Category dict'!$B$1:$B$4,'Category dict'!$A$1:$A$4,0,0,1)</f>
        <v>Personal</v>
      </c>
      <c r="N197" s="39" t="str">
        <f>VLOOKUP(H197,'Purpose dict'!$A$1:$B$12,2,0)</f>
        <v>NOT DEFINED</v>
      </c>
    </row>
    <row r="198" hidden="1">
      <c r="A198" s="3" t="s">
        <v>306</v>
      </c>
      <c r="B198" s="34">
        <v>42434.61041666667</v>
      </c>
      <c r="C198" s="34">
        <v>42434.62569444445</v>
      </c>
      <c r="D198" s="35">
        <v>423.0</v>
      </c>
      <c r="E198" s="3" t="s">
        <v>106</v>
      </c>
      <c r="F198" s="3" t="s">
        <v>284</v>
      </c>
      <c r="G198" s="36">
        <v>7.8</v>
      </c>
      <c r="H198" s="35">
        <v>1.0</v>
      </c>
      <c r="I198" s="37">
        <v>0.6104166666666667</v>
      </c>
      <c r="J198" s="37">
        <v>0.6256944444444444</v>
      </c>
      <c r="K198" s="38">
        <f t="shared" si="3"/>
        <v>0.01527777778</v>
      </c>
      <c r="L198" s="39" t="str">
        <f t="shared" si="2"/>
        <v>Day</v>
      </c>
      <c r="M198" s="39" t="str">
        <f t="array" ref="M198">XLOOKUP(D198,'Category dict'!$B$1:$B$4,'Category dict'!$A$1:$A$4,0,0,1)</f>
        <v>Business</v>
      </c>
      <c r="N198" s="39" t="str">
        <f>VLOOKUP(H198,'Purpose dict'!$A$1:$B$12,2,0)</f>
        <v>Meal/Entertain</v>
      </c>
    </row>
    <row r="199" hidden="1">
      <c r="A199" s="3" t="s">
        <v>307</v>
      </c>
      <c r="B199" s="34">
        <v>42434.70277777778</v>
      </c>
      <c r="C199" s="34">
        <v>42434.717361111114</v>
      </c>
      <c r="D199" s="35">
        <v>423.0</v>
      </c>
      <c r="E199" s="3" t="s">
        <v>60</v>
      </c>
      <c r="F199" s="3" t="s">
        <v>62</v>
      </c>
      <c r="G199" s="36">
        <v>7.8</v>
      </c>
      <c r="H199" s="35">
        <v>1.0</v>
      </c>
      <c r="I199" s="37">
        <v>0.7027777777777777</v>
      </c>
      <c r="J199" s="37">
        <v>0.7173611111111111</v>
      </c>
      <c r="K199" s="38">
        <f t="shared" si="3"/>
        <v>0.01458333333</v>
      </c>
      <c r="L199" s="39" t="str">
        <f t="shared" si="2"/>
        <v>Day</v>
      </c>
      <c r="M199" s="39" t="str">
        <f t="array" ref="M199">XLOOKUP(D199,'Category dict'!$B$1:$B$4,'Category dict'!$A$1:$A$4,0,0,1)</f>
        <v>Business</v>
      </c>
      <c r="N199" s="39" t="str">
        <f>VLOOKUP(H199,'Purpose dict'!$A$1:$B$12,2,0)</f>
        <v>Meal/Entertain</v>
      </c>
    </row>
    <row r="200" hidden="1">
      <c r="A200" s="3" t="s">
        <v>308</v>
      </c>
      <c r="B200" s="34">
        <v>42434.72430555556</v>
      </c>
      <c r="C200" s="34">
        <v>42434.731944444444</v>
      </c>
      <c r="D200" s="35">
        <v>423.0</v>
      </c>
      <c r="E200" s="3" t="s">
        <v>62</v>
      </c>
      <c r="F200" s="3" t="s">
        <v>60</v>
      </c>
      <c r="G200" s="36">
        <v>3.9</v>
      </c>
      <c r="H200" s="35">
        <v>1.0</v>
      </c>
      <c r="I200" s="37">
        <v>0.7243055555555555</v>
      </c>
      <c r="J200" s="37">
        <v>0.7319444444444444</v>
      </c>
      <c r="K200" s="38">
        <f t="shared" si="3"/>
        <v>0.007638888889</v>
      </c>
      <c r="L200" s="39" t="str">
        <f t="shared" si="2"/>
        <v>Day</v>
      </c>
      <c r="M200" s="39" t="str">
        <f t="array" ref="M200">XLOOKUP(D200,'Category dict'!$B$1:$B$4,'Category dict'!$A$1:$A$4,0,0,1)</f>
        <v>Business</v>
      </c>
      <c r="N200" s="39" t="str">
        <f>VLOOKUP(H200,'Purpose dict'!$A$1:$B$12,2,0)</f>
        <v>Meal/Entertain</v>
      </c>
    </row>
    <row r="201" hidden="1">
      <c r="A201" s="3" t="s">
        <v>309</v>
      </c>
      <c r="B201" s="34">
        <v>42436.381944444445</v>
      </c>
      <c r="C201" s="34">
        <v>42436.38888888889</v>
      </c>
      <c r="D201" s="35">
        <v>423.0</v>
      </c>
      <c r="E201" s="3" t="s">
        <v>106</v>
      </c>
      <c r="F201" s="3" t="s">
        <v>168</v>
      </c>
      <c r="G201" s="36">
        <v>2.8</v>
      </c>
      <c r="H201" s="35">
        <v>2.0</v>
      </c>
      <c r="I201" s="37">
        <v>0.3819444444444444</v>
      </c>
      <c r="J201" s="37">
        <v>0.3888888888888889</v>
      </c>
      <c r="K201" s="38">
        <f t="shared" si="3"/>
        <v>0.006944444444</v>
      </c>
      <c r="L201" s="39" t="str">
        <f t="shared" si="2"/>
        <v>Morning</v>
      </c>
      <c r="M201" s="39" t="str">
        <f t="array" ref="M201">XLOOKUP(D201,'Category dict'!$B$1:$B$4,'Category dict'!$A$1:$A$4,0,0,1)</f>
        <v>Business</v>
      </c>
      <c r="N201" s="39" t="str">
        <f>VLOOKUP(H201,'Purpose dict'!$A$1:$B$12,2,0)</f>
        <v>Errand/Supplies</v>
      </c>
    </row>
    <row r="202" hidden="1">
      <c r="A202" s="3" t="s">
        <v>310</v>
      </c>
      <c r="B202" s="34">
        <v>42436.39097222222</v>
      </c>
      <c r="C202" s="34">
        <v>42436.407638888886</v>
      </c>
      <c r="D202" s="35">
        <v>423.0</v>
      </c>
      <c r="E202" s="3" t="s">
        <v>60</v>
      </c>
      <c r="F202" s="3" t="s">
        <v>111</v>
      </c>
      <c r="G202" s="36">
        <v>12.4</v>
      </c>
      <c r="H202" s="35">
        <v>4.0</v>
      </c>
      <c r="I202" s="37">
        <v>0.3909722222222222</v>
      </c>
      <c r="J202" s="37">
        <v>0.4076388888888889</v>
      </c>
      <c r="K202" s="38">
        <f t="shared" si="3"/>
        <v>0.01666666667</v>
      </c>
      <c r="L202" s="39" t="str">
        <f t="shared" si="2"/>
        <v>Morning</v>
      </c>
      <c r="M202" s="39" t="str">
        <f t="array" ref="M202">XLOOKUP(D202,'Category dict'!$B$1:$B$4,'Category dict'!$A$1:$A$4,0,0,1)</f>
        <v>Business</v>
      </c>
      <c r="N202" s="39" t="str">
        <f>VLOOKUP(H202,'Purpose dict'!$A$1:$B$12,2,0)</f>
        <v>Customer Visit</v>
      </c>
    </row>
    <row r="203" hidden="1">
      <c r="A203" s="3" t="s">
        <v>311</v>
      </c>
      <c r="B203" s="34">
        <v>42436.506944444445</v>
      </c>
      <c r="C203" s="34">
        <v>42436.518055555556</v>
      </c>
      <c r="D203" s="35">
        <v>423.0</v>
      </c>
      <c r="E203" s="3" t="s">
        <v>113</v>
      </c>
      <c r="F203" s="3" t="s">
        <v>130</v>
      </c>
      <c r="G203" s="36">
        <v>5.9</v>
      </c>
      <c r="H203" s="35">
        <v>4.0</v>
      </c>
      <c r="I203" s="37">
        <v>0.5069444444444444</v>
      </c>
      <c r="J203" s="37">
        <v>0.5180555555555556</v>
      </c>
      <c r="K203" s="38">
        <f t="shared" si="3"/>
        <v>0.01111111111</v>
      </c>
      <c r="L203" s="39" t="str">
        <f t="shared" si="2"/>
        <v>Day</v>
      </c>
      <c r="M203" s="39" t="str">
        <f t="array" ref="M203">XLOOKUP(D203,'Category dict'!$B$1:$B$4,'Category dict'!$A$1:$A$4,0,0,1)</f>
        <v>Business</v>
      </c>
      <c r="N203" s="39" t="str">
        <f>VLOOKUP(H203,'Purpose dict'!$A$1:$B$12,2,0)</f>
        <v>Customer Visit</v>
      </c>
    </row>
    <row r="204" hidden="1">
      <c r="A204" s="3" t="s">
        <v>312</v>
      </c>
      <c r="B204" s="34">
        <v>42436.58125</v>
      </c>
      <c r="C204" s="34">
        <v>42436.59583333333</v>
      </c>
      <c r="D204" s="35">
        <v>423.0</v>
      </c>
      <c r="E204" s="3" t="s">
        <v>130</v>
      </c>
      <c r="F204" s="3" t="s">
        <v>135</v>
      </c>
      <c r="G204" s="36">
        <v>9.4</v>
      </c>
      <c r="H204" s="35">
        <v>3.0</v>
      </c>
      <c r="I204" s="37">
        <v>0.58125</v>
      </c>
      <c r="J204" s="37">
        <v>0.5958333333333333</v>
      </c>
      <c r="K204" s="38">
        <f t="shared" si="3"/>
        <v>0.01458333333</v>
      </c>
      <c r="L204" s="39" t="str">
        <f t="shared" si="2"/>
        <v>Day</v>
      </c>
      <c r="M204" s="39" t="str">
        <f t="array" ref="M204">XLOOKUP(D204,'Category dict'!$B$1:$B$4,'Category dict'!$A$1:$A$4,0,0,1)</f>
        <v>Business</v>
      </c>
      <c r="N204" s="39" t="str">
        <f>VLOOKUP(H204,'Purpose dict'!$A$1:$B$12,2,0)</f>
        <v>Meeting</v>
      </c>
    </row>
    <row r="205" hidden="1">
      <c r="A205" s="3" t="s">
        <v>313</v>
      </c>
      <c r="B205" s="34">
        <v>42436.638194444444</v>
      </c>
      <c r="C205" s="34">
        <v>42436.65625</v>
      </c>
      <c r="D205" s="35">
        <v>423.0</v>
      </c>
      <c r="E205" s="3" t="s">
        <v>111</v>
      </c>
      <c r="F205" s="3" t="s">
        <v>60</v>
      </c>
      <c r="G205" s="36">
        <v>11.9</v>
      </c>
      <c r="H205" s="35">
        <v>6.0</v>
      </c>
      <c r="I205" s="37">
        <v>0.6381944444444444</v>
      </c>
      <c r="J205" s="37">
        <v>0.65625</v>
      </c>
      <c r="K205" s="38">
        <f t="shared" si="3"/>
        <v>0.01805555556</v>
      </c>
      <c r="L205" s="39" t="str">
        <f t="shared" si="2"/>
        <v>Day</v>
      </c>
      <c r="M205" s="39" t="str">
        <f t="array" ref="M205">XLOOKUP(D205,'Category dict'!$B$1:$B$4,'Category dict'!$A$1:$A$4,0,0,1)</f>
        <v>Business</v>
      </c>
      <c r="N205" s="39" t="str">
        <f>VLOOKUP(H205,'Purpose dict'!$A$1:$B$12,2,0)</f>
        <v>Between Offices</v>
      </c>
    </row>
    <row r="206" hidden="1">
      <c r="A206" s="3" t="s">
        <v>314</v>
      </c>
      <c r="B206" s="34">
        <v>42437.60972222222</v>
      </c>
      <c r="C206" s="34">
        <v>42437.62152777778</v>
      </c>
      <c r="D206" s="35">
        <v>423.0</v>
      </c>
      <c r="E206" s="3" t="s">
        <v>106</v>
      </c>
      <c r="F206" s="3" t="s">
        <v>276</v>
      </c>
      <c r="G206" s="36">
        <v>7.2</v>
      </c>
      <c r="H206" s="35">
        <v>6.0</v>
      </c>
      <c r="I206" s="37">
        <v>0.6097222222222223</v>
      </c>
      <c r="J206" s="37">
        <v>0.6215277777777778</v>
      </c>
      <c r="K206" s="38">
        <f t="shared" si="3"/>
        <v>0.01180555556</v>
      </c>
      <c r="L206" s="39" t="str">
        <f t="shared" si="2"/>
        <v>Day</v>
      </c>
      <c r="M206" s="39" t="str">
        <f t="array" ref="M206">XLOOKUP(D206,'Category dict'!$B$1:$B$4,'Category dict'!$A$1:$A$4,0,0,1)</f>
        <v>Business</v>
      </c>
      <c r="N206" s="39" t="str">
        <f>VLOOKUP(H206,'Purpose dict'!$A$1:$B$12,2,0)</f>
        <v>Between Offices</v>
      </c>
    </row>
    <row r="207" hidden="1">
      <c r="A207" s="3" t="s">
        <v>315</v>
      </c>
      <c r="B207" s="34">
        <v>42437.649305555555</v>
      </c>
      <c r="C207" s="34">
        <v>42437.666666666664</v>
      </c>
      <c r="D207" s="35">
        <v>423.0</v>
      </c>
      <c r="E207" s="3" t="s">
        <v>276</v>
      </c>
      <c r="F207" s="3" t="s">
        <v>106</v>
      </c>
      <c r="G207" s="36">
        <v>7.6</v>
      </c>
      <c r="H207" s="35">
        <v>1.0</v>
      </c>
      <c r="I207" s="37">
        <v>0.6493055555555556</v>
      </c>
      <c r="J207" s="37">
        <v>0.6666666666666666</v>
      </c>
      <c r="K207" s="38">
        <f t="shared" si="3"/>
        <v>0.01736111111</v>
      </c>
      <c r="L207" s="39" t="str">
        <f t="shared" si="2"/>
        <v>Day</v>
      </c>
      <c r="M207" s="39" t="str">
        <f t="array" ref="M207">XLOOKUP(D207,'Category dict'!$B$1:$B$4,'Category dict'!$A$1:$A$4,0,0,1)</f>
        <v>Business</v>
      </c>
      <c r="N207" s="39" t="str">
        <f>VLOOKUP(H207,'Purpose dict'!$A$1:$B$12,2,0)</f>
        <v>Meal/Entertain</v>
      </c>
    </row>
    <row r="208" hidden="1">
      <c r="A208" s="3" t="s">
        <v>316</v>
      </c>
      <c r="B208" s="34">
        <v>42437.67569444444</v>
      </c>
      <c r="C208" s="34">
        <v>42437.68402777778</v>
      </c>
      <c r="D208" s="35">
        <v>527.0</v>
      </c>
      <c r="E208" s="3" t="s">
        <v>106</v>
      </c>
      <c r="F208" s="3" t="s">
        <v>106</v>
      </c>
      <c r="G208" s="36">
        <v>1.6</v>
      </c>
      <c r="H208" s="35">
        <v>123.0</v>
      </c>
      <c r="I208" s="37">
        <v>0.6756944444444445</v>
      </c>
      <c r="J208" s="37">
        <v>0.6840277777777778</v>
      </c>
      <c r="K208" s="38">
        <f t="shared" si="3"/>
        <v>0.008333333333</v>
      </c>
      <c r="L208" s="39" t="str">
        <f t="shared" si="2"/>
        <v>Day</v>
      </c>
      <c r="M208" s="39" t="str">
        <f t="array" ref="M208">XLOOKUP(D208,'Category dict'!$B$1:$B$4,'Category dict'!$A$1:$A$4,0,0,1)</f>
        <v>Personal</v>
      </c>
      <c r="N208" s="39" t="str">
        <f>VLOOKUP(H208,'Purpose dict'!$A$1:$B$12,2,0)</f>
        <v>NOT DEFINED</v>
      </c>
    </row>
    <row r="209" hidden="1">
      <c r="A209" s="3" t="s">
        <v>317</v>
      </c>
      <c r="B209" s="34">
        <v>42439.15</v>
      </c>
      <c r="C209" s="34">
        <v>42439.16180555556</v>
      </c>
      <c r="D209" s="35">
        <v>423.0</v>
      </c>
      <c r="E209" s="3" t="s">
        <v>60</v>
      </c>
      <c r="F209" s="3" t="s">
        <v>62</v>
      </c>
      <c r="G209" s="36">
        <v>8.4</v>
      </c>
      <c r="H209" s="35">
        <v>3.0</v>
      </c>
      <c r="I209" s="37">
        <v>0.15</v>
      </c>
      <c r="J209" s="37">
        <v>0.16180555555555556</v>
      </c>
      <c r="K209" s="38">
        <f t="shared" si="3"/>
        <v>0.01180555556</v>
      </c>
      <c r="L209" s="39" t="str">
        <f t="shared" si="2"/>
        <v>Night</v>
      </c>
      <c r="M209" s="39" t="str">
        <f t="array" ref="M209">XLOOKUP(D209,'Category dict'!$B$1:$B$4,'Category dict'!$A$1:$A$4,0,0,1)</f>
        <v>Business</v>
      </c>
      <c r="N209" s="39" t="str">
        <f>VLOOKUP(H209,'Purpose dict'!$A$1:$B$12,2,0)</f>
        <v>Meeting</v>
      </c>
    </row>
    <row r="210" hidden="1">
      <c r="A210" s="3" t="s">
        <v>318</v>
      </c>
      <c r="B210" s="34">
        <v>42439.42222222222</v>
      </c>
      <c r="C210" s="34">
        <v>42439.44236111111</v>
      </c>
      <c r="D210" s="35">
        <v>423.0</v>
      </c>
      <c r="E210" s="3" t="s">
        <v>319</v>
      </c>
      <c r="F210" s="3" t="s">
        <v>320</v>
      </c>
      <c r="G210" s="36">
        <v>12.8</v>
      </c>
      <c r="H210" s="35">
        <v>3.0</v>
      </c>
      <c r="I210" s="37">
        <v>0.4222222222222222</v>
      </c>
      <c r="J210" s="37">
        <v>0.4423611111111111</v>
      </c>
      <c r="K210" s="38">
        <f t="shared" si="3"/>
        <v>0.02013888889</v>
      </c>
      <c r="L210" s="39" t="str">
        <f t="shared" si="2"/>
        <v>Morning</v>
      </c>
      <c r="M210" s="39" t="str">
        <f t="array" ref="M210">XLOOKUP(D210,'Category dict'!$B$1:$B$4,'Category dict'!$A$1:$A$4,0,0,1)</f>
        <v>Business</v>
      </c>
      <c r="N210" s="39" t="str">
        <f>VLOOKUP(H210,'Purpose dict'!$A$1:$B$12,2,0)</f>
        <v>Meeting</v>
      </c>
    </row>
    <row r="211" hidden="1">
      <c r="A211" s="3" t="s">
        <v>321</v>
      </c>
      <c r="B211" s="34">
        <v>42439.61041666667</v>
      </c>
      <c r="C211" s="34">
        <v>42439.62152777778</v>
      </c>
      <c r="D211" s="35">
        <v>423.0</v>
      </c>
      <c r="E211" s="3" t="s">
        <v>320</v>
      </c>
      <c r="F211" s="3" t="s">
        <v>322</v>
      </c>
      <c r="G211" s="36">
        <v>2.3</v>
      </c>
      <c r="H211" s="35">
        <v>123.0</v>
      </c>
      <c r="I211" s="37">
        <v>0.6104166666666667</v>
      </c>
      <c r="J211" s="37">
        <v>0.6215277777777778</v>
      </c>
      <c r="K211" s="38">
        <f t="shared" si="3"/>
        <v>0.01111111111</v>
      </c>
      <c r="L211" s="39" t="str">
        <f t="shared" si="2"/>
        <v>Day</v>
      </c>
      <c r="M211" s="39" t="str">
        <f t="array" ref="M211">XLOOKUP(D211,'Category dict'!$B$1:$B$4,'Category dict'!$A$1:$A$4,0,0,1)</f>
        <v>Business</v>
      </c>
      <c r="N211" s="39" t="str">
        <f>VLOOKUP(H211,'Purpose dict'!$A$1:$B$12,2,0)</f>
        <v>NOT DEFINED</v>
      </c>
    </row>
    <row r="212" hidden="1">
      <c r="A212" s="3" t="s">
        <v>323</v>
      </c>
      <c r="B212" s="34">
        <v>42439.67916666667</v>
      </c>
      <c r="C212" s="34">
        <v>42439.686111111114</v>
      </c>
      <c r="D212" s="35">
        <v>423.0</v>
      </c>
      <c r="E212" s="3" t="s">
        <v>322</v>
      </c>
      <c r="F212" s="3" t="s">
        <v>324</v>
      </c>
      <c r="G212" s="36">
        <v>1.6</v>
      </c>
      <c r="H212" s="35">
        <v>123.0</v>
      </c>
      <c r="I212" s="37">
        <v>0.6791666666666667</v>
      </c>
      <c r="J212" s="37">
        <v>0.6861111111111111</v>
      </c>
      <c r="K212" s="38">
        <f t="shared" si="3"/>
        <v>0.006944444444</v>
      </c>
      <c r="L212" s="39" t="str">
        <f t="shared" si="2"/>
        <v>Day</v>
      </c>
      <c r="M212" s="39" t="str">
        <f t="array" ref="M212">XLOOKUP(D212,'Category dict'!$B$1:$B$4,'Category dict'!$A$1:$A$4,0,0,1)</f>
        <v>Business</v>
      </c>
      <c r="N212" s="39" t="str">
        <f>VLOOKUP(H212,'Purpose dict'!$A$1:$B$12,2,0)</f>
        <v>NOT DEFINED</v>
      </c>
    </row>
    <row r="213" hidden="1">
      <c r="A213" s="3" t="s">
        <v>325</v>
      </c>
      <c r="B213" s="34">
        <v>42440.407638888886</v>
      </c>
      <c r="C213" s="34">
        <v>42440.415972222225</v>
      </c>
      <c r="D213" s="35">
        <v>423.0</v>
      </c>
      <c r="E213" s="3" t="s">
        <v>326</v>
      </c>
      <c r="F213" s="3" t="s">
        <v>327</v>
      </c>
      <c r="G213" s="36">
        <v>2.0</v>
      </c>
      <c r="H213" s="35">
        <v>1.0</v>
      </c>
      <c r="I213" s="37">
        <v>0.4076388888888889</v>
      </c>
      <c r="J213" s="37">
        <v>0.41597222222222224</v>
      </c>
      <c r="K213" s="38">
        <f t="shared" si="3"/>
        <v>0.008333333333</v>
      </c>
      <c r="L213" s="39" t="str">
        <f t="shared" si="2"/>
        <v>Morning</v>
      </c>
      <c r="M213" s="39" t="str">
        <f t="array" ref="M213">XLOOKUP(D213,'Category dict'!$B$1:$B$4,'Category dict'!$A$1:$A$4,0,0,1)</f>
        <v>Business</v>
      </c>
      <c r="N213" s="39" t="str">
        <f>VLOOKUP(H213,'Purpose dict'!$A$1:$B$12,2,0)</f>
        <v>Meal/Entertain</v>
      </c>
    </row>
    <row r="214">
      <c r="A214" s="3" t="s">
        <v>328</v>
      </c>
      <c r="B214" s="34">
        <v>42440.43680555555</v>
      </c>
      <c r="C214" s="34">
        <v>42440.441666666666</v>
      </c>
      <c r="D214" s="35">
        <v>423.0</v>
      </c>
      <c r="E214" s="3" t="s">
        <v>327</v>
      </c>
      <c r="F214" s="3" t="s">
        <v>91</v>
      </c>
      <c r="G214" s="40">
        <v>0.8</v>
      </c>
      <c r="H214" s="35">
        <v>123.0</v>
      </c>
      <c r="I214" s="37">
        <v>0.43680555555555556</v>
      </c>
      <c r="J214" s="37">
        <v>0.44166666666666665</v>
      </c>
      <c r="K214" s="38">
        <f t="shared" si="3"/>
        <v>0.004861111111</v>
      </c>
      <c r="L214" s="39" t="str">
        <f t="shared" si="2"/>
        <v>Morning</v>
      </c>
      <c r="M214" s="39" t="str">
        <f t="array" ref="M214">XLOOKUP(D214,'Category dict'!$B$1:$B$4,'Category dict'!$A$1:$A$4,0,0,1)</f>
        <v>Business</v>
      </c>
      <c r="N214" s="39" t="str">
        <f>VLOOKUP(H214,'Purpose dict'!$A$1:$B$12,2,0)</f>
        <v>NOT DEFINED</v>
      </c>
    </row>
    <row r="215">
      <c r="A215" s="3" t="s">
        <v>329</v>
      </c>
      <c r="B215" s="34">
        <v>42440.49791666667</v>
      </c>
      <c r="C215" s="34">
        <v>42440.50277777778</v>
      </c>
      <c r="D215" s="35">
        <v>423.0</v>
      </c>
      <c r="E215" s="3" t="s">
        <v>91</v>
      </c>
      <c r="F215" s="3" t="s">
        <v>330</v>
      </c>
      <c r="G215" s="40">
        <v>1.2</v>
      </c>
      <c r="H215" s="35">
        <v>123.0</v>
      </c>
      <c r="I215" s="37">
        <v>0.4979166666666667</v>
      </c>
      <c r="J215" s="37">
        <v>0.5027777777777778</v>
      </c>
      <c r="K215" s="38">
        <f t="shared" si="3"/>
        <v>0.004861111111</v>
      </c>
      <c r="L215" s="39" t="str">
        <f t="shared" si="2"/>
        <v>Morning</v>
      </c>
      <c r="M215" s="39" t="str">
        <f t="array" ref="M215">XLOOKUP(D215,'Category dict'!$B$1:$B$4,'Category dict'!$A$1:$A$4,0,0,1)</f>
        <v>Business</v>
      </c>
      <c r="N215" s="39" t="str">
        <f>VLOOKUP(H215,'Purpose dict'!$A$1:$B$12,2,0)</f>
        <v>NOT DEFINED</v>
      </c>
    </row>
    <row r="216">
      <c r="A216" s="3" t="s">
        <v>331</v>
      </c>
      <c r="B216" s="34">
        <v>42440.57152777778</v>
      </c>
      <c r="C216" s="34">
        <v>42440.57708333333</v>
      </c>
      <c r="D216" s="35">
        <v>423.0</v>
      </c>
      <c r="E216" s="3" t="s">
        <v>330</v>
      </c>
      <c r="F216" s="3" t="s">
        <v>91</v>
      </c>
      <c r="G216" s="40">
        <v>1.0</v>
      </c>
      <c r="H216" s="35">
        <v>123.0</v>
      </c>
      <c r="I216" s="37">
        <v>0.5715277777777777</v>
      </c>
      <c r="J216" s="37">
        <v>0.5770833333333333</v>
      </c>
      <c r="K216" s="38">
        <f t="shared" si="3"/>
        <v>0.005555555556</v>
      </c>
      <c r="L216" s="39" t="str">
        <f t="shared" si="2"/>
        <v>Day</v>
      </c>
      <c r="M216" s="39" t="str">
        <f t="array" ref="M216">XLOOKUP(D216,'Category dict'!$B$1:$B$4,'Category dict'!$A$1:$A$4,0,0,1)</f>
        <v>Business</v>
      </c>
      <c r="N216" s="39" t="str">
        <f>VLOOKUP(H216,'Purpose dict'!$A$1:$B$12,2,0)</f>
        <v>NOT DEFINED</v>
      </c>
    </row>
    <row r="217" hidden="1">
      <c r="A217" s="3" t="s">
        <v>332</v>
      </c>
      <c r="B217" s="34">
        <v>42440.80625</v>
      </c>
      <c r="C217" s="34">
        <v>42440.81597222222</v>
      </c>
      <c r="D217" s="35">
        <v>423.0</v>
      </c>
      <c r="E217" s="3" t="s">
        <v>322</v>
      </c>
      <c r="F217" s="3" t="s">
        <v>326</v>
      </c>
      <c r="G217" s="36">
        <v>2.1</v>
      </c>
      <c r="H217" s="35">
        <v>123.0</v>
      </c>
      <c r="I217" s="37">
        <v>0.80625</v>
      </c>
      <c r="J217" s="37">
        <v>0.8159722222222222</v>
      </c>
      <c r="K217" s="38">
        <f t="shared" si="3"/>
        <v>0.009722222222</v>
      </c>
      <c r="L217" s="39" t="str">
        <f t="shared" si="2"/>
        <v>Evening</v>
      </c>
      <c r="M217" s="39" t="str">
        <f t="array" ref="M217">XLOOKUP(D217,'Category dict'!$B$1:$B$4,'Category dict'!$A$1:$A$4,0,0,1)</f>
        <v>Business</v>
      </c>
      <c r="N217" s="39" t="str">
        <f>VLOOKUP(H217,'Purpose dict'!$A$1:$B$12,2,0)</f>
        <v>NOT DEFINED</v>
      </c>
    </row>
    <row r="218" hidden="1">
      <c r="A218" s="3" t="s">
        <v>333</v>
      </c>
      <c r="B218" s="34">
        <v>42441.38402777778</v>
      </c>
      <c r="C218" s="34">
        <v>42441.39027777778</v>
      </c>
      <c r="D218" s="35">
        <v>423.0</v>
      </c>
      <c r="E218" s="3" t="s">
        <v>326</v>
      </c>
      <c r="F218" s="3" t="s">
        <v>322</v>
      </c>
      <c r="G218" s="36">
        <v>2.2</v>
      </c>
      <c r="H218" s="35">
        <v>123.0</v>
      </c>
      <c r="I218" s="37">
        <v>0.3840277777777778</v>
      </c>
      <c r="J218" s="37">
        <v>0.3902777777777778</v>
      </c>
      <c r="K218" s="38">
        <f t="shared" si="3"/>
        <v>0.00625</v>
      </c>
      <c r="L218" s="39" t="str">
        <f t="shared" si="2"/>
        <v>Morning</v>
      </c>
      <c r="M218" s="39" t="str">
        <f t="array" ref="M218">XLOOKUP(D218,'Category dict'!$B$1:$B$4,'Category dict'!$A$1:$A$4,0,0,1)</f>
        <v>Business</v>
      </c>
      <c r="N218" s="39" t="str">
        <f>VLOOKUP(H218,'Purpose dict'!$A$1:$B$12,2,0)</f>
        <v>NOT DEFINED</v>
      </c>
    </row>
    <row r="219" hidden="1">
      <c r="A219" s="3" t="s">
        <v>334</v>
      </c>
      <c r="B219" s="34">
        <v>42441.76875</v>
      </c>
      <c r="C219" s="34">
        <v>42441.77569444444</v>
      </c>
      <c r="D219" s="35">
        <v>527.0</v>
      </c>
      <c r="E219" s="3" t="s">
        <v>322</v>
      </c>
      <c r="F219" s="3" t="s">
        <v>326</v>
      </c>
      <c r="G219" s="36">
        <v>1.9</v>
      </c>
      <c r="H219" s="35">
        <v>123.0</v>
      </c>
      <c r="I219" s="37">
        <v>0.76875</v>
      </c>
      <c r="J219" s="37">
        <v>0.7756944444444445</v>
      </c>
      <c r="K219" s="38">
        <f t="shared" si="3"/>
        <v>0.006944444444</v>
      </c>
      <c r="L219" s="39" t="str">
        <f t="shared" si="2"/>
        <v>Evening</v>
      </c>
      <c r="M219" s="39" t="str">
        <f t="array" ref="M219">XLOOKUP(D219,'Category dict'!$B$1:$B$4,'Category dict'!$A$1:$A$4,0,0,1)</f>
        <v>Personal</v>
      </c>
      <c r="N219" s="39" t="str">
        <f>VLOOKUP(H219,'Purpose dict'!$A$1:$B$12,2,0)</f>
        <v>NOT DEFINED</v>
      </c>
    </row>
    <row r="220" hidden="1">
      <c r="A220" s="3" t="s">
        <v>335</v>
      </c>
      <c r="B220" s="34">
        <v>42442.37986111111</v>
      </c>
      <c r="C220" s="34">
        <v>42442.40069444444</v>
      </c>
      <c r="D220" s="35">
        <v>423.0</v>
      </c>
      <c r="E220" s="3" t="s">
        <v>326</v>
      </c>
      <c r="F220" s="3" t="s">
        <v>336</v>
      </c>
      <c r="G220" s="36">
        <v>5.7</v>
      </c>
      <c r="H220" s="35">
        <v>1.0</v>
      </c>
      <c r="I220" s="37">
        <v>0.3798611111111111</v>
      </c>
      <c r="J220" s="37">
        <v>0.40069444444444446</v>
      </c>
      <c r="K220" s="38">
        <f t="shared" si="3"/>
        <v>0.02083333333</v>
      </c>
      <c r="L220" s="39" t="str">
        <f t="shared" si="2"/>
        <v>Morning</v>
      </c>
      <c r="M220" s="39" t="str">
        <f t="array" ref="M220">XLOOKUP(D220,'Category dict'!$B$1:$B$4,'Category dict'!$A$1:$A$4,0,0,1)</f>
        <v>Business</v>
      </c>
      <c r="N220" s="39" t="str">
        <f>VLOOKUP(H220,'Purpose dict'!$A$1:$B$12,2,0)</f>
        <v>Meal/Entertain</v>
      </c>
    </row>
    <row r="221" hidden="1">
      <c r="A221" s="3" t="s">
        <v>337</v>
      </c>
      <c r="B221" s="34">
        <v>42442.76597222222</v>
      </c>
      <c r="C221" s="34">
        <v>42442.779861111114</v>
      </c>
      <c r="D221" s="35">
        <v>423.0</v>
      </c>
      <c r="E221" s="3" t="s">
        <v>322</v>
      </c>
      <c r="F221" s="3" t="s">
        <v>338</v>
      </c>
      <c r="G221" s="36">
        <v>8.4</v>
      </c>
      <c r="H221" s="35">
        <v>1.0</v>
      </c>
      <c r="I221" s="37">
        <v>0.7659722222222223</v>
      </c>
      <c r="J221" s="37">
        <v>0.7798611111111111</v>
      </c>
      <c r="K221" s="38">
        <f t="shared" si="3"/>
        <v>0.01388888889</v>
      </c>
      <c r="L221" s="39" t="str">
        <f t="shared" si="2"/>
        <v>Evening</v>
      </c>
      <c r="M221" s="39" t="str">
        <f t="array" ref="M221">XLOOKUP(D221,'Category dict'!$B$1:$B$4,'Category dict'!$A$1:$A$4,0,0,1)</f>
        <v>Business</v>
      </c>
      <c r="N221" s="39" t="str">
        <f>VLOOKUP(H221,'Purpose dict'!$A$1:$B$12,2,0)</f>
        <v>Meal/Entertain</v>
      </c>
    </row>
    <row r="222" hidden="1">
      <c r="A222" s="3" t="s">
        <v>339</v>
      </c>
      <c r="B222" s="34">
        <v>42442.83819444444</v>
      </c>
      <c r="C222" s="34">
        <v>42442.85277777778</v>
      </c>
      <c r="D222" s="35">
        <v>423.0</v>
      </c>
      <c r="E222" s="3" t="s">
        <v>340</v>
      </c>
      <c r="F222" s="3" t="s">
        <v>326</v>
      </c>
      <c r="G222" s="36">
        <v>6.2</v>
      </c>
      <c r="H222" s="35">
        <v>1.0</v>
      </c>
      <c r="I222" s="37">
        <v>0.8381944444444445</v>
      </c>
      <c r="J222" s="37">
        <v>0.8527777777777777</v>
      </c>
      <c r="K222" s="38">
        <f t="shared" si="3"/>
        <v>0.01458333333</v>
      </c>
      <c r="L222" s="39" t="str">
        <f t="shared" si="2"/>
        <v>Evening</v>
      </c>
      <c r="M222" s="39" t="str">
        <f t="array" ref="M222">XLOOKUP(D222,'Category dict'!$B$1:$B$4,'Category dict'!$A$1:$A$4,0,0,1)</f>
        <v>Business</v>
      </c>
      <c r="N222" s="39" t="str">
        <f>VLOOKUP(H222,'Purpose dict'!$A$1:$B$12,2,0)</f>
        <v>Meal/Entertain</v>
      </c>
    </row>
    <row r="223" hidden="1">
      <c r="A223" s="3" t="s">
        <v>341</v>
      </c>
      <c r="B223" s="34">
        <v>42442.86041666667</v>
      </c>
      <c r="C223" s="34">
        <v>42442.873611111114</v>
      </c>
      <c r="D223" s="35">
        <v>423.0</v>
      </c>
      <c r="E223" s="3" t="s">
        <v>326</v>
      </c>
      <c r="F223" s="3" t="s">
        <v>338</v>
      </c>
      <c r="G223" s="36">
        <v>10.5</v>
      </c>
      <c r="H223" s="35">
        <v>1.0</v>
      </c>
      <c r="I223" s="37">
        <v>0.8604166666666667</v>
      </c>
      <c r="J223" s="37">
        <v>0.8736111111111111</v>
      </c>
      <c r="K223" s="38">
        <f t="shared" si="3"/>
        <v>0.01319444444</v>
      </c>
      <c r="L223" s="39" t="str">
        <f t="shared" si="2"/>
        <v>Evening</v>
      </c>
      <c r="M223" s="39" t="str">
        <f t="array" ref="M223">XLOOKUP(D223,'Category dict'!$B$1:$B$4,'Category dict'!$A$1:$A$4,0,0,1)</f>
        <v>Business</v>
      </c>
      <c r="N223" s="39" t="str">
        <f>VLOOKUP(H223,'Purpose dict'!$A$1:$B$12,2,0)</f>
        <v>Meal/Entertain</v>
      </c>
    </row>
    <row r="224" hidden="1">
      <c r="A224" s="3" t="s">
        <v>342</v>
      </c>
      <c r="B224" s="34">
        <v>42442.88263888889</v>
      </c>
      <c r="C224" s="34">
        <v>42442.89097222222</v>
      </c>
      <c r="D224" s="35">
        <v>423.0</v>
      </c>
      <c r="E224" s="3" t="s">
        <v>338</v>
      </c>
      <c r="F224" s="3" t="s">
        <v>343</v>
      </c>
      <c r="G224" s="36">
        <v>7.2</v>
      </c>
      <c r="H224" s="35">
        <v>1.0</v>
      </c>
      <c r="I224" s="37">
        <v>0.8826388888888889</v>
      </c>
      <c r="J224" s="37">
        <v>0.8909722222222223</v>
      </c>
      <c r="K224" s="38">
        <f t="shared" si="3"/>
        <v>0.008333333333</v>
      </c>
      <c r="L224" s="39" t="str">
        <f t="shared" si="2"/>
        <v>Evening</v>
      </c>
      <c r="M224" s="39" t="str">
        <f t="array" ref="M224">XLOOKUP(D224,'Category dict'!$B$1:$B$4,'Category dict'!$A$1:$A$4,0,0,1)</f>
        <v>Business</v>
      </c>
      <c r="N224" s="39" t="str">
        <f>VLOOKUP(H224,'Purpose dict'!$A$1:$B$12,2,0)</f>
        <v>Meal/Entertain</v>
      </c>
    </row>
    <row r="225" hidden="1">
      <c r="A225" s="3" t="s">
        <v>344</v>
      </c>
      <c r="B225" s="34">
        <v>42442.92986111111</v>
      </c>
      <c r="C225" s="34">
        <v>42442.94375</v>
      </c>
      <c r="D225" s="35">
        <v>423.0</v>
      </c>
      <c r="E225" s="3" t="s">
        <v>343</v>
      </c>
      <c r="F225" s="3" t="s">
        <v>326</v>
      </c>
      <c r="G225" s="36">
        <v>12.5</v>
      </c>
      <c r="H225" s="35">
        <v>123.0</v>
      </c>
      <c r="I225" s="37">
        <v>0.9298611111111111</v>
      </c>
      <c r="J225" s="37">
        <v>0.94375</v>
      </c>
      <c r="K225" s="38">
        <f t="shared" si="3"/>
        <v>0.01388888889</v>
      </c>
      <c r="L225" s="39" t="str">
        <f t="shared" si="2"/>
        <v>Evening</v>
      </c>
      <c r="M225" s="39" t="str">
        <f t="array" ref="M225">XLOOKUP(D225,'Category dict'!$B$1:$B$4,'Category dict'!$A$1:$A$4,0,0,1)</f>
        <v>Business</v>
      </c>
      <c r="N225" s="39" t="str">
        <f>VLOOKUP(H225,'Purpose dict'!$A$1:$B$12,2,0)</f>
        <v>NOT DEFINED</v>
      </c>
    </row>
    <row r="226" hidden="1">
      <c r="A226" s="3" t="s">
        <v>345</v>
      </c>
      <c r="B226" s="34">
        <v>42443.356944444444</v>
      </c>
      <c r="C226" s="34">
        <v>42443.36736111111</v>
      </c>
      <c r="D226" s="35">
        <v>423.0</v>
      </c>
      <c r="E226" s="3" t="s">
        <v>326</v>
      </c>
      <c r="F226" s="3" t="s">
        <v>322</v>
      </c>
      <c r="G226" s="36">
        <v>2.0</v>
      </c>
      <c r="H226" s="35">
        <v>2.0</v>
      </c>
      <c r="I226" s="37">
        <v>0.35694444444444445</v>
      </c>
      <c r="J226" s="37">
        <v>0.36736111111111114</v>
      </c>
      <c r="K226" s="38">
        <f t="shared" si="3"/>
        <v>0.01041666667</v>
      </c>
      <c r="L226" s="39" t="str">
        <f t="shared" si="2"/>
        <v>Morning</v>
      </c>
      <c r="M226" s="39" t="str">
        <f t="array" ref="M226">XLOOKUP(D226,'Category dict'!$B$1:$B$4,'Category dict'!$A$1:$A$4,0,0,1)</f>
        <v>Business</v>
      </c>
      <c r="N226" s="39" t="str">
        <f>VLOOKUP(H226,'Purpose dict'!$A$1:$B$12,2,0)</f>
        <v>Errand/Supplies</v>
      </c>
    </row>
    <row r="227" hidden="1">
      <c r="A227" s="3" t="s">
        <v>346</v>
      </c>
      <c r="B227" s="34">
        <v>42443.777083333334</v>
      </c>
      <c r="C227" s="34">
        <v>42443.788194444445</v>
      </c>
      <c r="D227" s="35">
        <v>423.0</v>
      </c>
      <c r="E227" s="3" t="s">
        <v>322</v>
      </c>
      <c r="F227" s="3" t="s">
        <v>326</v>
      </c>
      <c r="G227" s="36">
        <v>2.7</v>
      </c>
      <c r="H227" s="35">
        <v>123.0</v>
      </c>
      <c r="I227" s="37">
        <v>0.7770833333333333</v>
      </c>
      <c r="J227" s="37">
        <v>0.7881944444444444</v>
      </c>
      <c r="K227" s="38">
        <f t="shared" si="3"/>
        <v>0.01111111111</v>
      </c>
      <c r="L227" s="39" t="str">
        <f t="shared" si="2"/>
        <v>Evening</v>
      </c>
      <c r="M227" s="39" t="str">
        <f t="array" ref="M227">XLOOKUP(D227,'Category dict'!$B$1:$B$4,'Category dict'!$A$1:$A$4,0,0,1)</f>
        <v>Business</v>
      </c>
      <c r="N227" s="39" t="str">
        <f>VLOOKUP(H227,'Purpose dict'!$A$1:$B$12,2,0)</f>
        <v>NOT DEFINED</v>
      </c>
    </row>
    <row r="228" hidden="1">
      <c r="A228" s="3" t="s">
        <v>347</v>
      </c>
      <c r="B228" s="34">
        <v>42444.364583333336</v>
      </c>
      <c r="C228" s="34">
        <v>42444.37291666667</v>
      </c>
      <c r="D228" s="35">
        <v>423.0</v>
      </c>
      <c r="E228" s="3" t="s">
        <v>326</v>
      </c>
      <c r="F228" s="3" t="s">
        <v>336</v>
      </c>
      <c r="G228" s="36">
        <v>2.0</v>
      </c>
      <c r="H228" s="35">
        <v>1.0</v>
      </c>
      <c r="I228" s="37">
        <v>0.3645833333333333</v>
      </c>
      <c r="J228" s="37">
        <v>0.3729166666666667</v>
      </c>
      <c r="K228" s="38">
        <f t="shared" si="3"/>
        <v>0.008333333333</v>
      </c>
      <c r="L228" s="39" t="str">
        <f t="shared" si="2"/>
        <v>Morning</v>
      </c>
      <c r="M228" s="39" t="str">
        <f t="array" ref="M228">XLOOKUP(D228,'Category dict'!$B$1:$B$4,'Category dict'!$A$1:$A$4,0,0,1)</f>
        <v>Business</v>
      </c>
      <c r="N228" s="39" t="str">
        <f>VLOOKUP(H228,'Purpose dict'!$A$1:$B$12,2,0)</f>
        <v>Meal/Entertain</v>
      </c>
    </row>
    <row r="229" hidden="1">
      <c r="A229" s="3" t="s">
        <v>348</v>
      </c>
      <c r="B229" s="34">
        <v>42444.86666666667</v>
      </c>
      <c r="C229" s="34">
        <v>42444.87569444445</v>
      </c>
      <c r="D229" s="35">
        <v>423.0</v>
      </c>
      <c r="E229" s="3" t="s">
        <v>91</v>
      </c>
      <c r="F229" s="3" t="s">
        <v>326</v>
      </c>
      <c r="G229" s="36">
        <v>2.8</v>
      </c>
      <c r="H229" s="35">
        <v>1.0</v>
      </c>
      <c r="I229" s="37">
        <v>0.8666666666666667</v>
      </c>
      <c r="J229" s="37">
        <v>0.8756944444444444</v>
      </c>
      <c r="K229" s="38">
        <f t="shared" si="3"/>
        <v>0.009027777778</v>
      </c>
      <c r="L229" s="39" t="str">
        <f t="shared" si="2"/>
        <v>Evening</v>
      </c>
      <c r="M229" s="39" t="str">
        <f t="array" ref="M229">XLOOKUP(D229,'Category dict'!$B$1:$B$4,'Category dict'!$A$1:$A$4,0,0,1)</f>
        <v>Business</v>
      </c>
      <c r="N229" s="39" t="str">
        <f>VLOOKUP(H229,'Purpose dict'!$A$1:$B$12,2,0)</f>
        <v>Meal/Entertain</v>
      </c>
    </row>
    <row r="230" hidden="1">
      <c r="A230" s="3" t="s">
        <v>349</v>
      </c>
      <c r="B230" s="34">
        <v>42445.481944444444</v>
      </c>
      <c r="C230" s="34">
        <v>42445.489583333336</v>
      </c>
      <c r="D230" s="35">
        <v>423.0</v>
      </c>
      <c r="E230" s="3" t="s">
        <v>326</v>
      </c>
      <c r="F230" s="3" t="s">
        <v>327</v>
      </c>
      <c r="G230" s="36">
        <v>1.7</v>
      </c>
      <c r="H230" s="35">
        <v>1.0</v>
      </c>
      <c r="I230" s="37">
        <v>0.48194444444444445</v>
      </c>
      <c r="J230" s="37">
        <v>0.4895833333333333</v>
      </c>
      <c r="K230" s="38">
        <f t="shared" si="3"/>
        <v>0.007638888889</v>
      </c>
      <c r="L230" s="39" t="str">
        <f t="shared" si="2"/>
        <v>Morning</v>
      </c>
      <c r="M230" s="39" t="str">
        <f t="array" ref="M230">XLOOKUP(D230,'Category dict'!$B$1:$B$4,'Category dict'!$A$1:$A$4,0,0,1)</f>
        <v>Business</v>
      </c>
      <c r="N230" s="39" t="str">
        <f>VLOOKUP(H230,'Purpose dict'!$A$1:$B$12,2,0)</f>
        <v>Meal/Entertain</v>
      </c>
    </row>
    <row r="231" hidden="1">
      <c r="A231" s="3" t="s">
        <v>350</v>
      </c>
      <c r="B231" s="34">
        <v>42445.61388888889</v>
      </c>
      <c r="C231" s="34">
        <v>42445.62152777778</v>
      </c>
      <c r="D231" s="35">
        <v>423.0</v>
      </c>
      <c r="E231" s="3" t="s">
        <v>336</v>
      </c>
      <c r="F231" s="3" t="s">
        <v>320</v>
      </c>
      <c r="G231" s="36">
        <v>2.0</v>
      </c>
      <c r="H231" s="35">
        <v>123.0</v>
      </c>
      <c r="I231" s="37">
        <v>0.6138888888888889</v>
      </c>
      <c r="J231" s="37">
        <v>0.6215277777777778</v>
      </c>
      <c r="K231" s="38">
        <f t="shared" si="3"/>
        <v>0.007638888889</v>
      </c>
      <c r="L231" s="39" t="str">
        <f t="shared" si="2"/>
        <v>Day</v>
      </c>
      <c r="M231" s="39" t="str">
        <f t="array" ref="M231">XLOOKUP(D231,'Category dict'!$B$1:$B$4,'Category dict'!$A$1:$A$4,0,0,1)</f>
        <v>Business</v>
      </c>
      <c r="N231" s="39" t="str">
        <f>VLOOKUP(H231,'Purpose dict'!$A$1:$B$12,2,0)</f>
        <v>NOT DEFINED</v>
      </c>
    </row>
    <row r="232" hidden="1">
      <c r="A232" s="3" t="s">
        <v>351</v>
      </c>
      <c r="B232" s="34">
        <v>42445.779861111114</v>
      </c>
      <c r="C232" s="34">
        <v>42445.78888888889</v>
      </c>
      <c r="D232" s="35">
        <v>423.0</v>
      </c>
      <c r="E232" s="3" t="s">
        <v>320</v>
      </c>
      <c r="F232" s="3" t="s">
        <v>327</v>
      </c>
      <c r="G232" s="36">
        <v>2.1</v>
      </c>
      <c r="H232" s="35">
        <v>1.0</v>
      </c>
      <c r="I232" s="37">
        <v>0.7798611111111111</v>
      </c>
      <c r="J232" s="37">
        <v>0.7888888888888889</v>
      </c>
      <c r="K232" s="38">
        <f t="shared" si="3"/>
        <v>0.009027777778</v>
      </c>
      <c r="L232" s="39" t="str">
        <f t="shared" si="2"/>
        <v>Evening</v>
      </c>
      <c r="M232" s="39" t="str">
        <f t="array" ref="M232">XLOOKUP(D232,'Category dict'!$B$1:$B$4,'Category dict'!$A$1:$A$4,0,0,1)</f>
        <v>Business</v>
      </c>
      <c r="N232" s="39" t="str">
        <f>VLOOKUP(H232,'Purpose dict'!$A$1:$B$12,2,0)</f>
        <v>Meal/Entertain</v>
      </c>
    </row>
    <row r="233" hidden="1">
      <c r="A233" s="3" t="s">
        <v>352</v>
      </c>
      <c r="B233" s="34">
        <v>42446.02291666667</v>
      </c>
      <c r="C233" s="34">
        <v>42446.03055555555</v>
      </c>
      <c r="D233" s="35">
        <v>527.0</v>
      </c>
      <c r="E233" s="3" t="s">
        <v>91</v>
      </c>
      <c r="F233" s="3" t="s">
        <v>326</v>
      </c>
      <c r="G233" s="36">
        <v>1.7</v>
      </c>
      <c r="H233" s="35">
        <v>123.0</v>
      </c>
      <c r="I233" s="37">
        <v>0.022916666666666665</v>
      </c>
      <c r="J233" s="37">
        <v>0.030555555555555555</v>
      </c>
      <c r="K233" s="38">
        <f t="shared" si="3"/>
        <v>0.007638888889</v>
      </c>
      <c r="L233" s="39" t="str">
        <f t="shared" si="2"/>
        <v>Night</v>
      </c>
      <c r="M233" s="39" t="str">
        <f t="array" ref="M233">XLOOKUP(D233,'Category dict'!$B$1:$B$4,'Category dict'!$A$1:$A$4,0,0,1)</f>
        <v>Personal</v>
      </c>
      <c r="N233" s="39" t="str">
        <f>VLOOKUP(H233,'Purpose dict'!$A$1:$B$12,2,0)</f>
        <v>NOT DEFINED</v>
      </c>
    </row>
    <row r="234" hidden="1">
      <c r="A234" s="3" t="s">
        <v>353</v>
      </c>
      <c r="B234" s="34">
        <v>42446.53611111111</v>
      </c>
      <c r="C234" s="34">
        <v>42446.63263888889</v>
      </c>
      <c r="D234" s="35">
        <v>423.0</v>
      </c>
      <c r="E234" s="3" t="s">
        <v>354</v>
      </c>
      <c r="F234" s="3" t="s">
        <v>355</v>
      </c>
      <c r="G234" s="36">
        <v>136.0</v>
      </c>
      <c r="H234" s="35">
        <v>4.0</v>
      </c>
      <c r="I234" s="37">
        <v>0.5361111111111111</v>
      </c>
      <c r="J234" s="37">
        <v>0.6326388888888889</v>
      </c>
      <c r="K234" s="38">
        <f t="shared" si="3"/>
        <v>0.09652777778</v>
      </c>
      <c r="L234" s="39" t="str">
        <f t="shared" si="2"/>
        <v>Day</v>
      </c>
      <c r="M234" s="39" t="str">
        <f t="array" ref="M234">XLOOKUP(D234,'Category dict'!$B$1:$B$4,'Category dict'!$A$1:$A$4,0,0,1)</f>
        <v>Business</v>
      </c>
      <c r="N234" s="39" t="str">
        <f>VLOOKUP(H234,'Purpose dict'!$A$1:$B$12,2,0)</f>
        <v>Customer Visit</v>
      </c>
    </row>
    <row r="235" hidden="1">
      <c r="A235" s="3" t="s">
        <v>356</v>
      </c>
      <c r="B235" s="34">
        <v>42446.63611111111</v>
      </c>
      <c r="C235" s="34">
        <v>42446.66527777778</v>
      </c>
      <c r="D235" s="35">
        <v>423.0</v>
      </c>
      <c r="E235" s="3" t="s">
        <v>355</v>
      </c>
      <c r="F235" s="3" t="s">
        <v>95</v>
      </c>
      <c r="G235" s="36">
        <v>30.2</v>
      </c>
      <c r="H235" s="35">
        <v>3.0</v>
      </c>
      <c r="I235" s="37">
        <v>0.6361111111111111</v>
      </c>
      <c r="J235" s="37">
        <v>0.6652777777777777</v>
      </c>
      <c r="K235" s="38">
        <f t="shared" si="3"/>
        <v>0.02916666667</v>
      </c>
      <c r="L235" s="39" t="str">
        <f t="shared" si="2"/>
        <v>Day</v>
      </c>
      <c r="M235" s="39" t="str">
        <f t="array" ref="M235">XLOOKUP(D235,'Category dict'!$B$1:$B$4,'Category dict'!$A$1:$A$4,0,0,1)</f>
        <v>Business</v>
      </c>
      <c r="N235" s="39" t="str">
        <f>VLOOKUP(H235,'Purpose dict'!$A$1:$B$12,2,0)</f>
        <v>Meeting</v>
      </c>
    </row>
    <row r="236" hidden="1">
      <c r="A236" s="3" t="s">
        <v>357</v>
      </c>
      <c r="B236" s="34">
        <v>42446.72222222222</v>
      </c>
      <c r="C236" s="34">
        <v>42446.751388888886</v>
      </c>
      <c r="D236" s="35">
        <v>423.0</v>
      </c>
      <c r="E236" s="3" t="s">
        <v>71</v>
      </c>
      <c r="F236" s="3" t="s">
        <v>358</v>
      </c>
      <c r="G236" s="36">
        <v>15.5</v>
      </c>
      <c r="H236" s="35">
        <v>1.0</v>
      </c>
      <c r="I236" s="37">
        <v>0.7222222222222222</v>
      </c>
      <c r="J236" s="37">
        <v>0.7513888888888889</v>
      </c>
      <c r="K236" s="38">
        <f t="shared" si="3"/>
        <v>0.02916666667</v>
      </c>
      <c r="L236" s="39" t="str">
        <f t="shared" si="2"/>
        <v>Day</v>
      </c>
      <c r="M236" s="39" t="str">
        <f t="array" ref="M236">XLOOKUP(D236,'Category dict'!$B$1:$B$4,'Category dict'!$A$1:$A$4,0,0,1)</f>
        <v>Business</v>
      </c>
      <c r="N236" s="39" t="str">
        <f>VLOOKUP(H236,'Purpose dict'!$A$1:$B$12,2,0)</f>
        <v>Meal/Entertain</v>
      </c>
    </row>
    <row r="237" hidden="1">
      <c r="A237" s="3" t="s">
        <v>359</v>
      </c>
      <c r="B237" s="34">
        <v>42446.782638888886</v>
      </c>
      <c r="C237" s="34">
        <v>42446.79791666667</v>
      </c>
      <c r="D237" s="35">
        <v>527.0</v>
      </c>
      <c r="E237" s="3" t="s">
        <v>95</v>
      </c>
      <c r="F237" s="3" t="s">
        <v>95</v>
      </c>
      <c r="G237" s="36">
        <v>4.9</v>
      </c>
      <c r="H237" s="35">
        <v>123.0</v>
      </c>
      <c r="I237" s="37">
        <v>0.7826388888888889</v>
      </c>
      <c r="J237" s="37">
        <v>0.7979166666666667</v>
      </c>
      <c r="K237" s="38">
        <f t="shared" si="3"/>
        <v>0.01527777778</v>
      </c>
      <c r="L237" s="39" t="str">
        <f t="shared" si="2"/>
        <v>Evening</v>
      </c>
      <c r="M237" s="39" t="str">
        <f t="array" ref="M237">XLOOKUP(D237,'Category dict'!$B$1:$B$4,'Category dict'!$A$1:$A$4,0,0,1)</f>
        <v>Personal</v>
      </c>
      <c r="N237" s="39" t="str">
        <f>VLOOKUP(H237,'Purpose dict'!$A$1:$B$12,2,0)</f>
        <v>NOT DEFINED</v>
      </c>
    </row>
    <row r="238" hidden="1">
      <c r="A238" s="3" t="s">
        <v>360</v>
      </c>
      <c r="B238" s="34">
        <v>42446.87291666667</v>
      </c>
      <c r="C238" s="34">
        <v>42446.89444444444</v>
      </c>
      <c r="D238" s="35">
        <v>527.0</v>
      </c>
      <c r="E238" s="3" t="s">
        <v>95</v>
      </c>
      <c r="F238" s="3" t="s">
        <v>95</v>
      </c>
      <c r="G238" s="36">
        <v>12.6</v>
      </c>
      <c r="H238" s="35">
        <v>123.0</v>
      </c>
      <c r="I238" s="37">
        <v>0.8729166666666667</v>
      </c>
      <c r="J238" s="37">
        <v>0.8944444444444445</v>
      </c>
      <c r="K238" s="38">
        <f t="shared" si="3"/>
        <v>0.02152777778</v>
      </c>
      <c r="L238" s="39" t="str">
        <f t="shared" si="2"/>
        <v>Evening</v>
      </c>
      <c r="M238" s="39" t="str">
        <f t="array" ref="M238">XLOOKUP(D238,'Category dict'!$B$1:$B$4,'Category dict'!$A$1:$A$4,0,0,1)</f>
        <v>Personal</v>
      </c>
      <c r="N238" s="39" t="str">
        <f>VLOOKUP(H238,'Purpose dict'!$A$1:$B$12,2,0)</f>
        <v>NOT DEFINED</v>
      </c>
    </row>
    <row r="239" hidden="1">
      <c r="A239" s="3" t="s">
        <v>361</v>
      </c>
      <c r="B239" s="34">
        <v>42446.90833333333</v>
      </c>
      <c r="C239" s="34">
        <v>42446.919444444444</v>
      </c>
      <c r="D239" s="35">
        <v>527.0</v>
      </c>
      <c r="E239" s="3" t="s">
        <v>362</v>
      </c>
      <c r="F239" s="3" t="s">
        <v>71</v>
      </c>
      <c r="G239" s="36">
        <v>10.4</v>
      </c>
      <c r="H239" s="35">
        <v>123.0</v>
      </c>
      <c r="I239" s="37">
        <v>0.9083333333333333</v>
      </c>
      <c r="J239" s="37">
        <v>0.9194444444444444</v>
      </c>
      <c r="K239" s="38">
        <f t="shared" si="3"/>
        <v>0.01111111111</v>
      </c>
      <c r="L239" s="39" t="str">
        <f t="shared" si="2"/>
        <v>Evening</v>
      </c>
      <c r="M239" s="39" t="str">
        <f t="array" ref="M239">XLOOKUP(D239,'Category dict'!$B$1:$B$4,'Category dict'!$A$1:$A$4,0,0,1)</f>
        <v>Personal</v>
      </c>
      <c r="N239" s="39" t="str">
        <f>VLOOKUP(H239,'Purpose dict'!$A$1:$B$12,2,0)</f>
        <v>NOT DEFINED</v>
      </c>
    </row>
    <row r="240">
      <c r="A240" s="3" t="s">
        <v>363</v>
      </c>
      <c r="B240" s="34">
        <v>42447.302083333336</v>
      </c>
      <c r="C240" s="34">
        <v>42447.30625</v>
      </c>
      <c r="D240" s="35">
        <v>423.0</v>
      </c>
      <c r="E240" s="3" t="s">
        <v>71</v>
      </c>
      <c r="F240" s="3" t="s">
        <v>71</v>
      </c>
      <c r="G240" s="40">
        <v>1.1</v>
      </c>
      <c r="H240" s="35">
        <v>1.0</v>
      </c>
      <c r="I240" s="37">
        <v>0.3020833333333333</v>
      </c>
      <c r="J240" s="37">
        <v>0.30625</v>
      </c>
      <c r="K240" s="38">
        <f t="shared" si="3"/>
        <v>0.004166666667</v>
      </c>
      <c r="L240" s="39" t="str">
        <f t="shared" si="2"/>
        <v>Morning</v>
      </c>
      <c r="M240" s="39" t="str">
        <f t="array" ref="M240">XLOOKUP(D240,'Category dict'!$B$1:$B$4,'Category dict'!$A$1:$A$4,0,0,1)</f>
        <v>Business</v>
      </c>
      <c r="N240" s="39" t="str">
        <f>VLOOKUP(H240,'Purpose dict'!$A$1:$B$12,2,0)</f>
        <v>Meal/Entertain</v>
      </c>
    </row>
    <row r="241">
      <c r="A241" s="3" t="s">
        <v>364</v>
      </c>
      <c r="B241" s="34">
        <v>42447.35763888889</v>
      </c>
      <c r="C241" s="34">
        <v>42447.36319444444</v>
      </c>
      <c r="D241" s="35">
        <v>423.0</v>
      </c>
      <c r="E241" s="3" t="s">
        <v>71</v>
      </c>
      <c r="F241" s="3" t="s">
        <v>71</v>
      </c>
      <c r="G241" s="40">
        <v>1.1</v>
      </c>
      <c r="H241" s="35">
        <v>1.0</v>
      </c>
      <c r="I241" s="37">
        <v>0.3576388888888889</v>
      </c>
      <c r="J241" s="37">
        <v>0.36319444444444443</v>
      </c>
      <c r="K241" s="38">
        <f t="shared" si="3"/>
        <v>0.005555555556</v>
      </c>
      <c r="L241" s="39" t="str">
        <f t="shared" si="2"/>
        <v>Morning</v>
      </c>
      <c r="M241" s="39" t="str">
        <f t="array" ref="M241">XLOOKUP(D241,'Category dict'!$B$1:$B$4,'Category dict'!$A$1:$A$4,0,0,1)</f>
        <v>Business</v>
      </c>
      <c r="N241" s="39" t="str">
        <f>VLOOKUP(H241,'Purpose dict'!$A$1:$B$12,2,0)</f>
        <v>Meal/Entertain</v>
      </c>
    </row>
    <row r="242" hidden="1">
      <c r="A242" s="3" t="s">
        <v>365</v>
      </c>
      <c r="B242" s="34">
        <v>42447.76666666667</v>
      </c>
      <c r="C242" s="34">
        <v>42447.79722222222</v>
      </c>
      <c r="D242" s="35">
        <v>423.0</v>
      </c>
      <c r="E242" s="3" t="s">
        <v>71</v>
      </c>
      <c r="F242" s="3" t="s">
        <v>362</v>
      </c>
      <c r="G242" s="36">
        <v>13.2</v>
      </c>
      <c r="H242" s="35">
        <v>3.0</v>
      </c>
      <c r="I242" s="37">
        <v>0.7666666666666667</v>
      </c>
      <c r="J242" s="37">
        <v>0.7972222222222223</v>
      </c>
      <c r="K242" s="38">
        <f t="shared" si="3"/>
        <v>0.03055555556</v>
      </c>
      <c r="L242" s="39" t="str">
        <f t="shared" si="2"/>
        <v>Evening</v>
      </c>
      <c r="M242" s="39" t="str">
        <f t="array" ref="M242">XLOOKUP(D242,'Category dict'!$B$1:$B$4,'Category dict'!$A$1:$A$4,0,0,1)</f>
        <v>Business</v>
      </c>
      <c r="N242" s="39" t="str">
        <f>VLOOKUP(H242,'Purpose dict'!$A$1:$B$12,2,0)</f>
        <v>Meeting</v>
      </c>
    </row>
    <row r="243">
      <c r="A243" s="3" t="s">
        <v>366</v>
      </c>
      <c r="B243" s="34">
        <v>42447.80763888889</v>
      </c>
      <c r="C243" s="34">
        <v>42447.81180555555</v>
      </c>
      <c r="D243" s="35">
        <v>423.0</v>
      </c>
      <c r="E243" s="3" t="s">
        <v>362</v>
      </c>
      <c r="F243" s="3" t="s">
        <v>362</v>
      </c>
      <c r="G243" s="40">
        <v>1.0</v>
      </c>
      <c r="H243" s="35">
        <v>2.0</v>
      </c>
      <c r="I243" s="37">
        <v>0.8076388888888889</v>
      </c>
      <c r="J243" s="37">
        <v>0.8118055555555556</v>
      </c>
      <c r="K243" s="38">
        <f t="shared" si="3"/>
        <v>0.004166666667</v>
      </c>
      <c r="L243" s="39" t="str">
        <f t="shared" si="2"/>
        <v>Evening</v>
      </c>
      <c r="M243" s="39" t="str">
        <f t="array" ref="M243">XLOOKUP(D243,'Category dict'!$B$1:$B$4,'Category dict'!$A$1:$A$4,0,0,1)</f>
        <v>Business</v>
      </c>
      <c r="N243" s="39" t="str">
        <f>VLOOKUP(H243,'Purpose dict'!$A$1:$B$12,2,0)</f>
        <v>Errand/Supplies</v>
      </c>
    </row>
    <row r="244" hidden="1">
      <c r="A244" s="3" t="s">
        <v>367</v>
      </c>
      <c r="B244" s="34">
        <v>42447.87569444445</v>
      </c>
      <c r="C244" s="34">
        <v>42447.885416666664</v>
      </c>
      <c r="D244" s="35">
        <v>423.0</v>
      </c>
      <c r="E244" s="3" t="s">
        <v>362</v>
      </c>
      <c r="F244" s="3" t="s">
        <v>71</v>
      </c>
      <c r="G244" s="36">
        <v>9.2</v>
      </c>
      <c r="H244" s="35">
        <v>4.0</v>
      </c>
      <c r="I244" s="37">
        <v>0.8756944444444444</v>
      </c>
      <c r="J244" s="37">
        <v>0.8854166666666666</v>
      </c>
      <c r="K244" s="38">
        <f t="shared" si="3"/>
        <v>0.009722222222</v>
      </c>
      <c r="L244" s="39" t="str">
        <f t="shared" si="2"/>
        <v>Evening</v>
      </c>
      <c r="M244" s="39" t="str">
        <f t="array" ref="M244">XLOOKUP(D244,'Category dict'!$B$1:$B$4,'Category dict'!$A$1:$A$4,0,0,1)</f>
        <v>Business</v>
      </c>
      <c r="N244" s="39" t="str">
        <f>VLOOKUP(H244,'Purpose dict'!$A$1:$B$12,2,0)</f>
        <v>Customer Visit</v>
      </c>
    </row>
    <row r="245" hidden="1">
      <c r="A245" s="3" t="s">
        <v>368</v>
      </c>
      <c r="B245" s="34">
        <v>42448.381944444445</v>
      </c>
      <c r="C245" s="34">
        <v>42448.39236111111</v>
      </c>
      <c r="D245" s="35">
        <v>423.0</v>
      </c>
      <c r="E245" s="3" t="s">
        <v>71</v>
      </c>
      <c r="F245" s="3" t="s">
        <v>362</v>
      </c>
      <c r="G245" s="36">
        <v>9.4</v>
      </c>
      <c r="H245" s="35">
        <v>1.0</v>
      </c>
      <c r="I245" s="37">
        <v>0.3819444444444444</v>
      </c>
      <c r="J245" s="37">
        <v>0.3923611111111111</v>
      </c>
      <c r="K245" s="38">
        <f t="shared" si="3"/>
        <v>0.01041666667</v>
      </c>
      <c r="L245" s="39" t="str">
        <f t="shared" si="2"/>
        <v>Morning</v>
      </c>
      <c r="M245" s="39" t="str">
        <f t="array" ref="M245">XLOOKUP(D245,'Category dict'!$B$1:$B$4,'Category dict'!$A$1:$A$4,0,0,1)</f>
        <v>Business</v>
      </c>
      <c r="N245" s="39" t="str">
        <f>VLOOKUP(H245,'Purpose dict'!$A$1:$B$12,2,0)</f>
        <v>Meal/Entertain</v>
      </c>
    </row>
    <row r="246" hidden="1">
      <c r="A246" s="3" t="s">
        <v>369</v>
      </c>
      <c r="B246" s="34">
        <v>42448.53472222222</v>
      </c>
      <c r="C246" s="34">
        <v>42448.55069444444</v>
      </c>
      <c r="D246" s="35">
        <v>423.0</v>
      </c>
      <c r="E246" s="3" t="s">
        <v>95</v>
      </c>
      <c r="F246" s="3" t="s">
        <v>370</v>
      </c>
      <c r="G246" s="36">
        <v>12.0</v>
      </c>
      <c r="H246" s="35">
        <v>4.0</v>
      </c>
      <c r="I246" s="37">
        <v>0.5347222222222222</v>
      </c>
      <c r="J246" s="37">
        <v>0.5506944444444445</v>
      </c>
      <c r="K246" s="38">
        <f t="shared" si="3"/>
        <v>0.01597222222</v>
      </c>
      <c r="L246" s="39" t="str">
        <f t="shared" si="2"/>
        <v>Day</v>
      </c>
      <c r="M246" s="39" t="str">
        <f t="array" ref="M246">XLOOKUP(D246,'Category dict'!$B$1:$B$4,'Category dict'!$A$1:$A$4,0,0,1)</f>
        <v>Business</v>
      </c>
      <c r="N246" s="39" t="str">
        <f>VLOOKUP(H246,'Purpose dict'!$A$1:$B$12,2,0)</f>
        <v>Customer Visit</v>
      </c>
    </row>
    <row r="247" hidden="1">
      <c r="A247" s="3" t="s">
        <v>371</v>
      </c>
      <c r="B247" s="34">
        <v>42448.584027777775</v>
      </c>
      <c r="C247" s="34">
        <v>42448.62291666667</v>
      </c>
      <c r="D247" s="35">
        <v>423.0</v>
      </c>
      <c r="E247" s="3" t="s">
        <v>370</v>
      </c>
      <c r="F247" s="3" t="s">
        <v>95</v>
      </c>
      <c r="G247" s="36">
        <v>35.1</v>
      </c>
      <c r="H247" s="35">
        <v>4.0</v>
      </c>
      <c r="I247" s="37">
        <v>0.5840277777777778</v>
      </c>
      <c r="J247" s="37">
        <v>0.6229166666666667</v>
      </c>
      <c r="K247" s="38">
        <f t="shared" si="3"/>
        <v>0.03888888889</v>
      </c>
      <c r="L247" s="39" t="str">
        <f t="shared" si="2"/>
        <v>Day</v>
      </c>
      <c r="M247" s="39" t="str">
        <f t="array" ref="M247">XLOOKUP(D247,'Category dict'!$B$1:$B$4,'Category dict'!$A$1:$A$4,0,0,1)</f>
        <v>Business</v>
      </c>
      <c r="N247" s="39" t="str">
        <f>VLOOKUP(H247,'Purpose dict'!$A$1:$B$12,2,0)</f>
        <v>Customer Visit</v>
      </c>
    </row>
    <row r="248" hidden="1">
      <c r="A248" s="3" t="s">
        <v>372</v>
      </c>
      <c r="B248" s="34">
        <v>42448.64861111111</v>
      </c>
      <c r="C248" s="34">
        <v>42448.69305555556</v>
      </c>
      <c r="D248" s="35">
        <v>423.0</v>
      </c>
      <c r="E248" s="3" t="s">
        <v>95</v>
      </c>
      <c r="F248" s="3" t="s">
        <v>373</v>
      </c>
      <c r="G248" s="36">
        <v>36.5</v>
      </c>
      <c r="H248" s="35">
        <v>1.0</v>
      </c>
      <c r="I248" s="37">
        <v>0.6486111111111111</v>
      </c>
      <c r="J248" s="37">
        <v>0.6930555555555555</v>
      </c>
      <c r="K248" s="38">
        <f t="shared" si="3"/>
        <v>0.04444444444</v>
      </c>
      <c r="L248" s="39" t="str">
        <f t="shared" si="2"/>
        <v>Day</v>
      </c>
      <c r="M248" s="39" t="str">
        <f t="array" ref="M248">XLOOKUP(D248,'Category dict'!$B$1:$B$4,'Category dict'!$A$1:$A$4,0,0,1)</f>
        <v>Business</v>
      </c>
      <c r="N248" s="39" t="str">
        <f>VLOOKUP(H248,'Purpose dict'!$A$1:$B$12,2,0)</f>
        <v>Meal/Entertain</v>
      </c>
    </row>
    <row r="249" hidden="1">
      <c r="A249" s="3" t="s">
        <v>374</v>
      </c>
      <c r="B249" s="34">
        <v>42448.720138888886</v>
      </c>
      <c r="C249" s="34">
        <v>42448.73055555556</v>
      </c>
      <c r="D249" s="35">
        <v>423.0</v>
      </c>
      <c r="E249" s="3" t="s">
        <v>373</v>
      </c>
      <c r="F249" s="3" t="s">
        <v>375</v>
      </c>
      <c r="G249" s="36">
        <v>3.1</v>
      </c>
      <c r="H249" s="35">
        <v>1.0</v>
      </c>
      <c r="I249" s="37">
        <v>0.7201388888888889</v>
      </c>
      <c r="J249" s="37">
        <v>0.7305555555555555</v>
      </c>
      <c r="K249" s="38">
        <f t="shared" si="3"/>
        <v>0.01041666667</v>
      </c>
      <c r="L249" s="39" t="str">
        <f t="shared" si="2"/>
        <v>Day</v>
      </c>
      <c r="M249" s="39" t="str">
        <f t="array" ref="M249">XLOOKUP(D249,'Category dict'!$B$1:$B$4,'Category dict'!$A$1:$A$4,0,0,1)</f>
        <v>Business</v>
      </c>
      <c r="N249" s="39" t="str">
        <f>VLOOKUP(H249,'Purpose dict'!$A$1:$B$12,2,0)</f>
        <v>Meal/Entertain</v>
      </c>
    </row>
    <row r="250" hidden="1">
      <c r="A250" s="3" t="s">
        <v>376</v>
      </c>
      <c r="B250" s="34">
        <v>42448.73402777778</v>
      </c>
      <c r="C250" s="34">
        <v>42448.74097222222</v>
      </c>
      <c r="D250" s="35">
        <v>423.0</v>
      </c>
      <c r="E250" s="3" t="s">
        <v>375</v>
      </c>
      <c r="F250" s="3" t="s">
        <v>375</v>
      </c>
      <c r="G250" s="36">
        <v>2.1</v>
      </c>
      <c r="H250" s="35">
        <v>2.0</v>
      </c>
      <c r="I250" s="37">
        <v>0.7340277777777777</v>
      </c>
      <c r="J250" s="37">
        <v>0.7409722222222223</v>
      </c>
      <c r="K250" s="38">
        <f t="shared" si="3"/>
        <v>0.006944444444</v>
      </c>
      <c r="L250" s="39" t="str">
        <f t="shared" si="2"/>
        <v>Day</v>
      </c>
      <c r="M250" s="39" t="str">
        <f t="array" ref="M250">XLOOKUP(D250,'Category dict'!$B$1:$B$4,'Category dict'!$A$1:$A$4,0,0,1)</f>
        <v>Business</v>
      </c>
      <c r="N250" s="39" t="str">
        <f>VLOOKUP(H250,'Purpose dict'!$A$1:$B$12,2,0)</f>
        <v>Errand/Supplies</v>
      </c>
    </row>
    <row r="251">
      <c r="A251" s="3" t="s">
        <v>377</v>
      </c>
      <c r="B251" s="34">
        <v>42448.74444444444</v>
      </c>
      <c r="C251" s="34">
        <v>42448.75</v>
      </c>
      <c r="D251" s="35">
        <v>423.0</v>
      </c>
      <c r="E251" s="3" t="s">
        <v>375</v>
      </c>
      <c r="F251" s="3" t="s">
        <v>375</v>
      </c>
      <c r="G251" s="40">
        <v>1.2</v>
      </c>
      <c r="H251" s="35">
        <v>123.0</v>
      </c>
      <c r="I251" s="37">
        <v>0.7444444444444445</v>
      </c>
      <c r="J251" s="37">
        <v>0.75</v>
      </c>
      <c r="K251" s="38">
        <f t="shared" si="3"/>
        <v>0.005555555556</v>
      </c>
      <c r="L251" s="39" t="str">
        <f t="shared" si="2"/>
        <v>Day</v>
      </c>
      <c r="M251" s="39" t="str">
        <f t="array" ref="M251">XLOOKUP(D251,'Category dict'!$B$1:$B$4,'Category dict'!$A$1:$A$4,0,0,1)</f>
        <v>Business</v>
      </c>
      <c r="N251" s="39" t="str">
        <f>VLOOKUP(H251,'Purpose dict'!$A$1:$B$12,2,0)</f>
        <v>NOT DEFINED</v>
      </c>
    </row>
    <row r="252" hidden="1">
      <c r="A252" s="3" t="s">
        <v>378</v>
      </c>
      <c r="B252" s="34">
        <v>42448.78680555556</v>
      </c>
      <c r="C252" s="34">
        <v>42448.81180555555</v>
      </c>
      <c r="D252" s="35">
        <v>423.0</v>
      </c>
      <c r="E252" s="3" t="s">
        <v>375</v>
      </c>
      <c r="F252" s="3" t="s">
        <v>373</v>
      </c>
      <c r="G252" s="36">
        <v>7.5</v>
      </c>
      <c r="H252" s="35">
        <v>3.0</v>
      </c>
      <c r="I252" s="37">
        <v>0.7868055555555555</v>
      </c>
      <c r="J252" s="37">
        <v>0.8118055555555556</v>
      </c>
      <c r="K252" s="38">
        <f t="shared" si="3"/>
        <v>0.025</v>
      </c>
      <c r="L252" s="39" t="str">
        <f t="shared" si="2"/>
        <v>Evening</v>
      </c>
      <c r="M252" s="39" t="str">
        <f t="array" ref="M252">XLOOKUP(D252,'Category dict'!$B$1:$B$4,'Category dict'!$A$1:$A$4,0,0,1)</f>
        <v>Business</v>
      </c>
      <c r="N252" s="39" t="str">
        <f>VLOOKUP(H252,'Purpose dict'!$A$1:$B$12,2,0)</f>
        <v>Meeting</v>
      </c>
    </row>
    <row r="253" hidden="1">
      <c r="A253" s="3" t="s">
        <v>379</v>
      </c>
      <c r="B253" s="34">
        <v>42448.81458333333</v>
      </c>
      <c r="C253" s="34">
        <v>42448.86041666667</v>
      </c>
      <c r="D253" s="35">
        <v>423.0</v>
      </c>
      <c r="E253" s="3" t="s">
        <v>373</v>
      </c>
      <c r="F253" s="3" t="s">
        <v>95</v>
      </c>
      <c r="G253" s="36">
        <v>57.0</v>
      </c>
      <c r="H253" s="35">
        <v>4.0</v>
      </c>
      <c r="I253" s="37">
        <v>0.8145833333333333</v>
      </c>
      <c r="J253" s="37">
        <v>0.8604166666666667</v>
      </c>
      <c r="K253" s="38">
        <f t="shared" si="3"/>
        <v>0.04583333333</v>
      </c>
      <c r="L253" s="39" t="str">
        <f t="shared" si="2"/>
        <v>Evening</v>
      </c>
      <c r="M253" s="39" t="str">
        <f t="array" ref="M253">XLOOKUP(D253,'Category dict'!$B$1:$B$4,'Category dict'!$A$1:$A$4,0,0,1)</f>
        <v>Business</v>
      </c>
      <c r="N253" s="39" t="str">
        <f>VLOOKUP(H253,'Purpose dict'!$A$1:$B$12,2,0)</f>
        <v>Customer Visit</v>
      </c>
    </row>
    <row r="254" hidden="1">
      <c r="A254" s="3" t="s">
        <v>380</v>
      </c>
      <c r="B254" s="34">
        <v>42449.31736111111</v>
      </c>
      <c r="C254" s="34">
        <v>42449.325</v>
      </c>
      <c r="D254" s="35">
        <v>423.0</v>
      </c>
      <c r="E254" s="3" t="s">
        <v>71</v>
      </c>
      <c r="F254" s="3" t="s">
        <v>381</v>
      </c>
      <c r="G254" s="36">
        <v>5.9</v>
      </c>
      <c r="H254" s="35">
        <v>3.0</v>
      </c>
      <c r="I254" s="37">
        <v>0.3173611111111111</v>
      </c>
      <c r="J254" s="37">
        <v>0.325</v>
      </c>
      <c r="K254" s="38">
        <f t="shared" si="3"/>
        <v>0.007638888889</v>
      </c>
      <c r="L254" s="39" t="str">
        <f t="shared" si="2"/>
        <v>Morning</v>
      </c>
      <c r="M254" s="39" t="str">
        <f t="array" ref="M254">XLOOKUP(D254,'Category dict'!$B$1:$B$4,'Category dict'!$A$1:$A$4,0,0,1)</f>
        <v>Business</v>
      </c>
      <c r="N254" s="39" t="str">
        <f>VLOOKUP(H254,'Purpose dict'!$A$1:$B$12,2,0)</f>
        <v>Meeting</v>
      </c>
    </row>
    <row r="255" hidden="1">
      <c r="A255" s="3" t="s">
        <v>382</v>
      </c>
      <c r="B255" s="34">
        <v>42449.4875</v>
      </c>
      <c r="C255" s="34">
        <v>42449.49722222222</v>
      </c>
      <c r="D255" s="35">
        <v>423.0</v>
      </c>
      <c r="E255" s="3" t="s">
        <v>381</v>
      </c>
      <c r="F255" s="3" t="s">
        <v>71</v>
      </c>
      <c r="G255" s="36">
        <v>6.2</v>
      </c>
      <c r="H255" s="35">
        <v>3.0</v>
      </c>
      <c r="I255" s="37">
        <v>0.4875</v>
      </c>
      <c r="J255" s="37">
        <v>0.49722222222222223</v>
      </c>
      <c r="K255" s="38">
        <f t="shared" si="3"/>
        <v>0.009722222222</v>
      </c>
      <c r="L255" s="39" t="str">
        <f t="shared" si="2"/>
        <v>Morning</v>
      </c>
      <c r="M255" s="39" t="str">
        <f t="array" ref="M255">XLOOKUP(D255,'Category dict'!$B$1:$B$4,'Category dict'!$A$1:$A$4,0,0,1)</f>
        <v>Business</v>
      </c>
      <c r="N255" s="39" t="str">
        <f>VLOOKUP(H255,'Purpose dict'!$A$1:$B$12,2,0)</f>
        <v>Meeting</v>
      </c>
    </row>
    <row r="256" hidden="1">
      <c r="A256" s="3" t="s">
        <v>383</v>
      </c>
      <c r="B256" s="34">
        <v>42449.71388888889</v>
      </c>
      <c r="C256" s="34">
        <v>42449.731944444444</v>
      </c>
      <c r="D256" s="35">
        <v>423.0</v>
      </c>
      <c r="E256" s="3" t="s">
        <v>71</v>
      </c>
      <c r="F256" s="3" t="s">
        <v>362</v>
      </c>
      <c r="G256" s="36">
        <v>10.4</v>
      </c>
      <c r="H256" s="35">
        <v>123.0</v>
      </c>
      <c r="I256" s="37">
        <v>0.7138888888888889</v>
      </c>
      <c r="J256" s="37">
        <v>0.7319444444444444</v>
      </c>
      <c r="K256" s="38">
        <f t="shared" si="3"/>
        <v>0.01805555556</v>
      </c>
      <c r="L256" s="39" t="str">
        <f t="shared" si="2"/>
        <v>Day</v>
      </c>
      <c r="M256" s="39" t="str">
        <f t="array" ref="M256">XLOOKUP(D256,'Category dict'!$B$1:$B$4,'Category dict'!$A$1:$A$4,0,0,1)</f>
        <v>Business</v>
      </c>
      <c r="N256" s="39" t="str">
        <f>VLOOKUP(H256,'Purpose dict'!$A$1:$B$12,2,0)</f>
        <v>NOT DEFINED</v>
      </c>
    </row>
    <row r="257">
      <c r="A257" s="3" t="s">
        <v>384</v>
      </c>
      <c r="B257" s="34">
        <v>42449.77361111111</v>
      </c>
      <c r="C257" s="34">
        <v>42449.77777777778</v>
      </c>
      <c r="D257" s="35">
        <v>527.0</v>
      </c>
      <c r="E257" s="3" t="s">
        <v>362</v>
      </c>
      <c r="F257" s="3" t="s">
        <v>385</v>
      </c>
      <c r="G257" s="40">
        <v>1.2</v>
      </c>
      <c r="H257" s="35">
        <v>123.0</v>
      </c>
      <c r="I257" s="37">
        <v>0.7736111111111111</v>
      </c>
      <c r="J257" s="37">
        <v>0.7777777777777778</v>
      </c>
      <c r="K257" s="38">
        <f t="shared" si="3"/>
        <v>0.004166666667</v>
      </c>
      <c r="L257" s="39" t="str">
        <f t="shared" si="2"/>
        <v>Evening</v>
      </c>
      <c r="M257" s="39" t="str">
        <f t="array" ref="M257">XLOOKUP(D257,'Category dict'!$B$1:$B$4,'Category dict'!$A$1:$A$4,0,0,1)</f>
        <v>Personal</v>
      </c>
      <c r="N257" s="39" t="str">
        <f>VLOOKUP(H257,'Purpose dict'!$A$1:$B$12,2,0)</f>
        <v>NOT DEFINED</v>
      </c>
    </row>
    <row r="258" hidden="1">
      <c r="A258" s="3" t="s">
        <v>386</v>
      </c>
      <c r="B258" s="34">
        <v>42449.78125</v>
      </c>
      <c r="C258" s="34">
        <v>42449.79583333333</v>
      </c>
      <c r="D258" s="35">
        <v>423.0</v>
      </c>
      <c r="E258" s="3" t="s">
        <v>385</v>
      </c>
      <c r="F258" s="3" t="s">
        <v>71</v>
      </c>
      <c r="G258" s="36">
        <v>9.6</v>
      </c>
      <c r="H258" s="35">
        <v>4.0</v>
      </c>
      <c r="I258" s="37">
        <v>0.78125</v>
      </c>
      <c r="J258" s="37">
        <v>0.7958333333333333</v>
      </c>
      <c r="K258" s="38">
        <f t="shared" si="3"/>
        <v>0.01458333333</v>
      </c>
      <c r="L258" s="39" t="str">
        <f t="shared" si="2"/>
        <v>Evening</v>
      </c>
      <c r="M258" s="39" t="str">
        <f t="array" ref="M258">XLOOKUP(D258,'Category dict'!$B$1:$B$4,'Category dict'!$A$1:$A$4,0,0,1)</f>
        <v>Business</v>
      </c>
      <c r="N258" s="39" t="str">
        <f>VLOOKUP(H258,'Purpose dict'!$A$1:$B$12,2,0)</f>
        <v>Customer Visit</v>
      </c>
    </row>
    <row r="259">
      <c r="A259" s="3" t="s">
        <v>387</v>
      </c>
      <c r="B259" s="34">
        <v>42450.43125</v>
      </c>
      <c r="C259" s="34">
        <v>42450.43472222222</v>
      </c>
      <c r="D259" s="35">
        <v>527.0</v>
      </c>
      <c r="E259" s="3" t="s">
        <v>71</v>
      </c>
      <c r="F259" s="3" t="s">
        <v>91</v>
      </c>
      <c r="G259" s="40">
        <v>1.0</v>
      </c>
      <c r="H259" s="35">
        <v>123.0</v>
      </c>
      <c r="I259" s="37">
        <v>0.43125</v>
      </c>
      <c r="J259" s="37">
        <v>0.43472222222222223</v>
      </c>
      <c r="K259" s="38">
        <f t="shared" si="3"/>
        <v>0.003472222222</v>
      </c>
      <c r="L259" s="39" t="str">
        <f t="shared" si="2"/>
        <v>Morning</v>
      </c>
      <c r="M259" s="39" t="str">
        <f t="array" ref="M259">XLOOKUP(D259,'Category dict'!$B$1:$B$4,'Category dict'!$A$1:$A$4,0,0,1)</f>
        <v>Personal</v>
      </c>
      <c r="N259" s="39" t="str">
        <f>VLOOKUP(H259,'Purpose dict'!$A$1:$B$12,2,0)</f>
        <v>NOT DEFINED</v>
      </c>
    </row>
    <row r="260">
      <c r="A260" s="3" t="s">
        <v>388</v>
      </c>
      <c r="B260" s="34">
        <v>42450.67013888889</v>
      </c>
      <c r="C260" s="34">
        <v>42450.67569444444</v>
      </c>
      <c r="D260" s="35">
        <v>423.0</v>
      </c>
      <c r="E260" s="3" t="s">
        <v>91</v>
      </c>
      <c r="F260" s="3" t="s">
        <v>71</v>
      </c>
      <c r="G260" s="40">
        <v>0.9</v>
      </c>
      <c r="H260" s="35">
        <v>1.0</v>
      </c>
      <c r="I260" s="37">
        <v>0.6701388888888888</v>
      </c>
      <c r="J260" s="37">
        <v>0.6756944444444445</v>
      </c>
      <c r="K260" s="38">
        <f t="shared" si="3"/>
        <v>0.005555555556</v>
      </c>
      <c r="L260" s="39" t="str">
        <f t="shared" si="2"/>
        <v>Day</v>
      </c>
      <c r="M260" s="39" t="str">
        <f t="array" ref="M260">XLOOKUP(D260,'Category dict'!$B$1:$B$4,'Category dict'!$A$1:$A$4,0,0,1)</f>
        <v>Business</v>
      </c>
      <c r="N260" s="39" t="str">
        <f>VLOOKUP(H260,'Purpose dict'!$A$1:$B$12,2,0)</f>
        <v>Meal/Entertain</v>
      </c>
    </row>
    <row r="261" hidden="1">
      <c r="A261" s="3" t="s">
        <v>389</v>
      </c>
      <c r="B261" s="34">
        <v>42450.790972222225</v>
      </c>
      <c r="C261" s="34">
        <v>42450.802083333336</v>
      </c>
      <c r="D261" s="35">
        <v>423.0</v>
      </c>
      <c r="E261" s="3" t="s">
        <v>71</v>
      </c>
      <c r="F261" s="3" t="s">
        <v>362</v>
      </c>
      <c r="G261" s="36">
        <v>8.8</v>
      </c>
      <c r="H261" s="35">
        <v>123.0</v>
      </c>
      <c r="I261" s="37">
        <v>0.7909722222222222</v>
      </c>
      <c r="J261" s="37">
        <v>0.8020833333333334</v>
      </c>
      <c r="K261" s="38">
        <f t="shared" si="3"/>
        <v>0.01111111111</v>
      </c>
      <c r="L261" s="39" t="str">
        <f t="shared" si="2"/>
        <v>Evening</v>
      </c>
      <c r="M261" s="39" t="str">
        <f t="array" ref="M261">XLOOKUP(D261,'Category dict'!$B$1:$B$4,'Category dict'!$A$1:$A$4,0,0,1)</f>
        <v>Business</v>
      </c>
      <c r="N261" s="39" t="str">
        <f>VLOOKUP(H261,'Purpose dict'!$A$1:$B$12,2,0)</f>
        <v>NOT DEFINED</v>
      </c>
    </row>
    <row r="262" hidden="1">
      <c r="A262" s="3" t="s">
        <v>390</v>
      </c>
      <c r="B262" s="34">
        <v>42450.84583333333</v>
      </c>
      <c r="C262" s="34">
        <v>42450.87152777778</v>
      </c>
      <c r="D262" s="35">
        <v>423.0</v>
      </c>
      <c r="E262" s="3" t="s">
        <v>362</v>
      </c>
      <c r="F262" s="3" t="s">
        <v>71</v>
      </c>
      <c r="G262" s="36">
        <v>25.6</v>
      </c>
      <c r="H262" s="35">
        <v>1.0</v>
      </c>
      <c r="I262" s="37">
        <v>0.8458333333333333</v>
      </c>
      <c r="J262" s="37">
        <v>0.8715277777777778</v>
      </c>
      <c r="K262" s="38">
        <f t="shared" si="3"/>
        <v>0.02569444444</v>
      </c>
      <c r="L262" s="39" t="str">
        <f t="shared" si="2"/>
        <v>Evening</v>
      </c>
      <c r="M262" s="39" t="str">
        <f t="array" ref="M262">XLOOKUP(D262,'Category dict'!$B$1:$B$4,'Category dict'!$A$1:$A$4,0,0,1)</f>
        <v>Business</v>
      </c>
      <c r="N262" s="39" t="str">
        <f>VLOOKUP(H262,'Purpose dict'!$A$1:$B$12,2,0)</f>
        <v>Meal/Entertain</v>
      </c>
    </row>
    <row r="263" hidden="1">
      <c r="A263" s="3" t="s">
        <v>391</v>
      </c>
      <c r="B263" s="34">
        <v>42451.26180555556</v>
      </c>
      <c r="C263" s="34">
        <v>42451.279861111114</v>
      </c>
      <c r="D263" s="35">
        <v>423.0</v>
      </c>
      <c r="E263" s="3" t="s">
        <v>71</v>
      </c>
      <c r="F263" s="3" t="s">
        <v>392</v>
      </c>
      <c r="G263" s="36">
        <v>23.0</v>
      </c>
      <c r="H263" s="35">
        <v>1.0</v>
      </c>
      <c r="I263" s="37">
        <v>0.26180555555555557</v>
      </c>
      <c r="J263" s="37">
        <v>0.2798611111111111</v>
      </c>
      <c r="K263" s="38">
        <f t="shared" si="3"/>
        <v>0.01805555556</v>
      </c>
      <c r="L263" s="39" t="str">
        <f t="shared" si="2"/>
        <v>Morning</v>
      </c>
      <c r="M263" s="39" t="str">
        <f t="array" ref="M263">XLOOKUP(D263,'Category dict'!$B$1:$B$4,'Category dict'!$A$1:$A$4,0,0,1)</f>
        <v>Business</v>
      </c>
      <c r="N263" s="39" t="str">
        <f>VLOOKUP(H263,'Purpose dict'!$A$1:$B$12,2,0)</f>
        <v>Meal/Entertain</v>
      </c>
    </row>
    <row r="264" hidden="1">
      <c r="A264" s="3" t="s">
        <v>393</v>
      </c>
      <c r="B264" s="34">
        <v>42451.504166666666</v>
      </c>
      <c r="C264" s="34">
        <v>42451.51666666667</v>
      </c>
      <c r="D264" s="35">
        <v>527.0</v>
      </c>
      <c r="E264" s="3" t="s">
        <v>62</v>
      </c>
      <c r="F264" s="3" t="s">
        <v>60</v>
      </c>
      <c r="G264" s="36">
        <v>8.1</v>
      </c>
      <c r="H264" s="35">
        <v>123.0</v>
      </c>
      <c r="I264" s="37">
        <v>0.5041666666666667</v>
      </c>
      <c r="J264" s="37">
        <v>0.5166666666666667</v>
      </c>
      <c r="K264" s="38">
        <f t="shared" si="3"/>
        <v>0.0125</v>
      </c>
      <c r="L264" s="39" t="str">
        <f t="shared" si="2"/>
        <v>Day</v>
      </c>
      <c r="M264" s="39" t="str">
        <f t="array" ref="M264">XLOOKUP(D264,'Category dict'!$B$1:$B$4,'Category dict'!$A$1:$A$4,0,0,1)</f>
        <v>Personal</v>
      </c>
      <c r="N264" s="39" t="str">
        <f>VLOOKUP(H264,'Purpose dict'!$A$1:$B$12,2,0)</f>
        <v>NOT DEFINED</v>
      </c>
    </row>
    <row r="265">
      <c r="A265" s="3" t="s">
        <v>394</v>
      </c>
      <c r="B265" s="34">
        <v>42451.8</v>
      </c>
      <c r="C265" s="34">
        <v>42451.80902777778</v>
      </c>
      <c r="D265" s="35">
        <v>527.0</v>
      </c>
      <c r="E265" s="3" t="s">
        <v>106</v>
      </c>
      <c r="F265" s="3" t="s">
        <v>106</v>
      </c>
      <c r="G265" s="40">
        <v>1.4</v>
      </c>
      <c r="H265" s="35">
        <v>123.0</v>
      </c>
      <c r="I265" s="37">
        <v>0.8</v>
      </c>
      <c r="J265" s="37">
        <v>0.8090277777777778</v>
      </c>
      <c r="K265" s="38">
        <f t="shared" si="3"/>
        <v>0.009027777778</v>
      </c>
      <c r="L265" s="39" t="str">
        <f t="shared" si="2"/>
        <v>Evening</v>
      </c>
      <c r="M265" s="39" t="str">
        <f t="array" ref="M265">XLOOKUP(D265,'Category dict'!$B$1:$B$4,'Category dict'!$A$1:$A$4,0,0,1)</f>
        <v>Personal</v>
      </c>
      <c r="N265" s="39" t="str">
        <f>VLOOKUP(H265,'Purpose dict'!$A$1:$B$12,2,0)</f>
        <v>NOT DEFINED</v>
      </c>
    </row>
    <row r="266" hidden="1">
      <c r="A266" s="3" t="s">
        <v>395</v>
      </c>
      <c r="B266" s="34">
        <v>42452.60902777778</v>
      </c>
      <c r="C266" s="34">
        <v>42452.6125</v>
      </c>
      <c r="D266" s="35">
        <v>527.0</v>
      </c>
      <c r="E266" s="3" t="s">
        <v>106</v>
      </c>
      <c r="F266" s="3" t="s">
        <v>179</v>
      </c>
      <c r="G266" s="36">
        <v>1.7</v>
      </c>
      <c r="H266" s="35">
        <v>123.0</v>
      </c>
      <c r="I266" s="37">
        <v>0.6090277777777777</v>
      </c>
      <c r="J266" s="37">
        <v>0.6125</v>
      </c>
      <c r="K266" s="38">
        <f t="shared" si="3"/>
        <v>0.003472222222</v>
      </c>
      <c r="L266" s="39" t="str">
        <f t="shared" si="2"/>
        <v>Day</v>
      </c>
      <c r="M266" s="39" t="str">
        <f t="array" ref="M266">XLOOKUP(D266,'Category dict'!$B$1:$B$4,'Category dict'!$A$1:$A$4,0,0,1)</f>
        <v>Personal</v>
      </c>
      <c r="N266" s="39" t="str">
        <f>VLOOKUP(H266,'Purpose dict'!$A$1:$B$12,2,0)</f>
        <v>NOT DEFINED</v>
      </c>
    </row>
    <row r="267" hidden="1">
      <c r="A267" s="3" t="s">
        <v>396</v>
      </c>
      <c r="B267" s="34">
        <v>42452.62013888889</v>
      </c>
      <c r="C267" s="34">
        <v>42452.62430555555</v>
      </c>
      <c r="D267" s="35">
        <v>527.0</v>
      </c>
      <c r="E267" s="3" t="s">
        <v>179</v>
      </c>
      <c r="F267" s="3" t="s">
        <v>106</v>
      </c>
      <c r="G267" s="36">
        <v>1.6</v>
      </c>
      <c r="H267" s="35">
        <v>123.0</v>
      </c>
      <c r="I267" s="37">
        <v>0.6201388888888889</v>
      </c>
      <c r="J267" s="37">
        <v>0.6243055555555556</v>
      </c>
      <c r="K267" s="38">
        <f t="shared" si="3"/>
        <v>0.004166666667</v>
      </c>
      <c r="L267" s="39" t="str">
        <f t="shared" si="2"/>
        <v>Day</v>
      </c>
      <c r="M267" s="39" t="str">
        <f t="array" ref="M267">XLOOKUP(D267,'Category dict'!$B$1:$B$4,'Category dict'!$A$1:$A$4,0,0,1)</f>
        <v>Personal</v>
      </c>
      <c r="N267" s="39" t="str">
        <f>VLOOKUP(H267,'Purpose dict'!$A$1:$B$12,2,0)</f>
        <v>NOT DEFINED</v>
      </c>
    </row>
    <row r="268" hidden="1">
      <c r="A268" s="3" t="s">
        <v>397</v>
      </c>
      <c r="B268" s="34">
        <v>42453.82430555556</v>
      </c>
      <c r="C268" s="34">
        <v>42453.82916666667</v>
      </c>
      <c r="D268" s="35">
        <v>527.0</v>
      </c>
      <c r="E268" s="3" t="s">
        <v>106</v>
      </c>
      <c r="F268" s="3" t="s">
        <v>123</v>
      </c>
      <c r="G268" s="36">
        <v>2.0</v>
      </c>
      <c r="H268" s="35">
        <v>123.0</v>
      </c>
      <c r="I268" s="37">
        <v>0.8243055555555555</v>
      </c>
      <c r="J268" s="37">
        <v>0.8291666666666667</v>
      </c>
      <c r="K268" s="38">
        <f t="shared" si="3"/>
        <v>0.004861111111</v>
      </c>
      <c r="L268" s="39" t="str">
        <f t="shared" si="2"/>
        <v>Evening</v>
      </c>
      <c r="M268" s="39" t="str">
        <f t="array" ref="M268">XLOOKUP(D268,'Category dict'!$B$1:$B$4,'Category dict'!$A$1:$A$4,0,0,1)</f>
        <v>Personal</v>
      </c>
      <c r="N268" s="39" t="str">
        <f>VLOOKUP(H268,'Purpose dict'!$A$1:$B$12,2,0)</f>
        <v>NOT DEFINED</v>
      </c>
    </row>
    <row r="269" hidden="1">
      <c r="A269" s="3" t="s">
        <v>398</v>
      </c>
      <c r="B269" s="34">
        <v>42453.856944444444</v>
      </c>
      <c r="C269" s="34">
        <v>42453.86111111111</v>
      </c>
      <c r="D269" s="35">
        <v>423.0</v>
      </c>
      <c r="E269" s="3" t="s">
        <v>123</v>
      </c>
      <c r="F269" s="3" t="s">
        <v>106</v>
      </c>
      <c r="G269" s="36">
        <v>2.2</v>
      </c>
      <c r="H269" s="35">
        <v>123.0</v>
      </c>
      <c r="I269" s="37">
        <v>0.8569444444444444</v>
      </c>
      <c r="J269" s="37">
        <v>0.8611111111111112</v>
      </c>
      <c r="K269" s="38">
        <f t="shared" si="3"/>
        <v>0.004166666667</v>
      </c>
      <c r="L269" s="39" t="str">
        <f t="shared" si="2"/>
        <v>Evening</v>
      </c>
      <c r="M269" s="39" t="str">
        <f t="array" ref="M269">XLOOKUP(D269,'Category dict'!$B$1:$B$4,'Category dict'!$A$1:$A$4,0,0,1)</f>
        <v>Business</v>
      </c>
      <c r="N269" s="39" t="str">
        <f>VLOOKUP(H269,'Purpose dict'!$A$1:$B$12,2,0)</f>
        <v>NOT DEFINED</v>
      </c>
    </row>
    <row r="270" hidden="1">
      <c r="A270" s="3" t="s">
        <v>399</v>
      </c>
      <c r="B270" s="34">
        <v>42454.558333333334</v>
      </c>
      <c r="C270" s="34">
        <v>42454.68194444444</v>
      </c>
      <c r="D270" s="35">
        <v>423.0</v>
      </c>
      <c r="E270" s="3" t="s">
        <v>60</v>
      </c>
      <c r="F270" s="3" t="s">
        <v>400</v>
      </c>
      <c r="G270" s="36">
        <v>144.0</v>
      </c>
      <c r="H270" s="35">
        <v>4.0</v>
      </c>
      <c r="I270" s="37">
        <v>0.5583333333333333</v>
      </c>
      <c r="J270" s="37">
        <v>0.6819444444444445</v>
      </c>
      <c r="K270" s="38">
        <f t="shared" si="3"/>
        <v>0.1236111111</v>
      </c>
      <c r="L270" s="39" t="str">
        <f t="shared" si="2"/>
        <v>Day</v>
      </c>
      <c r="M270" s="39" t="str">
        <f t="array" ref="M270">XLOOKUP(D270,'Category dict'!$B$1:$B$4,'Category dict'!$A$1:$A$4,0,0,1)</f>
        <v>Business</v>
      </c>
      <c r="N270" s="39" t="str">
        <f>VLOOKUP(H270,'Purpose dict'!$A$1:$B$12,2,0)</f>
        <v>Customer Visit</v>
      </c>
    </row>
    <row r="271">
      <c r="A271" s="3" t="s">
        <v>401</v>
      </c>
      <c r="B271" s="34">
        <v>42454.70277777778</v>
      </c>
      <c r="C271" s="34">
        <v>42454.93194444444</v>
      </c>
      <c r="D271" s="35">
        <v>423.0</v>
      </c>
      <c r="E271" s="3" t="s">
        <v>400</v>
      </c>
      <c r="F271" s="3" t="s">
        <v>402</v>
      </c>
      <c r="G271" s="40">
        <v>310.3</v>
      </c>
      <c r="H271" s="35">
        <v>4.0</v>
      </c>
      <c r="I271" s="37">
        <v>0.7027777777777777</v>
      </c>
      <c r="J271" s="37">
        <v>0.9319444444444445</v>
      </c>
      <c r="K271" s="38">
        <f t="shared" si="3"/>
        <v>0.2291666667</v>
      </c>
      <c r="L271" s="39" t="str">
        <f t="shared" si="2"/>
        <v>Day</v>
      </c>
      <c r="M271" s="39" t="str">
        <f t="array" ref="M271">XLOOKUP(D271,'Category dict'!$B$1:$B$4,'Category dict'!$A$1:$A$4,0,0,1)</f>
        <v>Business</v>
      </c>
      <c r="N271" s="39" t="str">
        <f>VLOOKUP(H271,'Purpose dict'!$A$1:$B$12,2,0)</f>
        <v>Customer Visit</v>
      </c>
    </row>
    <row r="272">
      <c r="A272" s="3" t="s">
        <v>403</v>
      </c>
      <c r="B272" s="34">
        <v>42454.95416666667</v>
      </c>
      <c r="C272" s="34">
        <v>42455.06875</v>
      </c>
      <c r="D272" s="35">
        <v>423.0</v>
      </c>
      <c r="E272" s="3" t="s">
        <v>402</v>
      </c>
      <c r="F272" s="3" t="s">
        <v>404</v>
      </c>
      <c r="G272" s="40">
        <v>201.0</v>
      </c>
      <c r="H272" s="35">
        <v>3.0</v>
      </c>
      <c r="I272" s="37">
        <v>0.9541666666666667</v>
      </c>
      <c r="J272" s="37">
        <v>0.06875</v>
      </c>
      <c r="K272" s="41">
        <f>C272-B272</f>
        <v>0.1145833333</v>
      </c>
      <c r="L272" s="39" t="str">
        <f t="shared" si="2"/>
        <v>Evening</v>
      </c>
      <c r="M272" s="39" t="str">
        <f t="array" ref="M272">XLOOKUP(D272,'Category dict'!$B$1:$B$4,'Category dict'!$A$1:$A$4,0,0,1)</f>
        <v>Business</v>
      </c>
      <c r="N272" s="39" t="str">
        <f>VLOOKUP(H272,'Purpose dict'!$A$1:$B$12,2,0)</f>
        <v>Meeting</v>
      </c>
    </row>
    <row r="273" hidden="1">
      <c r="A273" s="3" t="s">
        <v>405</v>
      </c>
      <c r="B273" s="34">
        <v>42455.586805555555</v>
      </c>
      <c r="C273" s="34">
        <v>42455.603472222225</v>
      </c>
      <c r="D273" s="35">
        <v>527.0</v>
      </c>
      <c r="E273" s="3" t="s">
        <v>406</v>
      </c>
      <c r="F273" s="3" t="s">
        <v>407</v>
      </c>
      <c r="G273" s="36">
        <v>6.7</v>
      </c>
      <c r="H273" s="35">
        <v>123.0</v>
      </c>
      <c r="I273" s="37">
        <v>0.5868055555555556</v>
      </c>
      <c r="J273" s="37">
        <v>0.6034722222222222</v>
      </c>
      <c r="K273" s="38">
        <f t="shared" ref="K273:K299" si="4">J273-I273</f>
        <v>0.01666666667</v>
      </c>
      <c r="L273" s="39" t="str">
        <f t="shared" si="2"/>
        <v>Day</v>
      </c>
      <c r="M273" s="39" t="str">
        <f t="array" ref="M273">XLOOKUP(D273,'Category dict'!$B$1:$B$4,'Category dict'!$A$1:$A$4,0,0,1)</f>
        <v>Personal</v>
      </c>
      <c r="N273" s="39" t="str">
        <f>VLOOKUP(H273,'Purpose dict'!$A$1:$B$12,2,0)</f>
        <v>NOT DEFINED</v>
      </c>
    </row>
    <row r="274" hidden="1">
      <c r="A274" s="3" t="s">
        <v>408</v>
      </c>
      <c r="B274" s="34">
        <v>42455.638194444444</v>
      </c>
      <c r="C274" s="34">
        <v>42455.65902777778</v>
      </c>
      <c r="D274" s="35">
        <v>527.0</v>
      </c>
      <c r="E274" s="3" t="s">
        <v>404</v>
      </c>
      <c r="F274" s="3" t="s">
        <v>409</v>
      </c>
      <c r="G274" s="36">
        <v>8.8</v>
      </c>
      <c r="H274" s="35">
        <v>123.0</v>
      </c>
      <c r="I274" s="37">
        <v>0.6381944444444444</v>
      </c>
      <c r="J274" s="37">
        <v>0.6590277777777778</v>
      </c>
      <c r="K274" s="38">
        <f t="shared" si="4"/>
        <v>0.02083333333</v>
      </c>
      <c r="L274" s="39" t="str">
        <f t="shared" si="2"/>
        <v>Day</v>
      </c>
      <c r="M274" s="39" t="str">
        <f t="array" ref="M274">XLOOKUP(D274,'Category dict'!$B$1:$B$4,'Category dict'!$A$1:$A$4,0,0,1)</f>
        <v>Personal</v>
      </c>
      <c r="N274" s="39" t="str">
        <f>VLOOKUP(H274,'Purpose dict'!$A$1:$B$12,2,0)</f>
        <v>NOT DEFINED</v>
      </c>
    </row>
    <row r="275">
      <c r="A275" s="3" t="s">
        <v>410</v>
      </c>
      <c r="B275" s="34">
        <v>42455.68472222222</v>
      </c>
      <c r="C275" s="34">
        <v>42455.6875</v>
      </c>
      <c r="D275" s="35">
        <v>527.0</v>
      </c>
      <c r="E275" s="3" t="s">
        <v>411</v>
      </c>
      <c r="F275" s="3" t="s">
        <v>411</v>
      </c>
      <c r="G275" s="40">
        <v>1.2</v>
      </c>
      <c r="H275" s="35">
        <v>123.0</v>
      </c>
      <c r="I275" s="37">
        <v>0.6847222222222222</v>
      </c>
      <c r="J275" s="37">
        <v>0.6875</v>
      </c>
      <c r="K275" s="38">
        <f t="shared" si="4"/>
        <v>0.002777777778</v>
      </c>
      <c r="L275" s="39" t="str">
        <f t="shared" si="2"/>
        <v>Day</v>
      </c>
      <c r="M275" s="39" t="str">
        <f t="array" ref="M275">XLOOKUP(D275,'Category dict'!$B$1:$B$4,'Category dict'!$A$1:$A$4,0,0,1)</f>
        <v>Personal</v>
      </c>
      <c r="N275" s="39" t="str">
        <f>VLOOKUP(H275,'Purpose dict'!$A$1:$B$12,2,0)</f>
        <v>NOT DEFINED</v>
      </c>
    </row>
    <row r="276" hidden="1">
      <c r="A276" s="3" t="s">
        <v>412</v>
      </c>
      <c r="B276" s="34">
        <v>42456.021527777775</v>
      </c>
      <c r="C276" s="34">
        <v>42456.02777777778</v>
      </c>
      <c r="D276" s="35">
        <v>423.0</v>
      </c>
      <c r="E276" s="3" t="s">
        <v>411</v>
      </c>
      <c r="F276" s="3" t="s">
        <v>411</v>
      </c>
      <c r="G276" s="36">
        <v>2.1</v>
      </c>
      <c r="H276" s="35">
        <v>2.0</v>
      </c>
      <c r="I276" s="37">
        <v>0.021527777777777778</v>
      </c>
      <c r="J276" s="37">
        <v>0.027777777777777776</v>
      </c>
      <c r="K276" s="38">
        <f t="shared" si="4"/>
        <v>0.00625</v>
      </c>
      <c r="L276" s="39" t="str">
        <f t="shared" si="2"/>
        <v>Night</v>
      </c>
      <c r="M276" s="39" t="str">
        <f t="array" ref="M276">XLOOKUP(D276,'Category dict'!$B$1:$B$4,'Category dict'!$A$1:$A$4,0,0,1)</f>
        <v>Business</v>
      </c>
      <c r="N276" s="39" t="str">
        <f>VLOOKUP(H276,'Purpose dict'!$A$1:$B$12,2,0)</f>
        <v>Errand/Supplies</v>
      </c>
    </row>
    <row r="277" hidden="1">
      <c r="A277" s="3" t="s">
        <v>413</v>
      </c>
      <c r="B277" s="34">
        <v>42456.049305555556</v>
      </c>
      <c r="C277" s="34">
        <v>42456.05763888889</v>
      </c>
      <c r="D277" s="35">
        <v>423.0</v>
      </c>
      <c r="E277" s="3" t="s">
        <v>409</v>
      </c>
      <c r="F277" s="3" t="s">
        <v>404</v>
      </c>
      <c r="G277" s="36">
        <v>6.6</v>
      </c>
      <c r="H277" s="35">
        <v>1.0</v>
      </c>
      <c r="I277" s="37">
        <v>0.049305555555555554</v>
      </c>
      <c r="J277" s="37">
        <v>0.05763888888888889</v>
      </c>
      <c r="K277" s="38">
        <f t="shared" si="4"/>
        <v>0.008333333333</v>
      </c>
      <c r="L277" s="39" t="str">
        <f t="shared" si="2"/>
        <v>Night</v>
      </c>
      <c r="M277" s="39" t="str">
        <f t="array" ref="M277">XLOOKUP(D277,'Category dict'!$B$1:$B$4,'Category dict'!$A$1:$A$4,0,0,1)</f>
        <v>Business</v>
      </c>
      <c r="N277" s="39" t="str">
        <f>VLOOKUP(H277,'Purpose dict'!$A$1:$B$12,2,0)</f>
        <v>Meal/Entertain</v>
      </c>
    </row>
    <row r="278" hidden="1">
      <c r="A278" s="3" t="s">
        <v>414</v>
      </c>
      <c r="B278" s="34">
        <v>42456.646527777775</v>
      </c>
      <c r="C278" s="34">
        <v>42456.66388888889</v>
      </c>
      <c r="D278" s="35">
        <v>423.0</v>
      </c>
      <c r="E278" s="3" t="s">
        <v>404</v>
      </c>
      <c r="F278" s="3" t="s">
        <v>409</v>
      </c>
      <c r="G278" s="36">
        <v>6.1</v>
      </c>
      <c r="H278" s="35">
        <v>4.0</v>
      </c>
      <c r="I278" s="37">
        <v>0.6465277777777778</v>
      </c>
      <c r="J278" s="37">
        <v>0.6638888888888889</v>
      </c>
      <c r="K278" s="38">
        <f t="shared" si="4"/>
        <v>0.01736111111</v>
      </c>
      <c r="L278" s="39" t="str">
        <f t="shared" si="2"/>
        <v>Day</v>
      </c>
      <c r="M278" s="39" t="str">
        <f t="array" ref="M278">XLOOKUP(D278,'Category dict'!$B$1:$B$4,'Category dict'!$A$1:$A$4,0,0,1)</f>
        <v>Business</v>
      </c>
      <c r="N278" s="39" t="str">
        <f>VLOOKUP(H278,'Purpose dict'!$A$1:$B$12,2,0)</f>
        <v>Customer Visit</v>
      </c>
    </row>
    <row r="279" hidden="1">
      <c r="A279" s="3" t="s">
        <v>415</v>
      </c>
      <c r="B279" s="34">
        <v>42456.893055555556</v>
      </c>
      <c r="C279" s="34">
        <v>42456.90347222222</v>
      </c>
      <c r="D279" s="35">
        <v>527.0</v>
      </c>
      <c r="E279" s="3" t="s">
        <v>409</v>
      </c>
      <c r="F279" s="3" t="s">
        <v>409</v>
      </c>
      <c r="G279" s="36">
        <v>6.9</v>
      </c>
      <c r="H279" s="35">
        <v>123.0</v>
      </c>
      <c r="I279" s="37">
        <v>0.8930555555555556</v>
      </c>
      <c r="J279" s="37">
        <v>0.9034722222222222</v>
      </c>
      <c r="K279" s="38">
        <f t="shared" si="4"/>
        <v>0.01041666667</v>
      </c>
      <c r="L279" s="39" t="str">
        <f t="shared" si="2"/>
        <v>Evening</v>
      </c>
      <c r="M279" s="39" t="str">
        <f t="array" ref="M279">XLOOKUP(D279,'Category dict'!$B$1:$B$4,'Category dict'!$A$1:$A$4,0,0,1)</f>
        <v>Personal</v>
      </c>
      <c r="N279" s="39" t="str">
        <f>VLOOKUP(H279,'Purpose dict'!$A$1:$B$12,2,0)</f>
        <v>NOT DEFINED</v>
      </c>
    </row>
    <row r="280" hidden="1">
      <c r="A280" s="3" t="s">
        <v>416</v>
      </c>
      <c r="B280" s="34">
        <v>42456.96111111111</v>
      </c>
      <c r="C280" s="34">
        <v>42456.97083333333</v>
      </c>
      <c r="D280" s="35">
        <v>527.0</v>
      </c>
      <c r="E280" s="3" t="s">
        <v>409</v>
      </c>
      <c r="F280" s="3" t="s">
        <v>404</v>
      </c>
      <c r="G280" s="36">
        <v>7.3</v>
      </c>
      <c r="H280" s="35">
        <v>123.0</v>
      </c>
      <c r="I280" s="37">
        <v>0.9611111111111111</v>
      </c>
      <c r="J280" s="37">
        <v>0.9708333333333333</v>
      </c>
      <c r="K280" s="38">
        <f t="shared" si="4"/>
        <v>0.009722222222</v>
      </c>
      <c r="L280" s="39" t="str">
        <f t="shared" si="2"/>
        <v>Evening</v>
      </c>
      <c r="M280" s="39" t="str">
        <f t="array" ref="M280">XLOOKUP(D280,'Category dict'!$B$1:$B$4,'Category dict'!$A$1:$A$4,0,0,1)</f>
        <v>Personal</v>
      </c>
      <c r="N280" s="39" t="str">
        <f>VLOOKUP(H280,'Purpose dict'!$A$1:$B$12,2,0)</f>
        <v>NOT DEFINED</v>
      </c>
    </row>
    <row r="281" hidden="1">
      <c r="A281" s="3" t="s">
        <v>417</v>
      </c>
      <c r="B281" s="34">
        <v>42457.52013888889</v>
      </c>
      <c r="C281" s="34">
        <v>42457.52916666667</v>
      </c>
      <c r="D281" s="35">
        <v>527.0</v>
      </c>
      <c r="E281" s="3" t="s">
        <v>404</v>
      </c>
      <c r="F281" s="3" t="s">
        <v>409</v>
      </c>
      <c r="G281" s="36">
        <v>3.6</v>
      </c>
      <c r="H281" s="35">
        <v>123.0</v>
      </c>
      <c r="I281" s="37">
        <v>0.5201388888888889</v>
      </c>
      <c r="J281" s="37">
        <v>0.5291666666666667</v>
      </c>
      <c r="K281" s="38">
        <f t="shared" si="4"/>
        <v>0.009027777778</v>
      </c>
      <c r="L281" s="39" t="str">
        <f t="shared" si="2"/>
        <v>Day</v>
      </c>
      <c r="M281" s="39" t="str">
        <f t="array" ref="M281">XLOOKUP(D281,'Category dict'!$B$1:$B$4,'Category dict'!$A$1:$A$4,0,0,1)</f>
        <v>Personal</v>
      </c>
      <c r="N281" s="39" t="str">
        <f>VLOOKUP(H281,'Purpose dict'!$A$1:$B$12,2,0)</f>
        <v>NOT DEFINED</v>
      </c>
    </row>
    <row r="282" hidden="1">
      <c r="A282" s="3" t="s">
        <v>418</v>
      </c>
      <c r="B282" s="34">
        <v>42457.8125</v>
      </c>
      <c r="C282" s="34">
        <v>42457.84930555556</v>
      </c>
      <c r="D282" s="35">
        <v>527.0</v>
      </c>
      <c r="E282" s="3" t="s">
        <v>406</v>
      </c>
      <c r="F282" s="3" t="s">
        <v>419</v>
      </c>
      <c r="G282" s="36">
        <v>27.2</v>
      </c>
      <c r="H282" s="35">
        <v>123.0</v>
      </c>
      <c r="I282" s="37">
        <v>0.8125</v>
      </c>
      <c r="J282" s="37">
        <v>0.8493055555555555</v>
      </c>
      <c r="K282" s="38">
        <f t="shared" si="4"/>
        <v>0.03680555556</v>
      </c>
      <c r="L282" s="39" t="str">
        <f t="shared" si="2"/>
        <v>Evening</v>
      </c>
      <c r="M282" s="39" t="str">
        <f t="array" ref="M282">XLOOKUP(D282,'Category dict'!$B$1:$B$4,'Category dict'!$A$1:$A$4,0,0,1)</f>
        <v>Personal</v>
      </c>
      <c r="N282" s="39" t="str">
        <f>VLOOKUP(H282,'Purpose dict'!$A$1:$B$12,2,0)</f>
        <v>NOT DEFINED</v>
      </c>
    </row>
    <row r="283" hidden="1">
      <c r="A283" s="3" t="s">
        <v>420</v>
      </c>
      <c r="B283" s="34">
        <v>42457.95486111111</v>
      </c>
      <c r="C283" s="34">
        <v>42457.97638888889</v>
      </c>
      <c r="D283" s="35">
        <v>527.0</v>
      </c>
      <c r="E283" s="3" t="s">
        <v>409</v>
      </c>
      <c r="F283" s="3" t="s">
        <v>404</v>
      </c>
      <c r="G283" s="36">
        <v>25.7</v>
      </c>
      <c r="H283" s="35">
        <v>123.0</v>
      </c>
      <c r="I283" s="37">
        <v>0.9548611111111112</v>
      </c>
      <c r="J283" s="37">
        <v>0.9763888888888889</v>
      </c>
      <c r="K283" s="38">
        <f t="shared" si="4"/>
        <v>0.02152777778</v>
      </c>
      <c r="L283" s="39" t="str">
        <f t="shared" si="2"/>
        <v>Evening</v>
      </c>
      <c r="M283" s="39" t="str">
        <f t="array" ref="M283">XLOOKUP(D283,'Category dict'!$B$1:$B$4,'Category dict'!$A$1:$A$4,0,0,1)</f>
        <v>Personal</v>
      </c>
      <c r="N283" s="39" t="str">
        <f>VLOOKUP(H283,'Purpose dict'!$A$1:$B$12,2,0)</f>
        <v>NOT DEFINED</v>
      </c>
    </row>
    <row r="284" hidden="1">
      <c r="A284" s="3" t="s">
        <v>421</v>
      </c>
      <c r="B284" s="34">
        <v>42458.64375</v>
      </c>
      <c r="C284" s="34">
        <v>42458.674305555556</v>
      </c>
      <c r="D284" s="35">
        <v>527.0</v>
      </c>
      <c r="E284" s="3" t="s">
        <v>404</v>
      </c>
      <c r="F284" s="3" t="s">
        <v>409</v>
      </c>
      <c r="G284" s="36">
        <v>13.6</v>
      </c>
      <c r="H284" s="35">
        <v>123.0</v>
      </c>
      <c r="I284" s="37">
        <v>0.64375</v>
      </c>
      <c r="J284" s="37">
        <v>0.6743055555555556</v>
      </c>
      <c r="K284" s="38">
        <f t="shared" si="4"/>
        <v>0.03055555556</v>
      </c>
      <c r="L284" s="39" t="str">
        <f t="shared" si="2"/>
        <v>Day</v>
      </c>
      <c r="M284" s="39" t="str">
        <f t="array" ref="M284">XLOOKUP(D284,'Category dict'!$B$1:$B$4,'Category dict'!$A$1:$A$4,0,0,1)</f>
        <v>Personal</v>
      </c>
      <c r="N284" s="39" t="str">
        <f>VLOOKUP(H284,'Purpose dict'!$A$1:$B$12,2,0)</f>
        <v>NOT DEFINED</v>
      </c>
    </row>
    <row r="285" hidden="1">
      <c r="A285" s="3" t="s">
        <v>422</v>
      </c>
      <c r="B285" s="34">
        <v>42458.76388888889</v>
      </c>
      <c r="C285" s="34">
        <v>42458.777083333334</v>
      </c>
      <c r="D285" s="35">
        <v>527.0</v>
      </c>
      <c r="E285" s="3" t="s">
        <v>423</v>
      </c>
      <c r="F285" s="3" t="s">
        <v>424</v>
      </c>
      <c r="G285" s="36">
        <v>6.2</v>
      </c>
      <c r="H285" s="35">
        <v>123.0</v>
      </c>
      <c r="I285" s="37">
        <v>0.7638888888888888</v>
      </c>
      <c r="J285" s="37">
        <v>0.7770833333333333</v>
      </c>
      <c r="K285" s="38">
        <f t="shared" si="4"/>
        <v>0.01319444444</v>
      </c>
      <c r="L285" s="39" t="str">
        <f t="shared" si="2"/>
        <v>Evening</v>
      </c>
      <c r="M285" s="39" t="str">
        <f t="array" ref="M285">XLOOKUP(D285,'Category dict'!$B$1:$B$4,'Category dict'!$A$1:$A$4,0,0,1)</f>
        <v>Personal</v>
      </c>
      <c r="N285" s="39" t="str">
        <f>VLOOKUP(H285,'Purpose dict'!$A$1:$B$12,2,0)</f>
        <v>NOT DEFINED</v>
      </c>
    </row>
    <row r="286" hidden="1">
      <c r="A286" s="3" t="s">
        <v>425</v>
      </c>
      <c r="B286" s="34">
        <v>42458.853472222225</v>
      </c>
      <c r="C286" s="34">
        <v>42458.86388888889</v>
      </c>
      <c r="D286" s="35">
        <v>527.0</v>
      </c>
      <c r="E286" s="3" t="s">
        <v>424</v>
      </c>
      <c r="F286" s="3" t="s">
        <v>423</v>
      </c>
      <c r="G286" s="36">
        <v>6.0</v>
      </c>
      <c r="H286" s="35">
        <v>123.0</v>
      </c>
      <c r="I286" s="37">
        <v>0.8534722222222222</v>
      </c>
      <c r="J286" s="37">
        <v>0.8638888888888889</v>
      </c>
      <c r="K286" s="38">
        <f t="shared" si="4"/>
        <v>0.01041666667</v>
      </c>
      <c r="L286" s="39" t="str">
        <f t="shared" si="2"/>
        <v>Evening</v>
      </c>
      <c r="M286" s="39" t="str">
        <f t="array" ref="M286">XLOOKUP(D286,'Category dict'!$B$1:$B$4,'Category dict'!$A$1:$A$4,0,0,1)</f>
        <v>Personal</v>
      </c>
      <c r="N286" s="39" t="str">
        <f>VLOOKUP(H286,'Purpose dict'!$A$1:$B$12,2,0)</f>
        <v>NOT DEFINED</v>
      </c>
    </row>
    <row r="287" hidden="1">
      <c r="A287" s="3" t="s">
        <v>426</v>
      </c>
      <c r="B287" s="34">
        <v>42458.96111111111</v>
      </c>
      <c r="C287" s="34">
        <v>42458.972916666666</v>
      </c>
      <c r="D287" s="35">
        <v>527.0</v>
      </c>
      <c r="E287" s="3" t="s">
        <v>409</v>
      </c>
      <c r="F287" s="3" t="s">
        <v>404</v>
      </c>
      <c r="G287" s="36">
        <v>13.8</v>
      </c>
      <c r="H287" s="35">
        <v>123.0</v>
      </c>
      <c r="I287" s="37">
        <v>0.9611111111111111</v>
      </c>
      <c r="J287" s="37">
        <v>0.9729166666666667</v>
      </c>
      <c r="K287" s="38">
        <f t="shared" si="4"/>
        <v>0.01180555556</v>
      </c>
      <c r="L287" s="39" t="str">
        <f t="shared" si="2"/>
        <v>Evening</v>
      </c>
      <c r="M287" s="39" t="str">
        <f t="array" ref="M287">XLOOKUP(D287,'Category dict'!$B$1:$B$4,'Category dict'!$A$1:$A$4,0,0,1)</f>
        <v>Personal</v>
      </c>
      <c r="N287" s="39" t="str">
        <f>VLOOKUP(H287,'Purpose dict'!$A$1:$B$12,2,0)</f>
        <v>NOT DEFINED</v>
      </c>
    </row>
    <row r="288" hidden="1">
      <c r="A288" s="3" t="s">
        <v>427</v>
      </c>
      <c r="B288" s="34">
        <v>42459.92013888889</v>
      </c>
      <c r="C288" s="34">
        <v>42459.95486111111</v>
      </c>
      <c r="D288" s="35">
        <v>423.0</v>
      </c>
      <c r="E288" s="3" t="s">
        <v>409</v>
      </c>
      <c r="F288" s="3" t="s">
        <v>404</v>
      </c>
      <c r="G288" s="36">
        <v>28.8</v>
      </c>
      <c r="H288" s="35">
        <v>1.0</v>
      </c>
      <c r="I288" s="37">
        <v>0.9201388888888888</v>
      </c>
      <c r="J288" s="37">
        <v>0.9548611111111112</v>
      </c>
      <c r="K288" s="38">
        <f t="shared" si="4"/>
        <v>0.03472222222</v>
      </c>
      <c r="L288" s="39" t="str">
        <f t="shared" si="2"/>
        <v>Evening</v>
      </c>
      <c r="M288" s="39" t="str">
        <f t="array" ref="M288">XLOOKUP(D288,'Category dict'!$B$1:$B$4,'Category dict'!$A$1:$A$4,0,0,1)</f>
        <v>Business</v>
      </c>
      <c r="N288" s="39" t="str">
        <f>VLOOKUP(H288,'Purpose dict'!$A$1:$B$12,2,0)</f>
        <v>Meal/Entertain</v>
      </c>
    </row>
    <row r="289" hidden="1">
      <c r="A289" s="3" t="s">
        <v>428</v>
      </c>
      <c r="B289" s="34">
        <v>42460.532638888886</v>
      </c>
      <c r="C289" s="34">
        <v>42460.55694444444</v>
      </c>
      <c r="D289" s="35">
        <v>423.0</v>
      </c>
      <c r="E289" s="3" t="s">
        <v>404</v>
      </c>
      <c r="F289" s="3" t="s">
        <v>409</v>
      </c>
      <c r="G289" s="36">
        <v>16.1</v>
      </c>
      <c r="H289" s="35">
        <v>5.0</v>
      </c>
      <c r="I289" s="37">
        <v>0.5326388888888889</v>
      </c>
      <c r="J289" s="37">
        <v>0.5569444444444445</v>
      </c>
      <c r="K289" s="38">
        <f t="shared" si="4"/>
        <v>0.02430555556</v>
      </c>
      <c r="L289" s="39" t="str">
        <f t="shared" si="2"/>
        <v>Day</v>
      </c>
      <c r="M289" s="39" t="str">
        <f t="array" ref="M289">XLOOKUP(D289,'Category dict'!$B$1:$B$4,'Category dict'!$A$1:$A$4,0,0,1)</f>
        <v>Business</v>
      </c>
      <c r="N289" s="39" t="str">
        <f>VLOOKUP(H289,'Purpose dict'!$A$1:$B$12,2,0)</f>
        <v>Temporary Site</v>
      </c>
    </row>
    <row r="290" hidden="1">
      <c r="A290" s="3" t="s">
        <v>429</v>
      </c>
      <c r="B290" s="34">
        <v>42460.60902777778</v>
      </c>
      <c r="C290" s="34">
        <v>42460.63125</v>
      </c>
      <c r="D290" s="35">
        <v>423.0</v>
      </c>
      <c r="E290" s="3" t="s">
        <v>409</v>
      </c>
      <c r="F290" s="3" t="s">
        <v>404</v>
      </c>
      <c r="G290" s="36">
        <v>16.4</v>
      </c>
      <c r="H290" s="35">
        <v>1.0</v>
      </c>
      <c r="I290" s="37">
        <v>0.6090277777777777</v>
      </c>
      <c r="J290" s="37">
        <v>0.63125</v>
      </c>
      <c r="K290" s="38">
        <f t="shared" si="4"/>
        <v>0.02222222222</v>
      </c>
      <c r="L290" s="39" t="str">
        <f t="shared" si="2"/>
        <v>Day</v>
      </c>
      <c r="M290" s="39" t="str">
        <f t="array" ref="M290">XLOOKUP(D290,'Category dict'!$B$1:$B$4,'Category dict'!$A$1:$A$4,0,0,1)</f>
        <v>Business</v>
      </c>
      <c r="N290" s="39" t="str">
        <f>VLOOKUP(H290,'Purpose dict'!$A$1:$B$12,2,0)</f>
        <v>Meal/Entertain</v>
      </c>
    </row>
    <row r="291" hidden="1">
      <c r="A291" s="3" t="s">
        <v>430</v>
      </c>
      <c r="B291" s="34">
        <v>42461.57152777778</v>
      </c>
      <c r="C291" s="34">
        <v>42461.584027777775</v>
      </c>
      <c r="D291" s="35">
        <v>423.0</v>
      </c>
      <c r="E291" s="3" t="s">
        <v>404</v>
      </c>
      <c r="F291" s="3" t="s">
        <v>404</v>
      </c>
      <c r="G291" s="36">
        <v>11.0</v>
      </c>
      <c r="H291" s="35">
        <v>3.0</v>
      </c>
      <c r="I291" s="37">
        <v>0.5715277777777777</v>
      </c>
      <c r="J291" s="37">
        <v>0.5840277777777778</v>
      </c>
      <c r="K291" s="38">
        <f t="shared" si="4"/>
        <v>0.0125</v>
      </c>
      <c r="L291" s="39" t="str">
        <f t="shared" si="2"/>
        <v>Day</v>
      </c>
      <c r="M291" s="39" t="str">
        <f t="array" ref="M291">XLOOKUP(D291,'Category dict'!$B$1:$B$4,'Category dict'!$A$1:$A$4,0,0,1)</f>
        <v>Business</v>
      </c>
      <c r="N291" s="39" t="str">
        <f>VLOOKUP(H291,'Purpose dict'!$A$1:$B$12,2,0)</f>
        <v>Meeting</v>
      </c>
    </row>
    <row r="292" hidden="1">
      <c r="A292" s="3" t="s">
        <v>431</v>
      </c>
      <c r="B292" s="34">
        <v>42461.60833333333</v>
      </c>
      <c r="C292" s="34">
        <v>42461.64166666667</v>
      </c>
      <c r="D292" s="35">
        <v>423.0</v>
      </c>
      <c r="E292" s="3" t="s">
        <v>404</v>
      </c>
      <c r="F292" s="3" t="s">
        <v>409</v>
      </c>
      <c r="G292" s="36">
        <v>15.5</v>
      </c>
      <c r="H292" s="35">
        <v>4.0</v>
      </c>
      <c r="I292" s="37">
        <v>0.6083333333333333</v>
      </c>
      <c r="J292" s="37">
        <v>0.6416666666666667</v>
      </c>
      <c r="K292" s="38">
        <f t="shared" si="4"/>
        <v>0.03333333333</v>
      </c>
      <c r="L292" s="39" t="str">
        <f t="shared" si="2"/>
        <v>Day</v>
      </c>
      <c r="M292" s="39" t="str">
        <f t="array" ref="M292">XLOOKUP(D292,'Category dict'!$B$1:$B$4,'Category dict'!$A$1:$A$4,0,0,1)</f>
        <v>Business</v>
      </c>
      <c r="N292" s="39" t="str">
        <f>VLOOKUP(H292,'Purpose dict'!$A$1:$B$12,2,0)</f>
        <v>Customer Visit</v>
      </c>
    </row>
    <row r="293" hidden="1">
      <c r="A293" s="3" t="s">
        <v>432</v>
      </c>
      <c r="B293" s="34">
        <v>42461.66736111111</v>
      </c>
      <c r="C293" s="34">
        <v>42461.700694444444</v>
      </c>
      <c r="D293" s="35">
        <v>423.0</v>
      </c>
      <c r="E293" s="3" t="s">
        <v>409</v>
      </c>
      <c r="F293" s="3" t="s">
        <v>404</v>
      </c>
      <c r="G293" s="36">
        <v>20.3</v>
      </c>
      <c r="H293" s="35">
        <v>3.0</v>
      </c>
      <c r="I293" s="37">
        <v>0.6673611111111111</v>
      </c>
      <c r="J293" s="37">
        <v>0.7006944444444444</v>
      </c>
      <c r="K293" s="38">
        <f t="shared" si="4"/>
        <v>0.03333333333</v>
      </c>
      <c r="L293" s="39" t="str">
        <f t="shared" si="2"/>
        <v>Day</v>
      </c>
      <c r="M293" s="39" t="str">
        <f t="array" ref="M293">XLOOKUP(D293,'Category dict'!$B$1:$B$4,'Category dict'!$A$1:$A$4,0,0,1)</f>
        <v>Business</v>
      </c>
      <c r="N293" s="39" t="str">
        <f>VLOOKUP(H293,'Purpose dict'!$A$1:$B$12,2,0)</f>
        <v>Meeting</v>
      </c>
    </row>
    <row r="294">
      <c r="A294" s="3" t="s">
        <v>433</v>
      </c>
      <c r="B294" s="34">
        <v>42461.70277777778</v>
      </c>
      <c r="C294" s="34">
        <v>42461.70625</v>
      </c>
      <c r="D294" s="35">
        <v>527.0</v>
      </c>
      <c r="E294" s="3" t="s">
        <v>404</v>
      </c>
      <c r="F294" s="3" t="s">
        <v>404</v>
      </c>
      <c r="G294" s="40">
        <v>0.7</v>
      </c>
      <c r="H294" s="35">
        <v>123.0</v>
      </c>
      <c r="I294" s="37">
        <v>0.7027777777777777</v>
      </c>
      <c r="J294" s="37">
        <v>0.70625</v>
      </c>
      <c r="K294" s="38">
        <f t="shared" si="4"/>
        <v>0.003472222222</v>
      </c>
      <c r="L294" s="39" t="str">
        <f t="shared" si="2"/>
        <v>Day</v>
      </c>
      <c r="M294" s="39" t="str">
        <f t="array" ref="M294">XLOOKUP(D294,'Category dict'!$B$1:$B$4,'Category dict'!$A$1:$A$4,0,0,1)</f>
        <v>Personal</v>
      </c>
      <c r="N294" s="39" t="str">
        <f>VLOOKUP(H294,'Purpose dict'!$A$1:$B$12,2,0)</f>
        <v>NOT DEFINED</v>
      </c>
    </row>
    <row r="295" hidden="1">
      <c r="A295" s="3" t="s">
        <v>434</v>
      </c>
      <c r="B295" s="34">
        <v>42462.36666666667</v>
      </c>
      <c r="C295" s="34">
        <v>42462.37777777778</v>
      </c>
      <c r="D295" s="35">
        <v>527.0</v>
      </c>
      <c r="E295" s="3" t="s">
        <v>404</v>
      </c>
      <c r="F295" s="3" t="s">
        <v>404</v>
      </c>
      <c r="G295" s="36">
        <v>5.5</v>
      </c>
      <c r="H295" s="35">
        <v>123.0</v>
      </c>
      <c r="I295" s="37">
        <v>0.36666666666666664</v>
      </c>
      <c r="J295" s="37">
        <v>0.37777777777777777</v>
      </c>
      <c r="K295" s="38">
        <f t="shared" si="4"/>
        <v>0.01111111111</v>
      </c>
      <c r="L295" s="39" t="str">
        <f t="shared" si="2"/>
        <v>Morning</v>
      </c>
      <c r="M295" s="39" t="str">
        <f t="array" ref="M295">XLOOKUP(D295,'Category dict'!$B$1:$B$4,'Category dict'!$A$1:$A$4,0,0,1)</f>
        <v>Personal</v>
      </c>
      <c r="N295" s="39" t="str">
        <f>VLOOKUP(H295,'Purpose dict'!$A$1:$B$12,2,0)</f>
        <v>NOT DEFINED</v>
      </c>
    </row>
    <row r="296" hidden="1">
      <c r="A296" s="3" t="s">
        <v>435</v>
      </c>
      <c r="B296" s="34">
        <v>42462.459027777775</v>
      </c>
      <c r="C296" s="34">
        <v>42462.46944444445</v>
      </c>
      <c r="D296" s="35">
        <v>527.0</v>
      </c>
      <c r="E296" s="3" t="s">
        <v>404</v>
      </c>
      <c r="F296" s="3" t="s">
        <v>404</v>
      </c>
      <c r="G296" s="36">
        <v>5.1</v>
      </c>
      <c r="H296" s="35">
        <v>123.0</v>
      </c>
      <c r="I296" s="37">
        <v>0.45902777777777776</v>
      </c>
      <c r="J296" s="37">
        <v>0.46944444444444444</v>
      </c>
      <c r="K296" s="38">
        <f t="shared" si="4"/>
        <v>0.01041666667</v>
      </c>
      <c r="L296" s="39" t="str">
        <f t="shared" si="2"/>
        <v>Morning</v>
      </c>
      <c r="M296" s="39" t="str">
        <f t="array" ref="M296">XLOOKUP(D296,'Category dict'!$B$1:$B$4,'Category dict'!$A$1:$A$4,0,0,1)</f>
        <v>Personal</v>
      </c>
      <c r="N296" s="39" t="str">
        <f>VLOOKUP(H296,'Purpose dict'!$A$1:$B$12,2,0)</f>
        <v>NOT DEFINED</v>
      </c>
    </row>
    <row r="297" hidden="1">
      <c r="A297" s="3" t="s">
        <v>436</v>
      </c>
      <c r="B297" s="34">
        <v>42462.51458333333</v>
      </c>
      <c r="C297" s="34">
        <v>42462.61597222222</v>
      </c>
      <c r="D297" s="35">
        <v>423.0</v>
      </c>
      <c r="E297" s="3" t="s">
        <v>404</v>
      </c>
      <c r="F297" s="3" t="s">
        <v>437</v>
      </c>
      <c r="G297" s="36">
        <v>77.3</v>
      </c>
      <c r="H297" s="35">
        <v>4.0</v>
      </c>
      <c r="I297" s="37">
        <v>0.5145833333333333</v>
      </c>
      <c r="J297" s="37">
        <v>0.6159722222222223</v>
      </c>
      <c r="K297" s="38">
        <f t="shared" si="4"/>
        <v>0.1013888889</v>
      </c>
      <c r="L297" s="39" t="str">
        <f t="shared" si="2"/>
        <v>Day</v>
      </c>
      <c r="M297" s="39" t="str">
        <f t="array" ref="M297">XLOOKUP(D297,'Category dict'!$B$1:$B$4,'Category dict'!$A$1:$A$4,0,0,1)</f>
        <v>Business</v>
      </c>
      <c r="N297" s="39" t="str">
        <f>VLOOKUP(H297,'Purpose dict'!$A$1:$B$12,2,0)</f>
        <v>Customer Visit</v>
      </c>
    </row>
    <row r="298" hidden="1">
      <c r="A298" s="3" t="s">
        <v>438</v>
      </c>
      <c r="B298" s="34">
        <v>42462.70625</v>
      </c>
      <c r="C298" s="34">
        <v>42462.75625</v>
      </c>
      <c r="D298" s="35">
        <v>423.0</v>
      </c>
      <c r="E298" s="3" t="s">
        <v>437</v>
      </c>
      <c r="F298" s="3" t="s">
        <v>402</v>
      </c>
      <c r="G298" s="36">
        <v>80.5</v>
      </c>
      <c r="H298" s="35">
        <v>4.0</v>
      </c>
      <c r="I298" s="37">
        <v>0.70625</v>
      </c>
      <c r="J298" s="37">
        <v>0.75625</v>
      </c>
      <c r="K298" s="38">
        <f t="shared" si="4"/>
        <v>0.05</v>
      </c>
      <c r="L298" s="39" t="str">
        <f t="shared" si="2"/>
        <v>Day</v>
      </c>
      <c r="M298" s="39" t="str">
        <f t="array" ref="M298">XLOOKUP(D298,'Category dict'!$B$1:$B$4,'Category dict'!$A$1:$A$4,0,0,1)</f>
        <v>Business</v>
      </c>
      <c r="N298" s="39" t="str">
        <f>VLOOKUP(H298,'Purpose dict'!$A$1:$B$12,2,0)</f>
        <v>Customer Visit</v>
      </c>
    </row>
    <row r="299">
      <c r="A299" s="3" t="s">
        <v>439</v>
      </c>
      <c r="B299" s="34">
        <v>42462.81805555556</v>
      </c>
      <c r="C299" s="34">
        <v>42462.941666666666</v>
      </c>
      <c r="D299" s="35">
        <v>423.0</v>
      </c>
      <c r="E299" s="3" t="s">
        <v>402</v>
      </c>
      <c r="F299" s="3" t="s">
        <v>440</v>
      </c>
      <c r="G299" s="40">
        <v>174.2</v>
      </c>
      <c r="H299" s="35">
        <v>4.0</v>
      </c>
      <c r="I299" s="37">
        <v>0.8180555555555555</v>
      </c>
      <c r="J299" s="37">
        <v>0.9416666666666667</v>
      </c>
      <c r="K299" s="38">
        <f t="shared" si="4"/>
        <v>0.1236111111</v>
      </c>
      <c r="L299" s="39" t="str">
        <f t="shared" si="2"/>
        <v>Evening</v>
      </c>
      <c r="M299" s="39" t="str">
        <f t="array" ref="M299">XLOOKUP(D299,'Category dict'!$B$1:$B$4,'Category dict'!$A$1:$A$4,0,0,1)</f>
        <v>Business</v>
      </c>
      <c r="N299" s="39" t="str">
        <f>VLOOKUP(H299,'Purpose dict'!$A$1:$B$12,2,0)</f>
        <v>Customer Visit</v>
      </c>
    </row>
    <row r="300" hidden="1">
      <c r="A300" s="3" t="s">
        <v>441</v>
      </c>
      <c r="B300" s="34">
        <v>42462.96597222222</v>
      </c>
      <c r="C300" s="34">
        <v>42463.06527777778</v>
      </c>
      <c r="D300" s="35">
        <v>423.0</v>
      </c>
      <c r="E300" s="3" t="s">
        <v>440</v>
      </c>
      <c r="F300" s="3" t="s">
        <v>442</v>
      </c>
      <c r="G300" s="36">
        <v>144.0</v>
      </c>
      <c r="H300" s="35">
        <v>3.0</v>
      </c>
      <c r="I300" s="37">
        <v>0.9659722222222222</v>
      </c>
      <c r="J300" s="37">
        <v>0.06527777777777778</v>
      </c>
      <c r="K300" s="41">
        <f>C300-B300</f>
        <v>0.09930555556</v>
      </c>
      <c r="L300" s="39" t="str">
        <f t="shared" si="2"/>
        <v>Evening</v>
      </c>
      <c r="M300" s="39" t="str">
        <f t="array" ref="M300">XLOOKUP(D300,'Category dict'!$B$1:$B$4,'Category dict'!$A$1:$A$4,0,0,1)</f>
        <v>Business</v>
      </c>
      <c r="N300" s="39" t="str">
        <f>VLOOKUP(H300,'Purpose dict'!$A$1:$B$12,2,0)</f>
        <v>Meeting</v>
      </c>
    </row>
    <row r="301" hidden="1">
      <c r="A301" s="3" t="s">
        <v>443</v>
      </c>
      <c r="B301" s="34">
        <v>42463.083333333336</v>
      </c>
      <c r="C301" s="34">
        <v>42463.177777777775</v>
      </c>
      <c r="D301" s="35">
        <v>423.0</v>
      </c>
      <c r="E301" s="3" t="s">
        <v>442</v>
      </c>
      <c r="F301" s="3" t="s">
        <v>60</v>
      </c>
      <c r="G301" s="36">
        <v>159.3</v>
      </c>
      <c r="H301" s="35">
        <v>3.0</v>
      </c>
      <c r="I301" s="37">
        <v>0.08333333333333333</v>
      </c>
      <c r="J301" s="37">
        <v>0.17777777777777778</v>
      </c>
      <c r="K301" s="38">
        <f t="shared" ref="K301:K358" si="5">J301-I301</f>
        <v>0.09444444444</v>
      </c>
      <c r="L301" s="39" t="str">
        <f t="shared" si="2"/>
        <v>Night</v>
      </c>
      <c r="M301" s="39" t="str">
        <f t="array" ref="M301">XLOOKUP(D301,'Category dict'!$B$1:$B$4,'Category dict'!$A$1:$A$4,0,0,1)</f>
        <v>Business</v>
      </c>
      <c r="N301" s="39" t="str">
        <f>VLOOKUP(H301,'Purpose dict'!$A$1:$B$12,2,0)</f>
        <v>Meeting</v>
      </c>
    </row>
    <row r="302" hidden="1">
      <c r="A302" s="3" t="s">
        <v>444</v>
      </c>
      <c r="B302" s="34">
        <v>42465.902083333334</v>
      </c>
      <c r="C302" s="34">
        <v>42465.913194444445</v>
      </c>
      <c r="D302" s="35">
        <v>423.0</v>
      </c>
      <c r="E302" s="3" t="s">
        <v>106</v>
      </c>
      <c r="F302" s="3" t="s">
        <v>284</v>
      </c>
      <c r="G302" s="36">
        <v>7.9</v>
      </c>
      <c r="H302" s="35">
        <v>1.0</v>
      </c>
      <c r="I302" s="37">
        <v>0.9020833333333333</v>
      </c>
      <c r="J302" s="37">
        <v>0.9131944444444444</v>
      </c>
      <c r="K302" s="38">
        <f t="shared" si="5"/>
        <v>0.01111111111</v>
      </c>
      <c r="L302" s="39" t="str">
        <f t="shared" si="2"/>
        <v>Evening</v>
      </c>
      <c r="M302" s="39" t="str">
        <f t="array" ref="M302">XLOOKUP(D302,'Category dict'!$B$1:$B$4,'Category dict'!$A$1:$A$4,0,0,1)</f>
        <v>Business</v>
      </c>
      <c r="N302" s="39" t="str">
        <f>VLOOKUP(H302,'Purpose dict'!$A$1:$B$12,2,0)</f>
        <v>Meal/Entertain</v>
      </c>
    </row>
    <row r="303" hidden="1">
      <c r="A303" s="3" t="s">
        <v>445</v>
      </c>
      <c r="B303" s="34">
        <v>42466.013194444444</v>
      </c>
      <c r="C303" s="34">
        <v>42466.027083333334</v>
      </c>
      <c r="D303" s="35">
        <v>423.0</v>
      </c>
      <c r="E303" s="3" t="s">
        <v>284</v>
      </c>
      <c r="F303" s="3" t="s">
        <v>106</v>
      </c>
      <c r="G303" s="36">
        <v>8.0</v>
      </c>
      <c r="H303" s="35">
        <v>1.0</v>
      </c>
      <c r="I303" s="37">
        <v>0.013194444444444444</v>
      </c>
      <c r="J303" s="37">
        <v>0.027083333333333334</v>
      </c>
      <c r="K303" s="38">
        <f t="shared" si="5"/>
        <v>0.01388888889</v>
      </c>
      <c r="L303" s="39" t="str">
        <f t="shared" si="2"/>
        <v>Night</v>
      </c>
      <c r="M303" s="39" t="str">
        <f t="array" ref="M303">XLOOKUP(D303,'Category dict'!$B$1:$B$4,'Category dict'!$A$1:$A$4,0,0,1)</f>
        <v>Business</v>
      </c>
      <c r="N303" s="39" t="str">
        <f>VLOOKUP(H303,'Purpose dict'!$A$1:$B$12,2,0)</f>
        <v>Meal/Entertain</v>
      </c>
    </row>
    <row r="304" hidden="1">
      <c r="A304" s="3" t="s">
        <v>446</v>
      </c>
      <c r="B304" s="34">
        <v>42467.76388888889</v>
      </c>
      <c r="C304" s="34">
        <v>42467.777083333334</v>
      </c>
      <c r="D304" s="35">
        <v>423.0</v>
      </c>
      <c r="E304" s="3" t="s">
        <v>60</v>
      </c>
      <c r="F304" s="3" t="s">
        <v>62</v>
      </c>
      <c r="G304" s="36">
        <v>6.1</v>
      </c>
      <c r="H304" s="35">
        <v>1.0</v>
      </c>
      <c r="I304" s="37">
        <v>0.7638888888888888</v>
      </c>
      <c r="J304" s="37">
        <v>0.7770833333333333</v>
      </c>
      <c r="K304" s="38">
        <f t="shared" si="5"/>
        <v>0.01319444444</v>
      </c>
      <c r="L304" s="39" t="str">
        <f t="shared" si="2"/>
        <v>Evening</v>
      </c>
      <c r="M304" s="39" t="str">
        <f t="array" ref="M304">XLOOKUP(D304,'Category dict'!$B$1:$B$4,'Category dict'!$A$1:$A$4,0,0,1)</f>
        <v>Business</v>
      </c>
      <c r="N304" s="39" t="str">
        <f>VLOOKUP(H304,'Purpose dict'!$A$1:$B$12,2,0)</f>
        <v>Meal/Entertain</v>
      </c>
    </row>
    <row r="305" hidden="1">
      <c r="A305" s="3" t="s">
        <v>447</v>
      </c>
      <c r="B305" s="34">
        <v>42467.822916666664</v>
      </c>
      <c r="C305" s="34">
        <v>42467.833333333336</v>
      </c>
      <c r="D305" s="35">
        <v>423.0</v>
      </c>
      <c r="E305" s="3" t="s">
        <v>62</v>
      </c>
      <c r="F305" s="3" t="s">
        <v>60</v>
      </c>
      <c r="G305" s="36">
        <v>6.1</v>
      </c>
      <c r="H305" s="35">
        <v>2.0</v>
      </c>
      <c r="I305" s="37">
        <v>0.8229166666666666</v>
      </c>
      <c r="J305" s="37">
        <v>0.8333333333333334</v>
      </c>
      <c r="K305" s="38">
        <f t="shared" si="5"/>
        <v>0.01041666667</v>
      </c>
      <c r="L305" s="39" t="str">
        <f t="shared" si="2"/>
        <v>Evening</v>
      </c>
      <c r="M305" s="39" t="str">
        <f t="array" ref="M305">XLOOKUP(D305,'Category dict'!$B$1:$B$4,'Category dict'!$A$1:$A$4,0,0,1)</f>
        <v>Business</v>
      </c>
      <c r="N305" s="39" t="str">
        <f>VLOOKUP(H305,'Purpose dict'!$A$1:$B$12,2,0)</f>
        <v>Errand/Supplies</v>
      </c>
    </row>
    <row r="306" hidden="1">
      <c r="A306" s="3" t="s">
        <v>448</v>
      </c>
      <c r="B306" s="34">
        <v>42468.520833333336</v>
      </c>
      <c r="C306" s="34">
        <v>42468.53333333333</v>
      </c>
      <c r="D306" s="35">
        <v>423.0</v>
      </c>
      <c r="E306" s="3" t="s">
        <v>60</v>
      </c>
      <c r="F306" s="3" t="s">
        <v>101</v>
      </c>
      <c r="G306" s="36">
        <v>10.5</v>
      </c>
      <c r="H306" s="35">
        <v>3.0</v>
      </c>
      <c r="I306" s="37">
        <v>0.5208333333333334</v>
      </c>
      <c r="J306" s="37">
        <v>0.5333333333333333</v>
      </c>
      <c r="K306" s="38">
        <f t="shared" si="5"/>
        <v>0.0125</v>
      </c>
      <c r="L306" s="39" t="str">
        <f t="shared" si="2"/>
        <v>Day</v>
      </c>
      <c r="M306" s="39" t="str">
        <f t="array" ref="M306">XLOOKUP(D306,'Category dict'!$B$1:$B$4,'Category dict'!$A$1:$A$4,0,0,1)</f>
        <v>Business</v>
      </c>
      <c r="N306" s="39" t="str">
        <f>VLOOKUP(H306,'Purpose dict'!$A$1:$B$12,2,0)</f>
        <v>Meeting</v>
      </c>
    </row>
    <row r="307" hidden="1">
      <c r="A307" s="3" t="s">
        <v>449</v>
      </c>
      <c r="B307" s="34">
        <v>42468.56527777778</v>
      </c>
      <c r="C307" s="34">
        <v>42468.57708333333</v>
      </c>
      <c r="D307" s="35">
        <v>423.0</v>
      </c>
      <c r="E307" s="3" t="s">
        <v>101</v>
      </c>
      <c r="F307" s="3" t="s">
        <v>60</v>
      </c>
      <c r="G307" s="36">
        <v>8.7</v>
      </c>
      <c r="H307" s="35">
        <v>1.0</v>
      </c>
      <c r="I307" s="37">
        <v>0.5652777777777778</v>
      </c>
      <c r="J307" s="37">
        <v>0.5770833333333333</v>
      </c>
      <c r="K307" s="38">
        <f t="shared" si="5"/>
        <v>0.01180555556</v>
      </c>
      <c r="L307" s="39" t="str">
        <f t="shared" si="2"/>
        <v>Day</v>
      </c>
      <c r="M307" s="39" t="str">
        <f t="array" ref="M307">XLOOKUP(D307,'Category dict'!$B$1:$B$4,'Category dict'!$A$1:$A$4,0,0,1)</f>
        <v>Business</v>
      </c>
      <c r="N307" s="39" t="str">
        <f>VLOOKUP(H307,'Purpose dict'!$A$1:$B$12,2,0)</f>
        <v>Meal/Entertain</v>
      </c>
    </row>
    <row r="308" hidden="1">
      <c r="A308" s="3" t="s">
        <v>450</v>
      </c>
      <c r="B308" s="34">
        <v>42468.57986111111</v>
      </c>
      <c r="C308" s="34">
        <v>42468.58541666667</v>
      </c>
      <c r="D308" s="35">
        <v>423.0</v>
      </c>
      <c r="E308" s="3" t="s">
        <v>123</v>
      </c>
      <c r="F308" s="3" t="s">
        <v>106</v>
      </c>
      <c r="G308" s="36">
        <v>1.8</v>
      </c>
      <c r="H308" s="35">
        <v>2.0</v>
      </c>
      <c r="I308" s="37">
        <v>0.5798611111111112</v>
      </c>
      <c r="J308" s="37">
        <v>0.5854166666666667</v>
      </c>
      <c r="K308" s="38">
        <f t="shared" si="5"/>
        <v>0.005555555556</v>
      </c>
      <c r="L308" s="39" t="str">
        <f t="shared" si="2"/>
        <v>Day</v>
      </c>
      <c r="M308" s="39" t="str">
        <f t="array" ref="M308">XLOOKUP(D308,'Category dict'!$B$1:$B$4,'Category dict'!$A$1:$A$4,0,0,1)</f>
        <v>Business</v>
      </c>
      <c r="N308" s="39" t="str">
        <f>VLOOKUP(H308,'Purpose dict'!$A$1:$B$12,2,0)</f>
        <v>Errand/Supplies</v>
      </c>
    </row>
    <row r="309" hidden="1">
      <c r="A309" s="3" t="s">
        <v>451</v>
      </c>
      <c r="B309" s="34">
        <v>42468.61319444444</v>
      </c>
      <c r="C309" s="34">
        <v>42468.63888888889</v>
      </c>
      <c r="D309" s="35">
        <v>423.0</v>
      </c>
      <c r="E309" s="3" t="s">
        <v>60</v>
      </c>
      <c r="F309" s="3" t="s">
        <v>111</v>
      </c>
      <c r="G309" s="36">
        <v>19.1</v>
      </c>
      <c r="H309" s="35">
        <v>3.0</v>
      </c>
      <c r="I309" s="37">
        <v>0.6131944444444445</v>
      </c>
      <c r="J309" s="37">
        <v>0.6388888888888888</v>
      </c>
      <c r="K309" s="38">
        <f t="shared" si="5"/>
        <v>0.02569444444</v>
      </c>
      <c r="L309" s="39" t="str">
        <f t="shared" si="2"/>
        <v>Day</v>
      </c>
      <c r="M309" s="39" t="str">
        <f t="array" ref="M309">XLOOKUP(D309,'Category dict'!$B$1:$B$4,'Category dict'!$A$1:$A$4,0,0,1)</f>
        <v>Business</v>
      </c>
      <c r="N309" s="39" t="str">
        <f>VLOOKUP(H309,'Purpose dict'!$A$1:$B$12,2,0)</f>
        <v>Meeting</v>
      </c>
    </row>
    <row r="310" hidden="1">
      <c r="A310" s="3" t="s">
        <v>452</v>
      </c>
      <c r="B310" s="34">
        <v>42468.67013888889</v>
      </c>
      <c r="C310" s="34">
        <v>42468.69930555556</v>
      </c>
      <c r="D310" s="35">
        <v>423.0</v>
      </c>
      <c r="E310" s="3" t="s">
        <v>111</v>
      </c>
      <c r="F310" s="3" t="s">
        <v>60</v>
      </c>
      <c r="G310" s="36">
        <v>18.6</v>
      </c>
      <c r="H310" s="35">
        <v>3.0</v>
      </c>
      <c r="I310" s="37">
        <v>0.6701388888888888</v>
      </c>
      <c r="J310" s="37">
        <v>0.6993055555555555</v>
      </c>
      <c r="K310" s="38">
        <f t="shared" si="5"/>
        <v>0.02916666667</v>
      </c>
      <c r="L310" s="39" t="str">
        <f t="shared" si="2"/>
        <v>Day</v>
      </c>
      <c r="M310" s="39" t="str">
        <f t="array" ref="M310">XLOOKUP(D310,'Category dict'!$B$1:$B$4,'Category dict'!$A$1:$A$4,0,0,1)</f>
        <v>Business</v>
      </c>
      <c r="N310" s="39" t="str">
        <f>VLOOKUP(H310,'Purpose dict'!$A$1:$B$12,2,0)</f>
        <v>Meeting</v>
      </c>
    </row>
    <row r="311" hidden="1">
      <c r="A311" s="3" t="s">
        <v>453</v>
      </c>
      <c r="B311" s="34">
        <v>42472.385416666664</v>
      </c>
      <c r="C311" s="34">
        <v>42472.393055555556</v>
      </c>
      <c r="D311" s="35">
        <v>423.0</v>
      </c>
      <c r="E311" s="3" t="s">
        <v>106</v>
      </c>
      <c r="F311" s="3" t="s">
        <v>168</v>
      </c>
      <c r="G311" s="36">
        <v>2.8</v>
      </c>
      <c r="H311" s="35">
        <v>2.0</v>
      </c>
      <c r="I311" s="37">
        <v>0.3854166666666667</v>
      </c>
      <c r="J311" s="37">
        <v>0.39305555555555555</v>
      </c>
      <c r="K311" s="38">
        <f t="shared" si="5"/>
        <v>0.007638888889</v>
      </c>
      <c r="L311" s="39" t="str">
        <f t="shared" si="2"/>
        <v>Morning</v>
      </c>
      <c r="M311" s="39" t="str">
        <f t="array" ref="M311">XLOOKUP(D311,'Category dict'!$B$1:$B$4,'Category dict'!$A$1:$A$4,0,0,1)</f>
        <v>Business</v>
      </c>
      <c r="N311" s="39" t="str">
        <f>VLOOKUP(H311,'Purpose dict'!$A$1:$B$12,2,0)</f>
        <v>Errand/Supplies</v>
      </c>
    </row>
    <row r="312" hidden="1">
      <c r="A312" s="3" t="s">
        <v>454</v>
      </c>
      <c r="B312" s="34">
        <v>42472.39861111111</v>
      </c>
      <c r="C312" s="34">
        <v>42472.41180555556</v>
      </c>
      <c r="D312" s="35">
        <v>423.0</v>
      </c>
      <c r="E312" s="3" t="s">
        <v>60</v>
      </c>
      <c r="F312" s="3" t="s">
        <v>111</v>
      </c>
      <c r="G312" s="36">
        <v>8.9</v>
      </c>
      <c r="H312" s="35">
        <v>3.0</v>
      </c>
      <c r="I312" s="37">
        <v>0.39861111111111114</v>
      </c>
      <c r="J312" s="37">
        <v>0.41180555555555554</v>
      </c>
      <c r="K312" s="38">
        <f t="shared" si="5"/>
        <v>0.01319444444</v>
      </c>
      <c r="L312" s="39" t="str">
        <f t="shared" si="2"/>
        <v>Morning</v>
      </c>
      <c r="M312" s="39" t="str">
        <f t="array" ref="M312">XLOOKUP(D312,'Category dict'!$B$1:$B$4,'Category dict'!$A$1:$A$4,0,0,1)</f>
        <v>Business</v>
      </c>
      <c r="N312" s="39" t="str">
        <f>VLOOKUP(H312,'Purpose dict'!$A$1:$B$12,2,0)</f>
        <v>Meeting</v>
      </c>
    </row>
    <row r="313" hidden="1">
      <c r="A313" s="3" t="s">
        <v>455</v>
      </c>
      <c r="B313" s="34">
        <v>42472.45694444444</v>
      </c>
      <c r="C313" s="34">
        <v>42472.47083333333</v>
      </c>
      <c r="D313" s="35">
        <v>423.0</v>
      </c>
      <c r="E313" s="3" t="s">
        <v>456</v>
      </c>
      <c r="F313" s="3" t="s">
        <v>457</v>
      </c>
      <c r="G313" s="36">
        <v>7.5</v>
      </c>
      <c r="H313" s="35">
        <v>4.0</v>
      </c>
      <c r="I313" s="37">
        <v>0.45694444444444443</v>
      </c>
      <c r="J313" s="37">
        <v>0.4708333333333333</v>
      </c>
      <c r="K313" s="38">
        <f t="shared" si="5"/>
        <v>0.01388888889</v>
      </c>
      <c r="L313" s="39" t="str">
        <f t="shared" si="2"/>
        <v>Morning</v>
      </c>
      <c r="M313" s="39" t="str">
        <f t="array" ref="M313">XLOOKUP(D313,'Category dict'!$B$1:$B$4,'Category dict'!$A$1:$A$4,0,0,1)</f>
        <v>Business</v>
      </c>
      <c r="N313" s="39" t="str">
        <f>VLOOKUP(H313,'Purpose dict'!$A$1:$B$12,2,0)</f>
        <v>Customer Visit</v>
      </c>
    </row>
    <row r="314" hidden="1">
      <c r="A314" s="3" t="s">
        <v>458</v>
      </c>
      <c r="B314" s="34">
        <v>42472.51527777778</v>
      </c>
      <c r="C314" s="34">
        <v>42472.53055555555</v>
      </c>
      <c r="D314" s="35">
        <v>423.0</v>
      </c>
      <c r="E314" s="3" t="s">
        <v>111</v>
      </c>
      <c r="F314" s="3" t="s">
        <v>62</v>
      </c>
      <c r="G314" s="36">
        <v>15.9</v>
      </c>
      <c r="H314" s="35">
        <v>3.0</v>
      </c>
      <c r="I314" s="37">
        <v>0.5152777777777777</v>
      </c>
      <c r="J314" s="37">
        <v>0.5305555555555556</v>
      </c>
      <c r="K314" s="38">
        <f t="shared" si="5"/>
        <v>0.01527777778</v>
      </c>
      <c r="L314" s="39" t="str">
        <f t="shared" si="2"/>
        <v>Day</v>
      </c>
      <c r="M314" s="39" t="str">
        <f t="array" ref="M314">XLOOKUP(D314,'Category dict'!$B$1:$B$4,'Category dict'!$A$1:$A$4,0,0,1)</f>
        <v>Business</v>
      </c>
      <c r="N314" s="39" t="str">
        <f>VLOOKUP(H314,'Purpose dict'!$A$1:$B$12,2,0)</f>
        <v>Meeting</v>
      </c>
    </row>
    <row r="315" hidden="1">
      <c r="A315" s="3" t="s">
        <v>459</v>
      </c>
      <c r="B315" s="34">
        <v>42472.57083333333</v>
      </c>
      <c r="C315" s="34">
        <v>42472.584027777775</v>
      </c>
      <c r="D315" s="35">
        <v>423.0</v>
      </c>
      <c r="E315" s="3" t="s">
        <v>62</v>
      </c>
      <c r="F315" s="3" t="s">
        <v>60</v>
      </c>
      <c r="G315" s="36">
        <v>6.5</v>
      </c>
      <c r="H315" s="35">
        <v>1.0</v>
      </c>
      <c r="I315" s="37">
        <v>0.5708333333333333</v>
      </c>
      <c r="J315" s="37">
        <v>0.5840277777777778</v>
      </c>
      <c r="K315" s="38">
        <f t="shared" si="5"/>
        <v>0.01319444444</v>
      </c>
      <c r="L315" s="39" t="str">
        <f t="shared" si="2"/>
        <v>Day</v>
      </c>
      <c r="M315" s="39" t="str">
        <f t="array" ref="M315">XLOOKUP(D315,'Category dict'!$B$1:$B$4,'Category dict'!$A$1:$A$4,0,0,1)</f>
        <v>Business</v>
      </c>
      <c r="N315" s="39" t="str">
        <f>VLOOKUP(H315,'Purpose dict'!$A$1:$B$12,2,0)</f>
        <v>Meal/Entertain</v>
      </c>
    </row>
    <row r="316" hidden="1">
      <c r="A316" s="3" t="s">
        <v>460</v>
      </c>
      <c r="B316" s="34">
        <v>42474.31180555555</v>
      </c>
      <c r="C316" s="34">
        <v>42474.339583333334</v>
      </c>
      <c r="D316" s="35">
        <v>423.0</v>
      </c>
      <c r="E316" s="3" t="s">
        <v>60</v>
      </c>
      <c r="F316" s="3" t="s">
        <v>461</v>
      </c>
      <c r="G316" s="36">
        <v>15.3</v>
      </c>
      <c r="H316" s="35">
        <v>5.0</v>
      </c>
      <c r="I316" s="37">
        <v>0.31180555555555556</v>
      </c>
      <c r="J316" s="37">
        <v>0.33958333333333335</v>
      </c>
      <c r="K316" s="38">
        <f t="shared" si="5"/>
        <v>0.02777777778</v>
      </c>
      <c r="L316" s="39" t="str">
        <f t="shared" si="2"/>
        <v>Morning</v>
      </c>
      <c r="M316" s="39" t="str">
        <f t="array" ref="M316">XLOOKUP(D316,'Category dict'!$B$1:$B$4,'Category dict'!$A$1:$A$4,0,0,1)</f>
        <v>Business</v>
      </c>
      <c r="N316" s="39" t="str">
        <f>VLOOKUP(H316,'Purpose dict'!$A$1:$B$12,2,0)</f>
        <v>Temporary Site</v>
      </c>
    </row>
    <row r="317" hidden="1">
      <c r="A317" s="3" t="s">
        <v>462</v>
      </c>
      <c r="B317" s="34">
        <v>42474.666666666664</v>
      </c>
      <c r="C317" s="34">
        <v>42474.69652777778</v>
      </c>
      <c r="D317" s="35">
        <v>423.0</v>
      </c>
      <c r="E317" s="3" t="s">
        <v>461</v>
      </c>
      <c r="F317" s="3" t="s">
        <v>60</v>
      </c>
      <c r="G317" s="36">
        <v>13.7</v>
      </c>
      <c r="H317" s="35">
        <v>5.0</v>
      </c>
      <c r="I317" s="37">
        <v>0.6666666666666666</v>
      </c>
      <c r="J317" s="37">
        <v>0.6965277777777777</v>
      </c>
      <c r="K317" s="38">
        <f t="shared" si="5"/>
        <v>0.02986111111</v>
      </c>
      <c r="L317" s="39" t="str">
        <f t="shared" si="2"/>
        <v>Day</v>
      </c>
      <c r="M317" s="39" t="str">
        <f t="array" ref="M317">XLOOKUP(D317,'Category dict'!$B$1:$B$4,'Category dict'!$A$1:$A$4,0,0,1)</f>
        <v>Business</v>
      </c>
      <c r="N317" s="39" t="str">
        <f>VLOOKUP(H317,'Purpose dict'!$A$1:$B$12,2,0)</f>
        <v>Temporary Site</v>
      </c>
    </row>
    <row r="318" hidden="1">
      <c r="A318" s="3" t="s">
        <v>463</v>
      </c>
      <c r="B318" s="34">
        <v>42475.48333333333</v>
      </c>
      <c r="C318" s="34">
        <v>42475.50486111111</v>
      </c>
      <c r="D318" s="35">
        <v>423.0</v>
      </c>
      <c r="E318" s="3" t="s">
        <v>60</v>
      </c>
      <c r="F318" s="3" t="s">
        <v>111</v>
      </c>
      <c r="G318" s="36">
        <v>11.9</v>
      </c>
      <c r="H318" s="35">
        <v>5.0</v>
      </c>
      <c r="I318" s="37">
        <v>0.48333333333333334</v>
      </c>
      <c r="J318" s="37">
        <v>0.5048611111111111</v>
      </c>
      <c r="K318" s="38">
        <f t="shared" si="5"/>
        <v>0.02152777778</v>
      </c>
      <c r="L318" s="39" t="str">
        <f t="shared" si="2"/>
        <v>Morning</v>
      </c>
      <c r="M318" s="39" t="str">
        <f t="array" ref="M318">XLOOKUP(D318,'Category dict'!$B$1:$B$4,'Category dict'!$A$1:$A$4,0,0,1)</f>
        <v>Business</v>
      </c>
      <c r="N318" s="39" t="str">
        <f>VLOOKUP(H318,'Purpose dict'!$A$1:$B$12,2,0)</f>
        <v>Temporary Site</v>
      </c>
    </row>
    <row r="319">
      <c r="A319" s="3" t="s">
        <v>464</v>
      </c>
      <c r="B319" s="34">
        <v>42475.52013888889</v>
      </c>
      <c r="C319" s="34">
        <v>42475.52222222222</v>
      </c>
      <c r="D319" s="35">
        <v>423.0</v>
      </c>
      <c r="E319" s="3" t="s">
        <v>130</v>
      </c>
      <c r="F319" s="3" t="s">
        <v>465</v>
      </c>
      <c r="G319" s="40">
        <v>1.4</v>
      </c>
      <c r="H319" s="35">
        <v>2.0</v>
      </c>
      <c r="I319" s="37">
        <v>0.5201388888888889</v>
      </c>
      <c r="J319" s="37">
        <v>0.5222222222222223</v>
      </c>
      <c r="K319" s="38">
        <f t="shared" si="5"/>
        <v>0.002083333333</v>
      </c>
      <c r="L319" s="39" t="str">
        <f t="shared" si="2"/>
        <v>Day</v>
      </c>
      <c r="M319" s="39" t="str">
        <f t="array" ref="M319">XLOOKUP(D319,'Category dict'!$B$1:$B$4,'Category dict'!$A$1:$A$4,0,0,1)</f>
        <v>Business</v>
      </c>
      <c r="N319" s="39" t="str">
        <f>VLOOKUP(H319,'Purpose dict'!$A$1:$B$12,2,0)</f>
        <v>Errand/Supplies</v>
      </c>
    </row>
    <row r="320" hidden="1">
      <c r="A320" s="3" t="s">
        <v>466</v>
      </c>
      <c r="B320" s="34">
        <v>42475.60486111111</v>
      </c>
      <c r="C320" s="34">
        <v>42475.62569444445</v>
      </c>
      <c r="D320" s="35">
        <v>423.0</v>
      </c>
      <c r="E320" s="3" t="s">
        <v>111</v>
      </c>
      <c r="F320" s="3" t="s">
        <v>60</v>
      </c>
      <c r="G320" s="36">
        <v>15.2</v>
      </c>
      <c r="H320" s="35">
        <v>3.0</v>
      </c>
      <c r="I320" s="37">
        <v>0.6048611111111111</v>
      </c>
      <c r="J320" s="37">
        <v>0.6256944444444444</v>
      </c>
      <c r="K320" s="38">
        <f t="shared" si="5"/>
        <v>0.02083333333</v>
      </c>
      <c r="L320" s="39" t="str">
        <f t="shared" si="2"/>
        <v>Day</v>
      </c>
      <c r="M320" s="39" t="str">
        <f t="array" ref="M320">XLOOKUP(D320,'Category dict'!$B$1:$B$4,'Category dict'!$A$1:$A$4,0,0,1)</f>
        <v>Business</v>
      </c>
      <c r="N320" s="39" t="str">
        <f>VLOOKUP(H320,'Purpose dict'!$A$1:$B$12,2,0)</f>
        <v>Meeting</v>
      </c>
    </row>
    <row r="321" hidden="1">
      <c r="A321" s="3" t="s">
        <v>467</v>
      </c>
      <c r="B321" s="34">
        <v>42476.540972222225</v>
      </c>
      <c r="C321" s="34">
        <v>42476.55347222222</v>
      </c>
      <c r="D321" s="35">
        <v>423.0</v>
      </c>
      <c r="E321" s="3" t="s">
        <v>60</v>
      </c>
      <c r="F321" s="3" t="s">
        <v>62</v>
      </c>
      <c r="G321" s="36">
        <v>6.0</v>
      </c>
      <c r="H321" s="35">
        <v>2.0</v>
      </c>
      <c r="I321" s="37">
        <v>0.5409722222222222</v>
      </c>
      <c r="J321" s="37">
        <v>0.5534722222222223</v>
      </c>
      <c r="K321" s="38">
        <f t="shared" si="5"/>
        <v>0.0125</v>
      </c>
      <c r="L321" s="39" t="str">
        <f t="shared" si="2"/>
        <v>Day</v>
      </c>
      <c r="M321" s="39" t="str">
        <f t="array" ref="M321">XLOOKUP(D321,'Category dict'!$B$1:$B$4,'Category dict'!$A$1:$A$4,0,0,1)</f>
        <v>Business</v>
      </c>
      <c r="N321" s="39" t="str">
        <f>VLOOKUP(H321,'Purpose dict'!$A$1:$B$12,2,0)</f>
        <v>Errand/Supplies</v>
      </c>
    </row>
    <row r="322" hidden="1">
      <c r="A322" s="3" t="s">
        <v>468</v>
      </c>
      <c r="B322" s="34">
        <v>42476.631944444445</v>
      </c>
      <c r="C322" s="34">
        <v>42476.643055555556</v>
      </c>
      <c r="D322" s="35">
        <v>423.0</v>
      </c>
      <c r="E322" s="3" t="s">
        <v>62</v>
      </c>
      <c r="F322" s="3" t="s">
        <v>60</v>
      </c>
      <c r="G322" s="36">
        <v>6.1</v>
      </c>
      <c r="H322" s="35">
        <v>1.0</v>
      </c>
      <c r="I322" s="37">
        <v>0.6319444444444444</v>
      </c>
      <c r="J322" s="37">
        <v>0.6430555555555556</v>
      </c>
      <c r="K322" s="38">
        <f t="shared" si="5"/>
        <v>0.01111111111</v>
      </c>
      <c r="L322" s="39" t="str">
        <f t="shared" si="2"/>
        <v>Day</v>
      </c>
      <c r="M322" s="39" t="str">
        <f t="array" ref="M322">XLOOKUP(D322,'Category dict'!$B$1:$B$4,'Category dict'!$A$1:$A$4,0,0,1)</f>
        <v>Business</v>
      </c>
      <c r="N322" s="39" t="str">
        <f>VLOOKUP(H322,'Purpose dict'!$A$1:$B$12,2,0)</f>
        <v>Meal/Entertain</v>
      </c>
    </row>
    <row r="323" hidden="1">
      <c r="A323" s="3" t="s">
        <v>469</v>
      </c>
      <c r="B323" s="34">
        <v>42479.73888888889</v>
      </c>
      <c r="C323" s="34">
        <v>42479.75555555556</v>
      </c>
      <c r="D323" s="35">
        <v>423.0</v>
      </c>
      <c r="E323" s="3" t="s">
        <v>106</v>
      </c>
      <c r="F323" s="3" t="s">
        <v>284</v>
      </c>
      <c r="G323" s="36">
        <v>8.2</v>
      </c>
      <c r="H323" s="35">
        <v>1.0</v>
      </c>
      <c r="I323" s="37">
        <v>0.7388888888888889</v>
      </c>
      <c r="J323" s="37">
        <v>0.7555555555555555</v>
      </c>
      <c r="K323" s="38">
        <f t="shared" si="5"/>
        <v>0.01666666667</v>
      </c>
      <c r="L323" s="39" t="str">
        <f t="shared" si="2"/>
        <v>Day</v>
      </c>
      <c r="M323" s="39" t="str">
        <f t="array" ref="M323">XLOOKUP(D323,'Category dict'!$B$1:$B$4,'Category dict'!$A$1:$A$4,0,0,1)</f>
        <v>Business</v>
      </c>
      <c r="N323" s="39" t="str">
        <f>VLOOKUP(H323,'Purpose dict'!$A$1:$B$12,2,0)</f>
        <v>Meal/Entertain</v>
      </c>
    </row>
    <row r="324" hidden="1">
      <c r="A324" s="3" t="s">
        <v>470</v>
      </c>
      <c r="B324" s="34">
        <v>42479.83125</v>
      </c>
      <c r="C324" s="34">
        <v>42479.84652777778</v>
      </c>
      <c r="D324" s="35">
        <v>423.0</v>
      </c>
      <c r="E324" s="3" t="s">
        <v>284</v>
      </c>
      <c r="F324" s="3" t="s">
        <v>106</v>
      </c>
      <c r="G324" s="36">
        <v>8.0</v>
      </c>
      <c r="H324" s="35">
        <v>1.0</v>
      </c>
      <c r="I324" s="37">
        <v>0.83125</v>
      </c>
      <c r="J324" s="37">
        <v>0.8465277777777778</v>
      </c>
      <c r="K324" s="38">
        <f t="shared" si="5"/>
        <v>0.01527777778</v>
      </c>
      <c r="L324" s="39" t="str">
        <f t="shared" si="2"/>
        <v>Evening</v>
      </c>
      <c r="M324" s="39" t="str">
        <f t="array" ref="M324">XLOOKUP(D324,'Category dict'!$B$1:$B$4,'Category dict'!$A$1:$A$4,0,0,1)</f>
        <v>Business</v>
      </c>
      <c r="N324" s="39" t="str">
        <f>VLOOKUP(H324,'Purpose dict'!$A$1:$B$12,2,0)</f>
        <v>Meal/Entertain</v>
      </c>
    </row>
    <row r="325" hidden="1">
      <c r="A325" s="3" t="s">
        <v>471</v>
      </c>
      <c r="B325" s="34">
        <v>42482.350694444445</v>
      </c>
      <c r="C325" s="34">
        <v>42482.37777777778</v>
      </c>
      <c r="D325" s="35">
        <v>423.0</v>
      </c>
      <c r="E325" s="3" t="s">
        <v>60</v>
      </c>
      <c r="F325" s="3" t="s">
        <v>111</v>
      </c>
      <c r="G325" s="36">
        <v>13.6</v>
      </c>
      <c r="H325" s="35">
        <v>3.0</v>
      </c>
      <c r="I325" s="37">
        <v>0.3506944444444444</v>
      </c>
      <c r="J325" s="37">
        <v>0.37777777777777777</v>
      </c>
      <c r="K325" s="38">
        <f t="shared" si="5"/>
        <v>0.02708333333</v>
      </c>
      <c r="L325" s="39" t="str">
        <f t="shared" si="2"/>
        <v>Morning</v>
      </c>
      <c r="M325" s="39" t="str">
        <f t="array" ref="M325">XLOOKUP(D325,'Category dict'!$B$1:$B$4,'Category dict'!$A$1:$A$4,0,0,1)</f>
        <v>Business</v>
      </c>
      <c r="N325" s="39" t="str">
        <f>VLOOKUP(H325,'Purpose dict'!$A$1:$B$12,2,0)</f>
        <v>Meeting</v>
      </c>
    </row>
    <row r="326" hidden="1">
      <c r="A326" s="3" t="s">
        <v>472</v>
      </c>
      <c r="B326" s="34">
        <v>42482.42361111111</v>
      </c>
      <c r="C326" s="34">
        <v>42482.444444444445</v>
      </c>
      <c r="D326" s="35">
        <v>423.0</v>
      </c>
      <c r="E326" s="3" t="s">
        <v>111</v>
      </c>
      <c r="F326" s="3" t="s">
        <v>60</v>
      </c>
      <c r="G326" s="36">
        <v>22.5</v>
      </c>
      <c r="H326" s="35">
        <v>3.0</v>
      </c>
      <c r="I326" s="37">
        <v>0.4236111111111111</v>
      </c>
      <c r="J326" s="37">
        <v>0.4444444444444444</v>
      </c>
      <c r="K326" s="38">
        <f t="shared" si="5"/>
        <v>0.02083333333</v>
      </c>
      <c r="L326" s="39" t="str">
        <f t="shared" si="2"/>
        <v>Morning</v>
      </c>
      <c r="M326" s="39" t="str">
        <f t="array" ref="M326">XLOOKUP(D326,'Category dict'!$B$1:$B$4,'Category dict'!$A$1:$A$4,0,0,1)</f>
        <v>Business</v>
      </c>
      <c r="N326" s="39" t="str">
        <f>VLOOKUP(H326,'Purpose dict'!$A$1:$B$12,2,0)</f>
        <v>Meeting</v>
      </c>
    </row>
    <row r="327" hidden="1">
      <c r="A327" s="3" t="s">
        <v>473</v>
      </c>
      <c r="B327" s="34">
        <v>42482.50555555556</v>
      </c>
      <c r="C327" s="34">
        <v>42482.51944444444</v>
      </c>
      <c r="D327" s="35">
        <v>423.0</v>
      </c>
      <c r="E327" s="3" t="s">
        <v>60</v>
      </c>
      <c r="F327" s="3" t="s">
        <v>101</v>
      </c>
      <c r="G327" s="36">
        <v>10.4</v>
      </c>
      <c r="H327" s="35">
        <v>3.0</v>
      </c>
      <c r="I327" s="37">
        <v>0.5055555555555555</v>
      </c>
      <c r="J327" s="37">
        <v>0.5194444444444445</v>
      </c>
      <c r="K327" s="38">
        <f t="shared" si="5"/>
        <v>0.01388888889</v>
      </c>
      <c r="L327" s="39" t="str">
        <f t="shared" si="2"/>
        <v>Day</v>
      </c>
      <c r="M327" s="39" t="str">
        <f t="array" ref="M327">XLOOKUP(D327,'Category dict'!$B$1:$B$4,'Category dict'!$A$1:$A$4,0,0,1)</f>
        <v>Business</v>
      </c>
      <c r="N327" s="39" t="str">
        <f>VLOOKUP(H327,'Purpose dict'!$A$1:$B$12,2,0)</f>
        <v>Meeting</v>
      </c>
    </row>
    <row r="328" hidden="1">
      <c r="A328" s="3" t="s">
        <v>474</v>
      </c>
      <c r="B328" s="34">
        <v>42482.54305555556</v>
      </c>
      <c r="C328" s="34">
        <v>42482.55972222222</v>
      </c>
      <c r="D328" s="35">
        <v>423.0</v>
      </c>
      <c r="E328" s="3" t="s">
        <v>101</v>
      </c>
      <c r="F328" s="3" t="s">
        <v>60</v>
      </c>
      <c r="G328" s="36">
        <v>10.0</v>
      </c>
      <c r="H328" s="35">
        <v>3.0</v>
      </c>
      <c r="I328" s="37">
        <v>0.5430555555555555</v>
      </c>
      <c r="J328" s="37">
        <v>0.5597222222222222</v>
      </c>
      <c r="K328" s="38">
        <f t="shared" si="5"/>
        <v>0.01666666667</v>
      </c>
      <c r="L328" s="39" t="str">
        <f t="shared" si="2"/>
        <v>Day</v>
      </c>
      <c r="M328" s="39" t="str">
        <f t="array" ref="M328">XLOOKUP(D328,'Category dict'!$B$1:$B$4,'Category dict'!$A$1:$A$4,0,0,1)</f>
        <v>Business</v>
      </c>
      <c r="N328" s="39" t="str">
        <f>VLOOKUP(H328,'Purpose dict'!$A$1:$B$12,2,0)</f>
        <v>Meeting</v>
      </c>
    </row>
    <row r="329" hidden="1">
      <c r="A329" s="3" t="s">
        <v>475</v>
      </c>
      <c r="B329" s="34">
        <v>42483.71041666667</v>
      </c>
      <c r="C329" s="34">
        <v>42483.71944444445</v>
      </c>
      <c r="D329" s="35">
        <v>423.0</v>
      </c>
      <c r="E329" s="3" t="s">
        <v>106</v>
      </c>
      <c r="F329" s="3" t="s">
        <v>177</v>
      </c>
      <c r="G329" s="36">
        <v>6.0</v>
      </c>
      <c r="H329" s="35">
        <v>1.0</v>
      </c>
      <c r="I329" s="37">
        <v>0.7104166666666667</v>
      </c>
      <c r="J329" s="37">
        <v>0.7194444444444444</v>
      </c>
      <c r="K329" s="38">
        <f t="shared" si="5"/>
        <v>0.009027777778</v>
      </c>
      <c r="L329" s="39" t="str">
        <f t="shared" si="2"/>
        <v>Day</v>
      </c>
      <c r="M329" s="39" t="str">
        <f t="array" ref="M329">XLOOKUP(D329,'Category dict'!$B$1:$B$4,'Category dict'!$A$1:$A$4,0,0,1)</f>
        <v>Business</v>
      </c>
      <c r="N329" s="39" t="str">
        <f>VLOOKUP(H329,'Purpose dict'!$A$1:$B$12,2,0)</f>
        <v>Meal/Entertain</v>
      </c>
    </row>
    <row r="330" hidden="1">
      <c r="A330" s="3" t="s">
        <v>476</v>
      </c>
      <c r="B330" s="34">
        <v>42483.78402777778</v>
      </c>
      <c r="C330" s="34">
        <v>42483.79513888889</v>
      </c>
      <c r="D330" s="35">
        <v>423.0</v>
      </c>
      <c r="E330" s="3" t="s">
        <v>177</v>
      </c>
      <c r="F330" s="3" t="s">
        <v>106</v>
      </c>
      <c r="G330" s="36">
        <v>6.5</v>
      </c>
      <c r="H330" s="35">
        <v>1.0</v>
      </c>
      <c r="I330" s="37">
        <v>0.7840277777777778</v>
      </c>
      <c r="J330" s="37">
        <v>0.7951388888888888</v>
      </c>
      <c r="K330" s="38">
        <f t="shared" si="5"/>
        <v>0.01111111111</v>
      </c>
      <c r="L330" s="39" t="str">
        <f t="shared" si="2"/>
        <v>Evening</v>
      </c>
      <c r="M330" s="39" t="str">
        <f t="array" ref="M330">XLOOKUP(D330,'Category dict'!$B$1:$B$4,'Category dict'!$A$1:$A$4,0,0,1)</f>
        <v>Business</v>
      </c>
      <c r="N330" s="39" t="str">
        <f>VLOOKUP(H330,'Purpose dict'!$A$1:$B$12,2,0)</f>
        <v>Meal/Entertain</v>
      </c>
    </row>
    <row r="331" hidden="1">
      <c r="A331" s="3" t="s">
        <v>477</v>
      </c>
      <c r="B331" s="34">
        <v>42484.79652777778</v>
      </c>
      <c r="C331" s="34">
        <v>42484.802777777775</v>
      </c>
      <c r="D331" s="35">
        <v>423.0</v>
      </c>
      <c r="E331" s="3" t="s">
        <v>60</v>
      </c>
      <c r="F331" s="3" t="s">
        <v>62</v>
      </c>
      <c r="G331" s="36">
        <v>3.1</v>
      </c>
      <c r="H331" s="35">
        <v>2.0</v>
      </c>
      <c r="I331" s="37">
        <v>0.7965277777777777</v>
      </c>
      <c r="J331" s="37">
        <v>0.8027777777777778</v>
      </c>
      <c r="K331" s="38">
        <f t="shared" si="5"/>
        <v>0.00625</v>
      </c>
      <c r="L331" s="39" t="str">
        <f t="shared" si="2"/>
        <v>Evening</v>
      </c>
      <c r="M331" s="39" t="str">
        <f t="array" ref="M331">XLOOKUP(D331,'Category dict'!$B$1:$B$4,'Category dict'!$A$1:$A$4,0,0,1)</f>
        <v>Business</v>
      </c>
      <c r="N331" s="39" t="str">
        <f>VLOOKUP(H331,'Purpose dict'!$A$1:$B$12,2,0)</f>
        <v>Errand/Supplies</v>
      </c>
    </row>
    <row r="332" hidden="1">
      <c r="A332" s="3" t="s">
        <v>478</v>
      </c>
      <c r="B332" s="34">
        <v>42484.82361111111</v>
      </c>
      <c r="C332" s="34">
        <v>42484.82777777778</v>
      </c>
      <c r="D332" s="35">
        <v>423.0</v>
      </c>
      <c r="E332" s="3" t="s">
        <v>479</v>
      </c>
      <c r="F332" s="3" t="s">
        <v>479</v>
      </c>
      <c r="G332" s="36">
        <v>1.9</v>
      </c>
      <c r="H332" s="35">
        <v>2.0</v>
      </c>
      <c r="I332" s="37">
        <v>0.8236111111111111</v>
      </c>
      <c r="J332" s="37">
        <v>0.8277777777777777</v>
      </c>
      <c r="K332" s="38">
        <f t="shared" si="5"/>
        <v>0.004166666667</v>
      </c>
      <c r="L332" s="39" t="str">
        <f t="shared" si="2"/>
        <v>Evening</v>
      </c>
      <c r="M332" s="39" t="str">
        <f t="array" ref="M332">XLOOKUP(D332,'Category dict'!$B$1:$B$4,'Category dict'!$A$1:$A$4,0,0,1)</f>
        <v>Business</v>
      </c>
      <c r="N332" s="39" t="str">
        <f>VLOOKUP(H332,'Purpose dict'!$A$1:$B$12,2,0)</f>
        <v>Errand/Supplies</v>
      </c>
    </row>
    <row r="333" hidden="1">
      <c r="A333" s="3" t="s">
        <v>480</v>
      </c>
      <c r="B333" s="34">
        <v>42484.90347222222</v>
      </c>
      <c r="C333" s="34">
        <v>42484.90972222222</v>
      </c>
      <c r="D333" s="35">
        <v>423.0</v>
      </c>
      <c r="E333" s="3" t="s">
        <v>62</v>
      </c>
      <c r="F333" s="3" t="s">
        <v>60</v>
      </c>
      <c r="G333" s="36">
        <v>4.2</v>
      </c>
      <c r="H333" s="35">
        <v>6.0</v>
      </c>
      <c r="I333" s="37">
        <v>0.9034722222222222</v>
      </c>
      <c r="J333" s="37">
        <v>0.9097222222222222</v>
      </c>
      <c r="K333" s="38">
        <f t="shared" si="5"/>
        <v>0.00625</v>
      </c>
      <c r="L333" s="39" t="str">
        <f t="shared" si="2"/>
        <v>Evening</v>
      </c>
      <c r="M333" s="39" t="str">
        <f t="array" ref="M333">XLOOKUP(D333,'Category dict'!$B$1:$B$4,'Category dict'!$A$1:$A$4,0,0,1)</f>
        <v>Business</v>
      </c>
      <c r="N333" s="39" t="str">
        <f>VLOOKUP(H333,'Purpose dict'!$A$1:$B$12,2,0)</f>
        <v>Between Offices</v>
      </c>
    </row>
    <row r="334" hidden="1">
      <c r="A334" s="3" t="s">
        <v>481</v>
      </c>
      <c r="B334" s="34">
        <v>42487.5625</v>
      </c>
      <c r="C334" s="34">
        <v>42487.569444444445</v>
      </c>
      <c r="D334" s="35">
        <v>423.0</v>
      </c>
      <c r="E334" s="3" t="s">
        <v>106</v>
      </c>
      <c r="F334" s="3" t="s">
        <v>482</v>
      </c>
      <c r="G334" s="36">
        <v>4.9</v>
      </c>
      <c r="H334" s="35">
        <v>6.0</v>
      </c>
      <c r="I334" s="37">
        <v>0.5625</v>
      </c>
      <c r="J334" s="37">
        <v>0.5694444444444444</v>
      </c>
      <c r="K334" s="38">
        <f t="shared" si="5"/>
        <v>0.006944444444</v>
      </c>
      <c r="L334" s="39" t="str">
        <f t="shared" si="2"/>
        <v>Day</v>
      </c>
      <c r="M334" s="39" t="str">
        <f t="array" ref="M334">XLOOKUP(D334,'Category dict'!$B$1:$B$4,'Category dict'!$A$1:$A$4,0,0,1)</f>
        <v>Business</v>
      </c>
      <c r="N334" s="39" t="str">
        <f>VLOOKUP(H334,'Purpose dict'!$A$1:$B$12,2,0)</f>
        <v>Between Offices</v>
      </c>
    </row>
    <row r="335" hidden="1">
      <c r="A335" s="3" t="s">
        <v>483</v>
      </c>
      <c r="B335" s="34">
        <v>42487.592361111114</v>
      </c>
      <c r="C335" s="34">
        <v>42487.600694444445</v>
      </c>
      <c r="D335" s="35">
        <v>423.0</v>
      </c>
      <c r="E335" s="3" t="s">
        <v>482</v>
      </c>
      <c r="F335" s="3" t="s">
        <v>106</v>
      </c>
      <c r="G335" s="36">
        <v>4.8</v>
      </c>
      <c r="H335" s="35">
        <v>6.0</v>
      </c>
      <c r="I335" s="37">
        <v>0.5923611111111111</v>
      </c>
      <c r="J335" s="37">
        <v>0.6006944444444444</v>
      </c>
      <c r="K335" s="38">
        <f t="shared" si="5"/>
        <v>0.008333333333</v>
      </c>
      <c r="L335" s="39" t="str">
        <f t="shared" si="2"/>
        <v>Day</v>
      </c>
      <c r="M335" s="39" t="str">
        <f t="array" ref="M335">XLOOKUP(D335,'Category dict'!$B$1:$B$4,'Category dict'!$A$1:$A$4,0,0,1)</f>
        <v>Business</v>
      </c>
      <c r="N335" s="39" t="str">
        <f>VLOOKUP(H335,'Purpose dict'!$A$1:$B$12,2,0)</f>
        <v>Between Offices</v>
      </c>
    </row>
    <row r="336" hidden="1">
      <c r="A336" s="3" t="s">
        <v>484</v>
      </c>
      <c r="B336" s="34">
        <v>42488.50625</v>
      </c>
      <c r="C336" s="34">
        <v>42488.52361111111</v>
      </c>
      <c r="D336" s="35">
        <v>423.0</v>
      </c>
      <c r="E336" s="3" t="s">
        <v>60</v>
      </c>
      <c r="F336" s="3" t="s">
        <v>111</v>
      </c>
      <c r="G336" s="36">
        <v>12.4</v>
      </c>
      <c r="H336" s="35">
        <v>4.0</v>
      </c>
      <c r="I336" s="37">
        <v>0.50625</v>
      </c>
      <c r="J336" s="37">
        <v>0.5236111111111111</v>
      </c>
      <c r="K336" s="38">
        <f t="shared" si="5"/>
        <v>0.01736111111</v>
      </c>
      <c r="L336" s="39" t="str">
        <f t="shared" si="2"/>
        <v>Day</v>
      </c>
      <c r="M336" s="39" t="str">
        <f t="array" ref="M336">XLOOKUP(D336,'Category dict'!$B$1:$B$4,'Category dict'!$A$1:$A$4,0,0,1)</f>
        <v>Business</v>
      </c>
      <c r="N336" s="39" t="str">
        <f>VLOOKUP(H336,'Purpose dict'!$A$1:$B$12,2,0)</f>
        <v>Customer Visit</v>
      </c>
    </row>
    <row r="337" hidden="1">
      <c r="A337" s="3" t="s">
        <v>485</v>
      </c>
      <c r="B337" s="34">
        <v>42488.5625</v>
      </c>
      <c r="C337" s="34">
        <v>42488.575694444444</v>
      </c>
      <c r="D337" s="35">
        <v>423.0</v>
      </c>
      <c r="E337" s="3" t="s">
        <v>111</v>
      </c>
      <c r="F337" s="3" t="s">
        <v>60</v>
      </c>
      <c r="G337" s="36">
        <v>32.8</v>
      </c>
      <c r="H337" s="35">
        <v>4.0</v>
      </c>
      <c r="I337" s="37">
        <v>0.5625</v>
      </c>
      <c r="J337" s="37">
        <v>0.5756944444444444</v>
      </c>
      <c r="K337" s="38">
        <f t="shared" si="5"/>
        <v>0.01319444444</v>
      </c>
      <c r="L337" s="39" t="str">
        <f t="shared" si="2"/>
        <v>Day</v>
      </c>
      <c r="M337" s="39" t="str">
        <f t="array" ref="M337">XLOOKUP(D337,'Category dict'!$B$1:$B$4,'Category dict'!$A$1:$A$4,0,0,1)</f>
        <v>Business</v>
      </c>
      <c r="N337" s="39" t="str">
        <f>VLOOKUP(H337,'Purpose dict'!$A$1:$B$12,2,0)</f>
        <v>Customer Visit</v>
      </c>
    </row>
    <row r="338" hidden="1">
      <c r="A338" s="3" t="s">
        <v>486</v>
      </c>
      <c r="B338" s="34">
        <v>42488.92361111111</v>
      </c>
      <c r="C338" s="34">
        <v>42488.936111111114</v>
      </c>
      <c r="D338" s="35">
        <v>423.0</v>
      </c>
      <c r="E338" s="3" t="s">
        <v>62</v>
      </c>
      <c r="F338" s="3" t="s">
        <v>60</v>
      </c>
      <c r="G338" s="36">
        <v>5.5</v>
      </c>
      <c r="H338" s="35">
        <v>4.0</v>
      </c>
      <c r="I338" s="37">
        <v>0.9236111111111112</v>
      </c>
      <c r="J338" s="37">
        <v>0.9361111111111111</v>
      </c>
      <c r="K338" s="38">
        <f t="shared" si="5"/>
        <v>0.0125</v>
      </c>
      <c r="L338" s="39" t="str">
        <f t="shared" si="2"/>
        <v>Evening</v>
      </c>
      <c r="M338" s="39" t="str">
        <f t="array" ref="M338">XLOOKUP(D338,'Category dict'!$B$1:$B$4,'Category dict'!$A$1:$A$4,0,0,1)</f>
        <v>Business</v>
      </c>
      <c r="N338" s="39" t="str">
        <f>VLOOKUP(H338,'Purpose dict'!$A$1:$B$12,2,0)</f>
        <v>Customer Visit</v>
      </c>
    </row>
    <row r="339" hidden="1">
      <c r="A339" s="3" t="s">
        <v>487</v>
      </c>
      <c r="B339" s="34">
        <v>42489.48888888889</v>
      </c>
      <c r="C339" s="34">
        <v>42489.50069444445</v>
      </c>
      <c r="D339" s="35">
        <v>423.0</v>
      </c>
      <c r="E339" s="3" t="s">
        <v>60</v>
      </c>
      <c r="F339" s="3" t="s">
        <v>101</v>
      </c>
      <c r="G339" s="36">
        <v>9.9</v>
      </c>
      <c r="H339" s="35">
        <v>3.0</v>
      </c>
      <c r="I339" s="37">
        <v>0.4888888888888889</v>
      </c>
      <c r="J339" s="37">
        <v>0.5006944444444444</v>
      </c>
      <c r="K339" s="38">
        <f t="shared" si="5"/>
        <v>0.01180555556</v>
      </c>
      <c r="L339" s="39" t="str">
        <f t="shared" si="2"/>
        <v>Morning</v>
      </c>
      <c r="M339" s="39" t="str">
        <f t="array" ref="M339">XLOOKUP(D339,'Category dict'!$B$1:$B$4,'Category dict'!$A$1:$A$4,0,0,1)</f>
        <v>Business</v>
      </c>
      <c r="N339" s="39" t="str">
        <f>VLOOKUP(H339,'Purpose dict'!$A$1:$B$12,2,0)</f>
        <v>Meeting</v>
      </c>
    </row>
    <row r="340" hidden="1">
      <c r="A340" s="3" t="s">
        <v>488</v>
      </c>
      <c r="B340" s="34">
        <v>42489.55069444444</v>
      </c>
      <c r="C340" s="34">
        <v>42489.56527777778</v>
      </c>
      <c r="D340" s="35">
        <v>423.0</v>
      </c>
      <c r="E340" s="3" t="s">
        <v>101</v>
      </c>
      <c r="F340" s="3" t="s">
        <v>60</v>
      </c>
      <c r="G340" s="36">
        <v>10.0</v>
      </c>
      <c r="H340" s="35">
        <v>3.0</v>
      </c>
      <c r="I340" s="37">
        <v>0.5506944444444445</v>
      </c>
      <c r="J340" s="37">
        <v>0.5652777777777778</v>
      </c>
      <c r="K340" s="38">
        <f t="shared" si="5"/>
        <v>0.01458333333</v>
      </c>
      <c r="L340" s="39" t="str">
        <f t="shared" si="2"/>
        <v>Day</v>
      </c>
      <c r="M340" s="39" t="str">
        <f t="array" ref="M340">XLOOKUP(D340,'Category dict'!$B$1:$B$4,'Category dict'!$A$1:$A$4,0,0,1)</f>
        <v>Business</v>
      </c>
      <c r="N340" s="39" t="str">
        <f>VLOOKUP(H340,'Purpose dict'!$A$1:$B$12,2,0)</f>
        <v>Meeting</v>
      </c>
    </row>
    <row r="341" hidden="1">
      <c r="A341" s="3" t="s">
        <v>489</v>
      </c>
      <c r="B341" s="34">
        <v>42489.78194444445</v>
      </c>
      <c r="C341" s="34">
        <v>42489.80416666667</v>
      </c>
      <c r="D341" s="35">
        <v>423.0</v>
      </c>
      <c r="E341" s="3" t="s">
        <v>60</v>
      </c>
      <c r="F341" s="3" t="s">
        <v>101</v>
      </c>
      <c r="G341" s="36">
        <v>14.2</v>
      </c>
      <c r="H341" s="35">
        <v>4.0</v>
      </c>
      <c r="I341" s="37">
        <v>0.7819444444444444</v>
      </c>
      <c r="J341" s="37">
        <v>0.8041666666666667</v>
      </c>
      <c r="K341" s="38">
        <f t="shared" si="5"/>
        <v>0.02222222222</v>
      </c>
      <c r="L341" s="39" t="str">
        <f t="shared" si="2"/>
        <v>Evening</v>
      </c>
      <c r="M341" s="39" t="str">
        <f t="array" ref="M341">XLOOKUP(D341,'Category dict'!$B$1:$B$4,'Category dict'!$A$1:$A$4,0,0,1)</f>
        <v>Business</v>
      </c>
      <c r="N341" s="39" t="str">
        <f>VLOOKUP(H341,'Purpose dict'!$A$1:$B$12,2,0)</f>
        <v>Customer Visit</v>
      </c>
    </row>
    <row r="342" hidden="1">
      <c r="A342" s="3" t="s">
        <v>490</v>
      </c>
      <c r="B342" s="34">
        <v>42489.947222222225</v>
      </c>
      <c r="C342" s="34">
        <v>42489.97152777778</v>
      </c>
      <c r="D342" s="35">
        <v>423.0</v>
      </c>
      <c r="E342" s="3" t="s">
        <v>101</v>
      </c>
      <c r="F342" s="3" t="s">
        <v>60</v>
      </c>
      <c r="G342" s="36">
        <v>18.2</v>
      </c>
      <c r="H342" s="35">
        <v>3.0</v>
      </c>
      <c r="I342" s="37">
        <v>0.9472222222222222</v>
      </c>
      <c r="J342" s="37">
        <v>0.9715277777777778</v>
      </c>
      <c r="K342" s="38">
        <f t="shared" si="5"/>
        <v>0.02430555556</v>
      </c>
      <c r="L342" s="39" t="str">
        <f t="shared" si="2"/>
        <v>Evening</v>
      </c>
      <c r="M342" s="39" t="str">
        <f t="array" ref="M342">XLOOKUP(D342,'Category dict'!$B$1:$B$4,'Category dict'!$A$1:$A$4,0,0,1)</f>
        <v>Business</v>
      </c>
      <c r="N342" s="39" t="str">
        <f>VLOOKUP(H342,'Purpose dict'!$A$1:$B$12,2,0)</f>
        <v>Meeting</v>
      </c>
    </row>
    <row r="343" hidden="1">
      <c r="A343" s="3" t="s">
        <v>491</v>
      </c>
      <c r="B343" s="34">
        <v>42490.77916666667</v>
      </c>
      <c r="C343" s="34">
        <v>42490.78958333333</v>
      </c>
      <c r="D343" s="35">
        <v>423.0</v>
      </c>
      <c r="E343" s="3" t="s">
        <v>106</v>
      </c>
      <c r="F343" s="3" t="s">
        <v>276</v>
      </c>
      <c r="G343" s="36">
        <v>7.7</v>
      </c>
      <c r="H343" s="35">
        <v>1.0</v>
      </c>
      <c r="I343" s="37">
        <v>0.7791666666666667</v>
      </c>
      <c r="J343" s="37">
        <v>0.7895833333333333</v>
      </c>
      <c r="K343" s="38">
        <f t="shared" si="5"/>
        <v>0.01041666667</v>
      </c>
      <c r="L343" s="39" t="str">
        <f t="shared" si="2"/>
        <v>Evening</v>
      </c>
      <c r="M343" s="39" t="str">
        <f t="array" ref="M343">XLOOKUP(D343,'Category dict'!$B$1:$B$4,'Category dict'!$A$1:$A$4,0,0,1)</f>
        <v>Business</v>
      </c>
      <c r="N343" s="39" t="str">
        <f>VLOOKUP(H343,'Purpose dict'!$A$1:$B$12,2,0)</f>
        <v>Meal/Entertain</v>
      </c>
    </row>
    <row r="344" hidden="1">
      <c r="A344" s="3" t="s">
        <v>492</v>
      </c>
      <c r="B344" s="34">
        <v>42490.927777777775</v>
      </c>
      <c r="C344" s="34">
        <v>42490.94027777778</v>
      </c>
      <c r="D344" s="35">
        <v>423.0</v>
      </c>
      <c r="E344" s="3" t="s">
        <v>276</v>
      </c>
      <c r="F344" s="3" t="s">
        <v>106</v>
      </c>
      <c r="G344" s="36">
        <v>6.8</v>
      </c>
      <c r="H344" s="35">
        <v>123.0</v>
      </c>
      <c r="I344" s="37">
        <v>0.9277777777777778</v>
      </c>
      <c r="J344" s="37">
        <v>0.9402777777777778</v>
      </c>
      <c r="K344" s="38">
        <f t="shared" si="5"/>
        <v>0.0125</v>
      </c>
      <c r="L344" s="39" t="str">
        <f t="shared" si="2"/>
        <v>Evening</v>
      </c>
      <c r="M344" s="39" t="str">
        <f t="array" ref="M344">XLOOKUP(D344,'Category dict'!$B$1:$B$4,'Category dict'!$A$1:$A$4,0,0,1)</f>
        <v>Business</v>
      </c>
      <c r="N344" s="39" t="str">
        <f>VLOOKUP(H344,'Purpose dict'!$A$1:$B$12,2,0)</f>
        <v>NOT DEFINED</v>
      </c>
    </row>
    <row r="345" hidden="1">
      <c r="A345" s="3" t="s">
        <v>493</v>
      </c>
      <c r="B345" s="34">
        <v>42491.572916666664</v>
      </c>
      <c r="C345" s="34">
        <v>42491.57847222222</v>
      </c>
      <c r="D345" s="35">
        <v>423.0</v>
      </c>
      <c r="E345" s="3" t="s">
        <v>106</v>
      </c>
      <c r="F345" s="3" t="s">
        <v>123</v>
      </c>
      <c r="G345" s="36">
        <v>2.1</v>
      </c>
      <c r="H345" s="35">
        <v>1.0</v>
      </c>
      <c r="I345" s="37">
        <v>0.5729166666666666</v>
      </c>
      <c r="J345" s="37">
        <v>0.5784722222222223</v>
      </c>
      <c r="K345" s="38">
        <f t="shared" si="5"/>
        <v>0.005555555556</v>
      </c>
      <c r="L345" s="39" t="str">
        <f t="shared" si="2"/>
        <v>Day</v>
      </c>
      <c r="M345" s="39" t="str">
        <f t="array" ref="M345">XLOOKUP(D345,'Category dict'!$B$1:$B$4,'Category dict'!$A$1:$A$4,0,0,1)</f>
        <v>Business</v>
      </c>
      <c r="N345" s="39" t="str">
        <f>VLOOKUP(H345,'Purpose dict'!$A$1:$B$12,2,0)</f>
        <v>Meal/Entertain</v>
      </c>
    </row>
    <row r="346" hidden="1">
      <c r="A346" s="3" t="s">
        <v>494</v>
      </c>
      <c r="B346" s="34">
        <v>42491.60138888889</v>
      </c>
      <c r="C346" s="34">
        <v>42491.60486111111</v>
      </c>
      <c r="D346" s="35">
        <v>423.0</v>
      </c>
      <c r="E346" s="3" t="s">
        <v>123</v>
      </c>
      <c r="F346" s="3" t="s">
        <v>106</v>
      </c>
      <c r="G346" s="36">
        <v>2.3</v>
      </c>
      <c r="H346" s="35">
        <v>123.0</v>
      </c>
      <c r="I346" s="37">
        <v>0.6013888888888889</v>
      </c>
      <c r="J346" s="37">
        <v>0.6048611111111111</v>
      </c>
      <c r="K346" s="38">
        <f t="shared" si="5"/>
        <v>0.003472222222</v>
      </c>
      <c r="L346" s="39" t="str">
        <f t="shared" si="2"/>
        <v>Day</v>
      </c>
      <c r="M346" s="39" t="str">
        <f t="array" ref="M346">XLOOKUP(D346,'Category dict'!$B$1:$B$4,'Category dict'!$A$1:$A$4,0,0,1)</f>
        <v>Business</v>
      </c>
      <c r="N346" s="39" t="str">
        <f>VLOOKUP(H346,'Purpose dict'!$A$1:$B$12,2,0)</f>
        <v>NOT DEFINED</v>
      </c>
    </row>
    <row r="347" hidden="1">
      <c r="A347" s="3" t="s">
        <v>495</v>
      </c>
      <c r="B347" s="34">
        <v>42491.73125</v>
      </c>
      <c r="C347" s="34">
        <v>42491.739583333336</v>
      </c>
      <c r="D347" s="35">
        <v>423.0</v>
      </c>
      <c r="E347" s="3" t="s">
        <v>106</v>
      </c>
      <c r="F347" s="3" t="s">
        <v>177</v>
      </c>
      <c r="G347" s="36">
        <v>6.2</v>
      </c>
      <c r="H347" s="35">
        <v>6.0</v>
      </c>
      <c r="I347" s="37">
        <v>0.73125</v>
      </c>
      <c r="J347" s="37">
        <v>0.7395833333333334</v>
      </c>
      <c r="K347" s="38">
        <f t="shared" si="5"/>
        <v>0.008333333333</v>
      </c>
      <c r="L347" s="39" t="str">
        <f t="shared" si="2"/>
        <v>Day</v>
      </c>
      <c r="M347" s="39" t="str">
        <f t="array" ref="M347">XLOOKUP(D347,'Category dict'!$B$1:$B$4,'Category dict'!$A$1:$A$4,0,0,1)</f>
        <v>Business</v>
      </c>
      <c r="N347" s="39" t="str">
        <f>VLOOKUP(H347,'Purpose dict'!$A$1:$B$12,2,0)</f>
        <v>Between Offices</v>
      </c>
    </row>
    <row r="348" hidden="1">
      <c r="A348" s="3" t="s">
        <v>496</v>
      </c>
      <c r="B348" s="34">
        <v>42491.745833333334</v>
      </c>
      <c r="C348" s="34">
        <v>42491.756944444445</v>
      </c>
      <c r="D348" s="35">
        <v>423.0</v>
      </c>
      <c r="E348" s="3" t="s">
        <v>177</v>
      </c>
      <c r="F348" s="3" t="s">
        <v>497</v>
      </c>
      <c r="G348" s="36">
        <v>7.5</v>
      </c>
      <c r="H348" s="35">
        <v>3.0</v>
      </c>
      <c r="I348" s="37">
        <v>0.7458333333333333</v>
      </c>
      <c r="J348" s="37">
        <v>0.7569444444444444</v>
      </c>
      <c r="K348" s="38">
        <f t="shared" si="5"/>
        <v>0.01111111111</v>
      </c>
      <c r="L348" s="39" t="str">
        <f t="shared" si="2"/>
        <v>Day</v>
      </c>
      <c r="M348" s="39" t="str">
        <f t="array" ref="M348">XLOOKUP(D348,'Category dict'!$B$1:$B$4,'Category dict'!$A$1:$A$4,0,0,1)</f>
        <v>Business</v>
      </c>
      <c r="N348" s="39" t="str">
        <f>VLOOKUP(H348,'Purpose dict'!$A$1:$B$12,2,0)</f>
        <v>Meeting</v>
      </c>
    </row>
    <row r="349" hidden="1">
      <c r="A349" s="3" t="s">
        <v>498</v>
      </c>
      <c r="B349" s="34">
        <v>42491.94305555556</v>
      </c>
      <c r="C349" s="34">
        <v>42491.950694444444</v>
      </c>
      <c r="D349" s="35">
        <v>423.0</v>
      </c>
      <c r="E349" s="3" t="s">
        <v>497</v>
      </c>
      <c r="F349" s="3" t="s">
        <v>106</v>
      </c>
      <c r="G349" s="36">
        <v>3.1</v>
      </c>
      <c r="H349" s="35">
        <v>2.0</v>
      </c>
      <c r="I349" s="37">
        <v>0.9430555555555555</v>
      </c>
      <c r="J349" s="37">
        <v>0.9506944444444444</v>
      </c>
      <c r="K349" s="38">
        <f t="shared" si="5"/>
        <v>0.007638888889</v>
      </c>
      <c r="L349" s="39" t="str">
        <f t="shared" si="2"/>
        <v>Evening</v>
      </c>
      <c r="M349" s="39" t="str">
        <f t="array" ref="M349">XLOOKUP(D349,'Category dict'!$B$1:$B$4,'Category dict'!$A$1:$A$4,0,0,1)</f>
        <v>Business</v>
      </c>
      <c r="N349" s="39" t="str">
        <f>VLOOKUP(H349,'Purpose dict'!$A$1:$B$12,2,0)</f>
        <v>Errand/Supplies</v>
      </c>
    </row>
    <row r="350" hidden="1">
      <c r="A350" s="3" t="s">
        <v>499</v>
      </c>
      <c r="B350" s="34">
        <v>42492.59305555555</v>
      </c>
      <c r="C350" s="34">
        <v>42492.597916666666</v>
      </c>
      <c r="D350" s="35">
        <v>423.0</v>
      </c>
      <c r="E350" s="3" t="s">
        <v>106</v>
      </c>
      <c r="F350" s="3" t="s">
        <v>123</v>
      </c>
      <c r="G350" s="36">
        <v>2.2</v>
      </c>
      <c r="H350" s="35">
        <v>2.0</v>
      </c>
      <c r="I350" s="37">
        <v>0.5930555555555556</v>
      </c>
      <c r="J350" s="37">
        <v>0.5979166666666667</v>
      </c>
      <c r="K350" s="38">
        <f t="shared" si="5"/>
        <v>0.004861111111</v>
      </c>
      <c r="L350" s="39" t="str">
        <f t="shared" si="2"/>
        <v>Day</v>
      </c>
      <c r="M350" s="39" t="str">
        <f t="array" ref="M350">XLOOKUP(D350,'Category dict'!$B$1:$B$4,'Category dict'!$A$1:$A$4,0,0,1)</f>
        <v>Business</v>
      </c>
      <c r="N350" s="39" t="str">
        <f>VLOOKUP(H350,'Purpose dict'!$A$1:$B$12,2,0)</f>
        <v>Errand/Supplies</v>
      </c>
    </row>
    <row r="351" hidden="1">
      <c r="A351" s="3" t="s">
        <v>500</v>
      </c>
      <c r="B351" s="34">
        <v>42492.65069444444</v>
      </c>
      <c r="C351" s="34">
        <v>42492.65833333333</v>
      </c>
      <c r="D351" s="35">
        <v>423.0</v>
      </c>
      <c r="E351" s="3" t="s">
        <v>123</v>
      </c>
      <c r="F351" s="3" t="s">
        <v>106</v>
      </c>
      <c r="G351" s="36">
        <v>3.9</v>
      </c>
      <c r="H351" s="35">
        <v>1.0</v>
      </c>
      <c r="I351" s="37">
        <v>0.6506944444444445</v>
      </c>
      <c r="J351" s="37">
        <v>0.6583333333333333</v>
      </c>
      <c r="K351" s="38">
        <f t="shared" si="5"/>
        <v>0.007638888889</v>
      </c>
      <c r="L351" s="39" t="str">
        <f t="shared" si="2"/>
        <v>Day</v>
      </c>
      <c r="M351" s="39" t="str">
        <f t="array" ref="M351">XLOOKUP(D351,'Category dict'!$B$1:$B$4,'Category dict'!$A$1:$A$4,0,0,1)</f>
        <v>Business</v>
      </c>
      <c r="N351" s="39" t="str">
        <f>VLOOKUP(H351,'Purpose dict'!$A$1:$B$12,2,0)</f>
        <v>Meal/Entertain</v>
      </c>
    </row>
    <row r="352" hidden="1">
      <c r="A352" s="3" t="s">
        <v>501</v>
      </c>
      <c r="B352" s="34">
        <v>42493.930555555555</v>
      </c>
      <c r="C352" s="34">
        <v>42493.936111111114</v>
      </c>
      <c r="D352" s="35">
        <v>423.0</v>
      </c>
      <c r="E352" s="3" t="s">
        <v>62</v>
      </c>
      <c r="F352" s="3" t="s">
        <v>60</v>
      </c>
      <c r="G352" s="36">
        <v>2.5</v>
      </c>
      <c r="H352" s="35">
        <v>1.0</v>
      </c>
      <c r="I352" s="37">
        <v>0.9305555555555556</v>
      </c>
      <c r="J352" s="37">
        <v>0.9361111111111111</v>
      </c>
      <c r="K352" s="38">
        <f t="shared" si="5"/>
        <v>0.005555555556</v>
      </c>
      <c r="L352" s="39" t="str">
        <f t="shared" si="2"/>
        <v>Evening</v>
      </c>
      <c r="M352" s="39" t="str">
        <f t="array" ref="M352">XLOOKUP(D352,'Category dict'!$B$1:$B$4,'Category dict'!$A$1:$A$4,0,0,1)</f>
        <v>Business</v>
      </c>
      <c r="N352" s="39" t="str">
        <f>VLOOKUP(H352,'Purpose dict'!$A$1:$B$12,2,0)</f>
        <v>Meal/Entertain</v>
      </c>
    </row>
    <row r="353" hidden="1">
      <c r="A353" s="3" t="s">
        <v>502</v>
      </c>
      <c r="B353" s="34">
        <v>42494.63611111111</v>
      </c>
      <c r="C353" s="34">
        <v>42494.65069444444</v>
      </c>
      <c r="D353" s="35">
        <v>423.0</v>
      </c>
      <c r="E353" s="3" t="s">
        <v>60</v>
      </c>
      <c r="F353" s="3" t="s">
        <v>62</v>
      </c>
      <c r="G353" s="36">
        <v>8.7</v>
      </c>
      <c r="H353" s="35">
        <v>1.0</v>
      </c>
      <c r="I353" s="37">
        <v>0.6361111111111111</v>
      </c>
      <c r="J353" s="37">
        <v>0.6506944444444445</v>
      </c>
      <c r="K353" s="38">
        <f t="shared" si="5"/>
        <v>0.01458333333</v>
      </c>
      <c r="L353" s="39" t="str">
        <f t="shared" si="2"/>
        <v>Day</v>
      </c>
      <c r="M353" s="39" t="str">
        <f t="array" ref="M353">XLOOKUP(D353,'Category dict'!$B$1:$B$4,'Category dict'!$A$1:$A$4,0,0,1)</f>
        <v>Business</v>
      </c>
      <c r="N353" s="39" t="str">
        <f>VLOOKUP(H353,'Purpose dict'!$A$1:$B$12,2,0)</f>
        <v>Meal/Entertain</v>
      </c>
    </row>
    <row r="354" hidden="1">
      <c r="A354" s="3" t="s">
        <v>503</v>
      </c>
      <c r="B354" s="34">
        <v>42494.87152777778</v>
      </c>
      <c r="C354" s="34">
        <v>42494.884722222225</v>
      </c>
      <c r="D354" s="35">
        <v>423.0</v>
      </c>
      <c r="E354" s="3" t="s">
        <v>504</v>
      </c>
      <c r="F354" s="3" t="s">
        <v>505</v>
      </c>
      <c r="G354" s="36">
        <v>14.5</v>
      </c>
      <c r="H354" s="35">
        <v>2.0</v>
      </c>
      <c r="I354" s="37">
        <v>0.8715277777777778</v>
      </c>
      <c r="J354" s="37">
        <v>0.8847222222222222</v>
      </c>
      <c r="K354" s="38">
        <f t="shared" si="5"/>
        <v>0.01319444444</v>
      </c>
      <c r="L354" s="39" t="str">
        <f t="shared" si="2"/>
        <v>Evening</v>
      </c>
      <c r="M354" s="39" t="str">
        <f t="array" ref="M354">XLOOKUP(D354,'Category dict'!$B$1:$B$4,'Category dict'!$A$1:$A$4,0,0,1)</f>
        <v>Business</v>
      </c>
      <c r="N354" s="39" t="str">
        <f>VLOOKUP(H354,'Purpose dict'!$A$1:$B$12,2,0)</f>
        <v>Errand/Supplies</v>
      </c>
    </row>
    <row r="355" hidden="1">
      <c r="A355" s="3" t="s">
        <v>506</v>
      </c>
      <c r="B355" s="34">
        <v>42494.895833333336</v>
      </c>
      <c r="C355" s="34">
        <v>42494.9</v>
      </c>
      <c r="D355" s="35">
        <v>423.0</v>
      </c>
      <c r="E355" s="3" t="s">
        <v>505</v>
      </c>
      <c r="F355" s="3" t="s">
        <v>507</v>
      </c>
      <c r="G355" s="36">
        <v>4.5</v>
      </c>
      <c r="H355" s="35">
        <v>1.0</v>
      </c>
      <c r="I355" s="37">
        <v>0.8958333333333334</v>
      </c>
      <c r="J355" s="37">
        <v>0.9</v>
      </c>
      <c r="K355" s="38">
        <f t="shared" si="5"/>
        <v>0.004166666667</v>
      </c>
      <c r="L355" s="39" t="str">
        <f t="shared" si="2"/>
        <v>Evening</v>
      </c>
      <c r="M355" s="39" t="str">
        <f t="array" ref="M355">XLOOKUP(D355,'Category dict'!$B$1:$B$4,'Category dict'!$A$1:$A$4,0,0,1)</f>
        <v>Business</v>
      </c>
      <c r="N355" s="39" t="str">
        <f>VLOOKUP(H355,'Purpose dict'!$A$1:$B$12,2,0)</f>
        <v>Meal/Entertain</v>
      </c>
    </row>
    <row r="356" hidden="1">
      <c r="A356" s="3" t="s">
        <v>508</v>
      </c>
      <c r="B356" s="34">
        <v>42494.92986111111</v>
      </c>
      <c r="C356" s="34">
        <v>42494.93541666667</v>
      </c>
      <c r="D356" s="35">
        <v>423.0</v>
      </c>
      <c r="E356" s="3" t="s">
        <v>507</v>
      </c>
      <c r="F356" s="3" t="s">
        <v>505</v>
      </c>
      <c r="G356" s="36">
        <v>5.0</v>
      </c>
      <c r="H356" s="35">
        <v>1.0</v>
      </c>
      <c r="I356" s="37">
        <v>0.9298611111111111</v>
      </c>
      <c r="J356" s="37">
        <v>0.9354166666666667</v>
      </c>
      <c r="K356" s="38">
        <f t="shared" si="5"/>
        <v>0.005555555556</v>
      </c>
      <c r="L356" s="39" t="str">
        <f t="shared" si="2"/>
        <v>Evening</v>
      </c>
      <c r="M356" s="39" t="str">
        <f t="array" ref="M356">XLOOKUP(D356,'Category dict'!$B$1:$B$4,'Category dict'!$A$1:$A$4,0,0,1)</f>
        <v>Business</v>
      </c>
      <c r="N356" s="39" t="str">
        <f>VLOOKUP(H356,'Purpose dict'!$A$1:$B$12,2,0)</f>
        <v>Meal/Entertain</v>
      </c>
    </row>
    <row r="357" hidden="1">
      <c r="A357" s="3" t="s">
        <v>509</v>
      </c>
      <c r="B357" s="34">
        <v>42495.89166666667</v>
      </c>
      <c r="C357" s="34">
        <v>42495.9</v>
      </c>
      <c r="D357" s="35">
        <v>423.0</v>
      </c>
      <c r="E357" s="3" t="s">
        <v>510</v>
      </c>
      <c r="F357" s="3" t="s">
        <v>511</v>
      </c>
      <c r="G357" s="36">
        <v>14.2</v>
      </c>
      <c r="H357" s="35">
        <v>1.0</v>
      </c>
      <c r="I357" s="37">
        <v>0.8916666666666667</v>
      </c>
      <c r="J357" s="37">
        <v>0.9</v>
      </c>
      <c r="K357" s="38">
        <f t="shared" si="5"/>
        <v>0.008333333333</v>
      </c>
      <c r="L357" s="39" t="str">
        <f t="shared" si="2"/>
        <v>Evening</v>
      </c>
      <c r="M357" s="39" t="str">
        <f t="array" ref="M357">XLOOKUP(D357,'Category dict'!$B$1:$B$4,'Category dict'!$A$1:$A$4,0,0,1)</f>
        <v>Business</v>
      </c>
      <c r="N357" s="39" t="str">
        <f>VLOOKUP(H357,'Purpose dict'!$A$1:$B$12,2,0)</f>
        <v>Meal/Entertain</v>
      </c>
    </row>
    <row r="358" hidden="1">
      <c r="A358" s="3" t="s">
        <v>512</v>
      </c>
      <c r="B358" s="34">
        <v>42495.94027777778</v>
      </c>
      <c r="C358" s="34">
        <v>42495.944444444445</v>
      </c>
      <c r="D358" s="35">
        <v>423.0</v>
      </c>
      <c r="E358" s="3" t="s">
        <v>511</v>
      </c>
      <c r="F358" s="3" t="s">
        <v>513</v>
      </c>
      <c r="G358" s="36">
        <v>2.9</v>
      </c>
      <c r="H358" s="35">
        <v>2.0</v>
      </c>
      <c r="I358" s="37">
        <v>0.9402777777777778</v>
      </c>
      <c r="J358" s="37">
        <v>0.9444444444444444</v>
      </c>
      <c r="K358" s="38">
        <f t="shared" si="5"/>
        <v>0.004166666667</v>
      </c>
      <c r="L358" s="39" t="str">
        <f t="shared" si="2"/>
        <v>Evening</v>
      </c>
      <c r="M358" s="39" t="str">
        <f t="array" ref="M358">XLOOKUP(D358,'Category dict'!$B$1:$B$4,'Category dict'!$A$1:$A$4,0,0,1)</f>
        <v>Business</v>
      </c>
      <c r="N358" s="39" t="str">
        <f>VLOOKUP(H358,'Purpose dict'!$A$1:$B$12,2,0)</f>
        <v>Errand/Supplies</v>
      </c>
    </row>
    <row r="359" hidden="1">
      <c r="A359" s="3" t="s">
        <v>514</v>
      </c>
      <c r="B359" s="34">
        <v>42495.99652777778</v>
      </c>
      <c r="C359" s="34">
        <v>42496.00555555556</v>
      </c>
      <c r="D359" s="35">
        <v>423.0</v>
      </c>
      <c r="E359" s="3" t="s">
        <v>513</v>
      </c>
      <c r="F359" s="3" t="s">
        <v>510</v>
      </c>
      <c r="G359" s="36">
        <v>12.9</v>
      </c>
      <c r="H359" s="35">
        <v>3.0</v>
      </c>
      <c r="I359" s="37">
        <v>0.9965277777777778</v>
      </c>
      <c r="J359" s="37">
        <v>0.005555555555555556</v>
      </c>
      <c r="K359" s="41">
        <f>C359-B359</f>
        <v>0.009027777778</v>
      </c>
      <c r="L359" s="39" t="str">
        <f t="shared" si="2"/>
        <v>Evening</v>
      </c>
      <c r="M359" s="39" t="str">
        <f t="array" ref="M359">XLOOKUP(D359,'Category dict'!$B$1:$B$4,'Category dict'!$A$1:$A$4,0,0,1)</f>
        <v>Business</v>
      </c>
      <c r="N359" s="39" t="str">
        <f>VLOOKUP(H359,'Purpose dict'!$A$1:$B$12,2,0)</f>
        <v>Meeting</v>
      </c>
    </row>
    <row r="360" hidden="1">
      <c r="A360" s="3" t="s">
        <v>515</v>
      </c>
      <c r="B360" s="34">
        <v>42496.24097222222</v>
      </c>
      <c r="C360" s="34">
        <v>42496.251388888886</v>
      </c>
      <c r="D360" s="35">
        <v>423.0</v>
      </c>
      <c r="E360" s="3" t="s">
        <v>505</v>
      </c>
      <c r="F360" s="3" t="s">
        <v>504</v>
      </c>
      <c r="G360" s="36">
        <v>14.4</v>
      </c>
      <c r="H360" s="35">
        <v>3.0</v>
      </c>
      <c r="I360" s="37">
        <v>0.24097222222222223</v>
      </c>
      <c r="J360" s="37">
        <v>0.2513888888888889</v>
      </c>
      <c r="K360" s="38">
        <f t="shared" ref="K360:K407" si="6">J360-I360</f>
        <v>0.01041666667</v>
      </c>
      <c r="L360" s="39" t="str">
        <f t="shared" si="2"/>
        <v>Night</v>
      </c>
      <c r="M360" s="39" t="str">
        <f t="array" ref="M360">XLOOKUP(D360,'Category dict'!$B$1:$B$4,'Category dict'!$A$1:$A$4,0,0,1)</f>
        <v>Business</v>
      </c>
      <c r="N360" s="39" t="str">
        <f>VLOOKUP(H360,'Purpose dict'!$A$1:$B$12,2,0)</f>
        <v>Meeting</v>
      </c>
    </row>
    <row r="361" hidden="1">
      <c r="A361" s="3" t="s">
        <v>516</v>
      </c>
      <c r="B361" s="34">
        <v>42496.697916666664</v>
      </c>
      <c r="C361" s="34">
        <v>42496.70763888889</v>
      </c>
      <c r="D361" s="35">
        <v>423.0</v>
      </c>
      <c r="E361" s="3" t="s">
        <v>147</v>
      </c>
      <c r="F361" s="3" t="s">
        <v>62</v>
      </c>
      <c r="G361" s="36">
        <v>17.0</v>
      </c>
      <c r="H361" s="35">
        <v>3.0</v>
      </c>
      <c r="I361" s="37">
        <v>0.6979166666666666</v>
      </c>
      <c r="J361" s="37">
        <v>0.7076388888888889</v>
      </c>
      <c r="K361" s="38">
        <f t="shared" si="6"/>
        <v>0.009722222222</v>
      </c>
      <c r="L361" s="39" t="str">
        <f t="shared" si="2"/>
        <v>Day</v>
      </c>
      <c r="M361" s="39" t="str">
        <f t="array" ref="M361">XLOOKUP(D361,'Category dict'!$B$1:$B$4,'Category dict'!$A$1:$A$4,0,0,1)</f>
        <v>Business</v>
      </c>
      <c r="N361" s="39" t="str">
        <f>VLOOKUP(H361,'Purpose dict'!$A$1:$B$12,2,0)</f>
        <v>Meeting</v>
      </c>
    </row>
    <row r="362" hidden="1">
      <c r="A362" s="3" t="s">
        <v>517</v>
      </c>
      <c r="B362" s="34">
        <v>42496.72083333333</v>
      </c>
      <c r="C362" s="34">
        <v>42496.73888888889</v>
      </c>
      <c r="D362" s="35">
        <v>423.0</v>
      </c>
      <c r="E362" s="3" t="s">
        <v>62</v>
      </c>
      <c r="F362" s="3" t="s">
        <v>60</v>
      </c>
      <c r="G362" s="36">
        <v>7.9</v>
      </c>
      <c r="H362" s="35">
        <v>4.0</v>
      </c>
      <c r="I362" s="37">
        <v>0.7208333333333333</v>
      </c>
      <c r="J362" s="37">
        <v>0.7388888888888889</v>
      </c>
      <c r="K362" s="38">
        <f t="shared" si="6"/>
        <v>0.01805555556</v>
      </c>
      <c r="L362" s="39" t="str">
        <f t="shared" si="2"/>
        <v>Day</v>
      </c>
      <c r="M362" s="39" t="str">
        <f t="array" ref="M362">XLOOKUP(D362,'Category dict'!$B$1:$B$4,'Category dict'!$A$1:$A$4,0,0,1)</f>
        <v>Business</v>
      </c>
      <c r="N362" s="39" t="str">
        <f>VLOOKUP(H362,'Purpose dict'!$A$1:$B$12,2,0)</f>
        <v>Customer Visit</v>
      </c>
    </row>
    <row r="363" hidden="1">
      <c r="A363" s="3" t="s">
        <v>518</v>
      </c>
      <c r="B363" s="34">
        <v>42499.25555555556</v>
      </c>
      <c r="C363" s="34">
        <v>42499.26736111111</v>
      </c>
      <c r="D363" s="35">
        <v>423.0</v>
      </c>
      <c r="E363" s="3" t="s">
        <v>60</v>
      </c>
      <c r="F363" s="3" t="s">
        <v>62</v>
      </c>
      <c r="G363" s="36">
        <v>8.4</v>
      </c>
      <c r="H363" s="35">
        <v>4.0</v>
      </c>
      <c r="I363" s="37">
        <v>0.25555555555555554</v>
      </c>
      <c r="J363" s="37">
        <v>0.2673611111111111</v>
      </c>
      <c r="K363" s="38">
        <f t="shared" si="6"/>
        <v>0.01180555556</v>
      </c>
      <c r="L363" s="39" t="str">
        <f t="shared" si="2"/>
        <v>Morning</v>
      </c>
      <c r="M363" s="39" t="str">
        <f t="array" ref="M363">XLOOKUP(D363,'Category dict'!$B$1:$B$4,'Category dict'!$A$1:$A$4,0,0,1)</f>
        <v>Business</v>
      </c>
      <c r="N363" s="39" t="str">
        <f>VLOOKUP(H363,'Purpose dict'!$A$1:$B$12,2,0)</f>
        <v>Customer Visit</v>
      </c>
    </row>
    <row r="364" hidden="1">
      <c r="A364" s="3" t="s">
        <v>519</v>
      </c>
      <c r="B364" s="34">
        <v>42499.61041666667</v>
      </c>
      <c r="C364" s="34">
        <v>42499.629166666666</v>
      </c>
      <c r="D364" s="35">
        <v>423.0</v>
      </c>
      <c r="E364" s="3" t="s">
        <v>520</v>
      </c>
      <c r="F364" s="3" t="s">
        <v>521</v>
      </c>
      <c r="G364" s="36">
        <v>20.5</v>
      </c>
      <c r="H364" s="35">
        <v>6.0</v>
      </c>
      <c r="I364" s="37">
        <v>0.6104166666666667</v>
      </c>
      <c r="J364" s="37">
        <v>0.6291666666666667</v>
      </c>
      <c r="K364" s="38">
        <f t="shared" si="6"/>
        <v>0.01875</v>
      </c>
      <c r="L364" s="39" t="str">
        <f t="shared" si="2"/>
        <v>Day</v>
      </c>
      <c r="M364" s="39" t="str">
        <f t="array" ref="M364">XLOOKUP(D364,'Category dict'!$B$1:$B$4,'Category dict'!$A$1:$A$4,0,0,1)</f>
        <v>Business</v>
      </c>
      <c r="N364" s="39" t="str">
        <f>VLOOKUP(H364,'Purpose dict'!$A$1:$B$12,2,0)</f>
        <v>Between Offices</v>
      </c>
    </row>
    <row r="365" hidden="1">
      <c r="A365" s="3" t="s">
        <v>522</v>
      </c>
      <c r="B365" s="34">
        <v>42499.748611111114</v>
      </c>
      <c r="C365" s="34">
        <v>42499.768055555556</v>
      </c>
      <c r="D365" s="35">
        <v>423.0</v>
      </c>
      <c r="E365" s="3" t="s">
        <v>521</v>
      </c>
      <c r="F365" s="3" t="s">
        <v>523</v>
      </c>
      <c r="G365" s="36">
        <v>9.8</v>
      </c>
      <c r="H365" s="35">
        <v>4.0</v>
      </c>
      <c r="I365" s="37">
        <v>0.7486111111111111</v>
      </c>
      <c r="J365" s="37">
        <v>0.7680555555555556</v>
      </c>
      <c r="K365" s="38">
        <f t="shared" si="6"/>
        <v>0.01944444444</v>
      </c>
      <c r="L365" s="39" t="str">
        <f t="shared" si="2"/>
        <v>Day</v>
      </c>
      <c r="M365" s="39" t="str">
        <f t="array" ref="M365">XLOOKUP(D365,'Category dict'!$B$1:$B$4,'Category dict'!$A$1:$A$4,0,0,1)</f>
        <v>Business</v>
      </c>
      <c r="N365" s="39" t="str">
        <f>VLOOKUP(H365,'Purpose dict'!$A$1:$B$12,2,0)</f>
        <v>Customer Visit</v>
      </c>
    </row>
    <row r="366" hidden="1">
      <c r="A366" s="3" t="s">
        <v>524</v>
      </c>
      <c r="B366" s="34">
        <v>42499.81597222222</v>
      </c>
      <c r="C366" s="34">
        <v>42499.83263888889</v>
      </c>
      <c r="D366" s="35">
        <v>423.0</v>
      </c>
      <c r="E366" s="3" t="s">
        <v>523</v>
      </c>
      <c r="F366" s="3" t="s">
        <v>525</v>
      </c>
      <c r="G366" s="36">
        <v>17.6</v>
      </c>
      <c r="H366" s="35">
        <v>4.0</v>
      </c>
      <c r="I366" s="37">
        <v>0.8159722222222222</v>
      </c>
      <c r="J366" s="37">
        <v>0.8326388888888889</v>
      </c>
      <c r="K366" s="38">
        <f t="shared" si="6"/>
        <v>0.01666666667</v>
      </c>
      <c r="L366" s="39" t="str">
        <f t="shared" si="2"/>
        <v>Evening</v>
      </c>
      <c r="M366" s="39" t="str">
        <f t="array" ref="M366">XLOOKUP(D366,'Category dict'!$B$1:$B$4,'Category dict'!$A$1:$A$4,0,0,1)</f>
        <v>Business</v>
      </c>
      <c r="N366" s="39" t="str">
        <f>VLOOKUP(H366,'Purpose dict'!$A$1:$B$12,2,0)</f>
        <v>Customer Visit</v>
      </c>
    </row>
    <row r="367" hidden="1">
      <c r="A367" s="3" t="s">
        <v>526</v>
      </c>
      <c r="B367" s="34">
        <v>42500.37708333333</v>
      </c>
      <c r="C367" s="34">
        <v>42500.38888888889</v>
      </c>
      <c r="D367" s="35">
        <v>423.0</v>
      </c>
      <c r="E367" s="3" t="s">
        <v>525</v>
      </c>
      <c r="F367" s="3" t="s">
        <v>527</v>
      </c>
      <c r="G367" s="36">
        <v>9.3</v>
      </c>
      <c r="H367" s="35">
        <v>4.0</v>
      </c>
      <c r="I367" s="37">
        <v>0.3770833333333333</v>
      </c>
      <c r="J367" s="37">
        <v>0.3888888888888889</v>
      </c>
      <c r="K367" s="38">
        <f t="shared" si="6"/>
        <v>0.01180555556</v>
      </c>
      <c r="L367" s="39" t="str">
        <f t="shared" si="2"/>
        <v>Morning</v>
      </c>
      <c r="M367" s="39" t="str">
        <f t="array" ref="M367">XLOOKUP(D367,'Category dict'!$B$1:$B$4,'Category dict'!$A$1:$A$4,0,0,1)</f>
        <v>Business</v>
      </c>
      <c r="N367" s="39" t="str">
        <f>VLOOKUP(H367,'Purpose dict'!$A$1:$B$12,2,0)</f>
        <v>Customer Visit</v>
      </c>
    </row>
    <row r="368" hidden="1">
      <c r="A368" s="3" t="s">
        <v>528</v>
      </c>
      <c r="B368" s="34">
        <v>42500.72152777778</v>
      </c>
      <c r="C368" s="34">
        <v>42500.72986111111</v>
      </c>
      <c r="D368" s="35">
        <v>423.0</v>
      </c>
      <c r="E368" s="3" t="s">
        <v>527</v>
      </c>
      <c r="F368" s="3" t="s">
        <v>525</v>
      </c>
      <c r="G368" s="36">
        <v>7.9</v>
      </c>
      <c r="H368" s="35">
        <v>4.0</v>
      </c>
      <c r="I368" s="37">
        <v>0.7215277777777778</v>
      </c>
      <c r="J368" s="37">
        <v>0.7298611111111111</v>
      </c>
      <c r="K368" s="38">
        <f t="shared" si="6"/>
        <v>0.008333333333</v>
      </c>
      <c r="L368" s="39" t="str">
        <f t="shared" si="2"/>
        <v>Day</v>
      </c>
      <c r="M368" s="39" t="str">
        <f t="array" ref="M368">XLOOKUP(D368,'Category dict'!$B$1:$B$4,'Category dict'!$A$1:$A$4,0,0,1)</f>
        <v>Business</v>
      </c>
      <c r="N368" s="39" t="str">
        <f>VLOOKUP(H368,'Purpose dict'!$A$1:$B$12,2,0)</f>
        <v>Customer Visit</v>
      </c>
    </row>
    <row r="369" hidden="1">
      <c r="A369" s="3" t="s">
        <v>529</v>
      </c>
      <c r="B369" s="34">
        <v>42501.35763888889</v>
      </c>
      <c r="C369" s="34">
        <v>42501.38333333333</v>
      </c>
      <c r="D369" s="35">
        <v>423.0</v>
      </c>
      <c r="E369" s="3" t="s">
        <v>525</v>
      </c>
      <c r="F369" s="3" t="s">
        <v>520</v>
      </c>
      <c r="G369" s="36">
        <v>25.6</v>
      </c>
      <c r="H369" s="35">
        <v>3.0</v>
      </c>
      <c r="I369" s="37">
        <v>0.3576388888888889</v>
      </c>
      <c r="J369" s="37">
        <v>0.38333333333333336</v>
      </c>
      <c r="K369" s="38">
        <f t="shared" si="6"/>
        <v>0.02569444444</v>
      </c>
      <c r="L369" s="39" t="str">
        <f t="shared" si="2"/>
        <v>Morning</v>
      </c>
      <c r="M369" s="39" t="str">
        <f t="array" ref="M369">XLOOKUP(D369,'Category dict'!$B$1:$B$4,'Category dict'!$A$1:$A$4,0,0,1)</f>
        <v>Business</v>
      </c>
      <c r="N369" s="39" t="str">
        <f>VLOOKUP(H369,'Purpose dict'!$A$1:$B$12,2,0)</f>
        <v>Meeting</v>
      </c>
    </row>
    <row r="370" hidden="1">
      <c r="A370" s="3" t="s">
        <v>530</v>
      </c>
      <c r="B370" s="34">
        <v>42501.907638888886</v>
      </c>
      <c r="C370" s="34">
        <v>42501.919444444444</v>
      </c>
      <c r="D370" s="35">
        <v>423.0</v>
      </c>
      <c r="E370" s="3" t="s">
        <v>62</v>
      </c>
      <c r="F370" s="3" t="s">
        <v>60</v>
      </c>
      <c r="G370" s="36">
        <v>8.1</v>
      </c>
      <c r="H370" s="35">
        <v>3.0</v>
      </c>
      <c r="I370" s="37">
        <v>0.9076388888888889</v>
      </c>
      <c r="J370" s="37">
        <v>0.9194444444444444</v>
      </c>
      <c r="K370" s="38">
        <f t="shared" si="6"/>
        <v>0.01180555556</v>
      </c>
      <c r="L370" s="39" t="str">
        <f t="shared" si="2"/>
        <v>Evening</v>
      </c>
      <c r="M370" s="39" t="str">
        <f t="array" ref="M370">XLOOKUP(D370,'Category dict'!$B$1:$B$4,'Category dict'!$A$1:$A$4,0,0,1)</f>
        <v>Business</v>
      </c>
      <c r="N370" s="39" t="str">
        <f>VLOOKUP(H370,'Purpose dict'!$A$1:$B$12,2,0)</f>
        <v>Meeting</v>
      </c>
    </row>
    <row r="371" hidden="1">
      <c r="A371" s="3" t="s">
        <v>531</v>
      </c>
      <c r="B371" s="34">
        <v>42504.774305555555</v>
      </c>
      <c r="C371" s="34">
        <v>42504.777083333334</v>
      </c>
      <c r="D371" s="35">
        <v>423.0</v>
      </c>
      <c r="E371" s="3" t="s">
        <v>60</v>
      </c>
      <c r="F371" s="3" t="s">
        <v>62</v>
      </c>
      <c r="G371" s="36">
        <v>3.1</v>
      </c>
      <c r="H371" s="35">
        <v>1.0</v>
      </c>
      <c r="I371" s="37">
        <v>0.7743055555555556</v>
      </c>
      <c r="J371" s="37">
        <v>0.7770833333333333</v>
      </c>
      <c r="K371" s="38">
        <f t="shared" si="6"/>
        <v>0.002777777778</v>
      </c>
      <c r="L371" s="39" t="str">
        <f t="shared" si="2"/>
        <v>Evening</v>
      </c>
      <c r="M371" s="39" t="str">
        <f t="array" ref="M371">XLOOKUP(D371,'Category dict'!$B$1:$B$4,'Category dict'!$A$1:$A$4,0,0,1)</f>
        <v>Business</v>
      </c>
      <c r="N371" s="39" t="str">
        <f>VLOOKUP(H371,'Purpose dict'!$A$1:$B$12,2,0)</f>
        <v>Meal/Entertain</v>
      </c>
    </row>
    <row r="372" hidden="1">
      <c r="A372" s="3" t="s">
        <v>532</v>
      </c>
      <c r="B372" s="34">
        <v>42504.959027777775</v>
      </c>
      <c r="C372" s="34">
        <v>42504.961805555555</v>
      </c>
      <c r="D372" s="35">
        <v>423.0</v>
      </c>
      <c r="E372" s="3" t="s">
        <v>62</v>
      </c>
      <c r="F372" s="3" t="s">
        <v>60</v>
      </c>
      <c r="G372" s="36">
        <v>3.1</v>
      </c>
      <c r="H372" s="35">
        <v>1.0</v>
      </c>
      <c r="I372" s="37">
        <v>0.9590277777777778</v>
      </c>
      <c r="J372" s="37">
        <v>0.9618055555555556</v>
      </c>
      <c r="K372" s="38">
        <f t="shared" si="6"/>
        <v>0.002777777778</v>
      </c>
      <c r="L372" s="39" t="str">
        <f t="shared" si="2"/>
        <v>Evening</v>
      </c>
      <c r="M372" s="39" t="str">
        <f t="array" ref="M372">XLOOKUP(D372,'Category dict'!$B$1:$B$4,'Category dict'!$A$1:$A$4,0,0,1)</f>
        <v>Business</v>
      </c>
      <c r="N372" s="39" t="str">
        <f>VLOOKUP(H372,'Purpose dict'!$A$1:$B$12,2,0)</f>
        <v>Meal/Entertain</v>
      </c>
    </row>
    <row r="373" hidden="1">
      <c r="A373" s="3" t="s">
        <v>533</v>
      </c>
      <c r="B373" s="34">
        <v>42507.552083333336</v>
      </c>
      <c r="C373" s="34">
        <v>42507.55763888889</v>
      </c>
      <c r="D373" s="35">
        <v>423.0</v>
      </c>
      <c r="E373" s="3" t="s">
        <v>106</v>
      </c>
      <c r="F373" s="3" t="s">
        <v>179</v>
      </c>
      <c r="G373" s="36">
        <v>2.8</v>
      </c>
      <c r="H373" s="35">
        <v>2.0</v>
      </c>
      <c r="I373" s="37">
        <v>0.5520833333333334</v>
      </c>
      <c r="J373" s="37">
        <v>0.5576388888888889</v>
      </c>
      <c r="K373" s="38">
        <f t="shared" si="6"/>
        <v>0.005555555556</v>
      </c>
      <c r="L373" s="39" t="str">
        <f t="shared" si="2"/>
        <v>Day</v>
      </c>
      <c r="M373" s="39" t="str">
        <f t="array" ref="M373">XLOOKUP(D373,'Category dict'!$B$1:$B$4,'Category dict'!$A$1:$A$4,0,0,1)</f>
        <v>Business</v>
      </c>
      <c r="N373" s="39" t="str">
        <f>VLOOKUP(H373,'Purpose dict'!$A$1:$B$12,2,0)</f>
        <v>Errand/Supplies</v>
      </c>
    </row>
    <row r="374" hidden="1">
      <c r="A374" s="3" t="s">
        <v>534</v>
      </c>
      <c r="B374" s="34">
        <v>42507.580555555556</v>
      </c>
      <c r="C374" s="34">
        <v>42507.58888888889</v>
      </c>
      <c r="D374" s="35">
        <v>423.0</v>
      </c>
      <c r="E374" s="3" t="s">
        <v>179</v>
      </c>
      <c r="F374" s="3" t="s">
        <v>123</v>
      </c>
      <c r="G374" s="36">
        <v>2.7</v>
      </c>
      <c r="H374" s="35">
        <v>2.0</v>
      </c>
      <c r="I374" s="37">
        <v>0.5805555555555556</v>
      </c>
      <c r="J374" s="37">
        <v>0.5888888888888889</v>
      </c>
      <c r="K374" s="38">
        <f t="shared" si="6"/>
        <v>0.008333333333</v>
      </c>
      <c r="L374" s="39" t="str">
        <f t="shared" si="2"/>
        <v>Day</v>
      </c>
      <c r="M374" s="39" t="str">
        <f t="array" ref="M374">XLOOKUP(D374,'Category dict'!$B$1:$B$4,'Category dict'!$A$1:$A$4,0,0,1)</f>
        <v>Business</v>
      </c>
      <c r="N374" s="39" t="str">
        <f>VLOOKUP(H374,'Purpose dict'!$A$1:$B$12,2,0)</f>
        <v>Errand/Supplies</v>
      </c>
    </row>
    <row r="375" hidden="1">
      <c r="A375" s="3" t="s">
        <v>535</v>
      </c>
      <c r="B375" s="34">
        <v>42507.606944444444</v>
      </c>
      <c r="C375" s="34">
        <v>42507.61111111111</v>
      </c>
      <c r="D375" s="35">
        <v>423.0</v>
      </c>
      <c r="E375" s="3" t="s">
        <v>123</v>
      </c>
      <c r="F375" s="3" t="s">
        <v>106</v>
      </c>
      <c r="G375" s="36">
        <v>1.9</v>
      </c>
      <c r="H375" s="35">
        <v>2.0</v>
      </c>
      <c r="I375" s="37">
        <v>0.6069444444444444</v>
      </c>
      <c r="J375" s="37">
        <v>0.6111111111111112</v>
      </c>
      <c r="K375" s="38">
        <f t="shared" si="6"/>
        <v>0.004166666667</v>
      </c>
      <c r="L375" s="39" t="str">
        <f t="shared" si="2"/>
        <v>Day</v>
      </c>
      <c r="M375" s="39" t="str">
        <f t="array" ref="M375">XLOOKUP(D375,'Category dict'!$B$1:$B$4,'Category dict'!$A$1:$A$4,0,0,1)</f>
        <v>Business</v>
      </c>
      <c r="N375" s="39" t="str">
        <f>VLOOKUP(H375,'Purpose dict'!$A$1:$B$12,2,0)</f>
        <v>Errand/Supplies</v>
      </c>
    </row>
    <row r="376" hidden="1">
      <c r="A376" s="3" t="s">
        <v>536</v>
      </c>
      <c r="B376" s="34">
        <v>42508.38263888889</v>
      </c>
      <c r="C376" s="34">
        <v>42508.40347222222</v>
      </c>
      <c r="D376" s="35">
        <v>423.0</v>
      </c>
      <c r="E376" s="3" t="s">
        <v>60</v>
      </c>
      <c r="F376" s="3" t="s">
        <v>62</v>
      </c>
      <c r="G376" s="36">
        <v>8.4</v>
      </c>
      <c r="H376" s="35">
        <v>4.0</v>
      </c>
      <c r="I376" s="37">
        <v>0.38263888888888886</v>
      </c>
      <c r="J376" s="37">
        <v>0.40347222222222223</v>
      </c>
      <c r="K376" s="38">
        <f t="shared" si="6"/>
        <v>0.02083333333</v>
      </c>
      <c r="L376" s="39" t="str">
        <f t="shared" si="2"/>
        <v>Morning</v>
      </c>
      <c r="M376" s="39" t="str">
        <f t="array" ref="M376">XLOOKUP(D376,'Category dict'!$B$1:$B$4,'Category dict'!$A$1:$A$4,0,0,1)</f>
        <v>Business</v>
      </c>
      <c r="N376" s="39" t="str">
        <f>VLOOKUP(H376,'Purpose dict'!$A$1:$B$12,2,0)</f>
        <v>Customer Visit</v>
      </c>
    </row>
    <row r="377" hidden="1">
      <c r="A377" s="3" t="s">
        <v>537</v>
      </c>
      <c r="B377" s="34">
        <v>42508.541666666664</v>
      </c>
      <c r="C377" s="34">
        <v>42508.54305555556</v>
      </c>
      <c r="D377" s="35">
        <v>423.0</v>
      </c>
      <c r="E377" s="3" t="s">
        <v>62</v>
      </c>
      <c r="F377" s="3" t="s">
        <v>111</v>
      </c>
      <c r="G377" s="36">
        <v>7.6</v>
      </c>
      <c r="H377" s="35">
        <v>4.0</v>
      </c>
      <c r="I377" s="37">
        <v>0.5416666666666666</v>
      </c>
      <c r="J377" s="37">
        <v>0.5430555555555555</v>
      </c>
      <c r="K377" s="38">
        <f t="shared" si="6"/>
        <v>0.001388888889</v>
      </c>
      <c r="L377" s="39" t="str">
        <f t="shared" si="2"/>
        <v>Day</v>
      </c>
      <c r="M377" s="39" t="str">
        <f t="array" ref="M377">XLOOKUP(D377,'Category dict'!$B$1:$B$4,'Category dict'!$A$1:$A$4,0,0,1)</f>
        <v>Business</v>
      </c>
      <c r="N377" s="39" t="str">
        <f>VLOOKUP(H377,'Purpose dict'!$A$1:$B$12,2,0)</f>
        <v>Customer Visit</v>
      </c>
    </row>
    <row r="378" hidden="1">
      <c r="A378" s="3" t="s">
        <v>538</v>
      </c>
      <c r="B378" s="34">
        <v>42509.60902777778</v>
      </c>
      <c r="C378" s="34">
        <v>42509.62569444445</v>
      </c>
      <c r="D378" s="35">
        <v>423.0</v>
      </c>
      <c r="E378" s="3" t="s">
        <v>539</v>
      </c>
      <c r="F378" s="3" t="s">
        <v>540</v>
      </c>
      <c r="G378" s="36">
        <v>2.9</v>
      </c>
      <c r="H378" s="35">
        <v>1.0</v>
      </c>
      <c r="I378" s="37">
        <v>0.6090277777777777</v>
      </c>
      <c r="J378" s="37">
        <v>0.6256944444444444</v>
      </c>
      <c r="K378" s="38">
        <f t="shared" si="6"/>
        <v>0.01666666667</v>
      </c>
      <c r="L378" s="39" t="str">
        <f t="shared" si="2"/>
        <v>Day</v>
      </c>
      <c r="M378" s="39" t="str">
        <f t="array" ref="M378">XLOOKUP(D378,'Category dict'!$B$1:$B$4,'Category dict'!$A$1:$A$4,0,0,1)</f>
        <v>Business</v>
      </c>
      <c r="N378" s="39" t="str">
        <f>VLOOKUP(H378,'Purpose dict'!$A$1:$B$12,2,0)</f>
        <v>Meal/Entertain</v>
      </c>
    </row>
    <row r="379" hidden="1">
      <c r="A379" s="3" t="s">
        <v>541</v>
      </c>
      <c r="B379" s="34">
        <v>42510.455555555556</v>
      </c>
      <c r="C379" s="34">
        <v>42510.46319444444</v>
      </c>
      <c r="D379" s="35">
        <v>423.0</v>
      </c>
      <c r="E379" s="3" t="s">
        <v>539</v>
      </c>
      <c r="F379" s="3" t="s">
        <v>542</v>
      </c>
      <c r="G379" s="36">
        <v>11.2</v>
      </c>
      <c r="H379" s="35">
        <v>3.0</v>
      </c>
      <c r="I379" s="37">
        <v>0.45555555555555555</v>
      </c>
      <c r="J379" s="37">
        <v>0.46319444444444446</v>
      </c>
      <c r="K379" s="38">
        <f t="shared" si="6"/>
        <v>0.007638888889</v>
      </c>
      <c r="L379" s="39" t="str">
        <f t="shared" si="2"/>
        <v>Morning</v>
      </c>
      <c r="M379" s="39" t="str">
        <f t="array" ref="M379">XLOOKUP(D379,'Category dict'!$B$1:$B$4,'Category dict'!$A$1:$A$4,0,0,1)</f>
        <v>Business</v>
      </c>
      <c r="N379" s="39" t="str">
        <f>VLOOKUP(H379,'Purpose dict'!$A$1:$B$12,2,0)</f>
        <v>Meeting</v>
      </c>
    </row>
    <row r="380" hidden="1">
      <c r="A380" s="3" t="s">
        <v>543</v>
      </c>
      <c r="B380" s="34">
        <v>42510.654861111114</v>
      </c>
      <c r="C380" s="34">
        <v>42510.675</v>
      </c>
      <c r="D380" s="35">
        <v>423.0</v>
      </c>
      <c r="E380" s="3" t="s">
        <v>62</v>
      </c>
      <c r="F380" s="3" t="s">
        <v>60</v>
      </c>
      <c r="G380" s="36">
        <v>8.2</v>
      </c>
      <c r="H380" s="35">
        <v>1.0</v>
      </c>
      <c r="I380" s="37">
        <v>0.6548611111111111</v>
      </c>
      <c r="J380" s="37">
        <v>0.675</v>
      </c>
      <c r="K380" s="38">
        <f t="shared" si="6"/>
        <v>0.02013888889</v>
      </c>
      <c r="L380" s="39" t="str">
        <f t="shared" si="2"/>
        <v>Day</v>
      </c>
      <c r="M380" s="39" t="str">
        <f t="array" ref="M380">XLOOKUP(D380,'Category dict'!$B$1:$B$4,'Category dict'!$A$1:$A$4,0,0,1)</f>
        <v>Business</v>
      </c>
      <c r="N380" s="39" t="str">
        <f>VLOOKUP(H380,'Purpose dict'!$A$1:$B$12,2,0)</f>
        <v>Meal/Entertain</v>
      </c>
    </row>
    <row r="381" hidden="1">
      <c r="A381" s="3" t="s">
        <v>544</v>
      </c>
      <c r="B381" s="34">
        <v>42512.652083333334</v>
      </c>
      <c r="C381" s="34">
        <v>42512.65694444445</v>
      </c>
      <c r="D381" s="35">
        <v>423.0</v>
      </c>
      <c r="E381" s="3" t="s">
        <v>60</v>
      </c>
      <c r="F381" s="3" t="s">
        <v>62</v>
      </c>
      <c r="G381" s="36">
        <v>3.0</v>
      </c>
      <c r="H381" s="35">
        <v>1.0</v>
      </c>
      <c r="I381" s="37">
        <v>0.6520833333333333</v>
      </c>
      <c r="J381" s="37">
        <v>0.6569444444444444</v>
      </c>
      <c r="K381" s="38">
        <f t="shared" si="6"/>
        <v>0.004861111111</v>
      </c>
      <c r="L381" s="39" t="str">
        <f t="shared" si="2"/>
        <v>Day</v>
      </c>
      <c r="M381" s="39" t="str">
        <f t="array" ref="M381">XLOOKUP(D381,'Category dict'!$B$1:$B$4,'Category dict'!$A$1:$A$4,0,0,1)</f>
        <v>Business</v>
      </c>
      <c r="N381" s="39" t="str">
        <f>VLOOKUP(H381,'Purpose dict'!$A$1:$B$12,2,0)</f>
        <v>Meal/Entertain</v>
      </c>
    </row>
    <row r="382" hidden="1">
      <c r="A382" s="3" t="s">
        <v>545</v>
      </c>
      <c r="B382" s="34">
        <v>42512.78194444445</v>
      </c>
      <c r="C382" s="34">
        <v>42512.78680555556</v>
      </c>
      <c r="D382" s="35">
        <v>423.0</v>
      </c>
      <c r="E382" s="3" t="s">
        <v>62</v>
      </c>
      <c r="F382" s="3" t="s">
        <v>60</v>
      </c>
      <c r="G382" s="36">
        <v>2.5</v>
      </c>
      <c r="H382" s="35">
        <v>1.0</v>
      </c>
      <c r="I382" s="37">
        <v>0.7819444444444444</v>
      </c>
      <c r="J382" s="37">
        <v>0.7868055555555555</v>
      </c>
      <c r="K382" s="38">
        <f t="shared" si="6"/>
        <v>0.004861111111</v>
      </c>
      <c r="L382" s="39" t="str">
        <f t="shared" si="2"/>
        <v>Evening</v>
      </c>
      <c r="M382" s="39" t="str">
        <f t="array" ref="M382">XLOOKUP(D382,'Category dict'!$B$1:$B$4,'Category dict'!$A$1:$A$4,0,0,1)</f>
        <v>Business</v>
      </c>
      <c r="N382" s="39" t="str">
        <f>VLOOKUP(H382,'Purpose dict'!$A$1:$B$12,2,0)</f>
        <v>Meal/Entertain</v>
      </c>
    </row>
    <row r="383" hidden="1">
      <c r="A383" s="3" t="s">
        <v>546</v>
      </c>
      <c r="B383" s="34">
        <v>42513.84652777778</v>
      </c>
      <c r="C383" s="34">
        <v>42513.85208333333</v>
      </c>
      <c r="D383" s="35">
        <v>423.0</v>
      </c>
      <c r="E383" s="3" t="s">
        <v>106</v>
      </c>
      <c r="F383" s="3" t="s">
        <v>547</v>
      </c>
      <c r="G383" s="36">
        <v>3.6</v>
      </c>
      <c r="H383" s="35">
        <v>1.0</v>
      </c>
      <c r="I383" s="37">
        <v>0.8465277777777778</v>
      </c>
      <c r="J383" s="37">
        <v>0.8520833333333333</v>
      </c>
      <c r="K383" s="38">
        <f t="shared" si="6"/>
        <v>0.005555555556</v>
      </c>
      <c r="L383" s="39" t="str">
        <f t="shared" si="2"/>
        <v>Evening</v>
      </c>
      <c r="M383" s="39" t="str">
        <f t="array" ref="M383">XLOOKUP(D383,'Category dict'!$B$1:$B$4,'Category dict'!$A$1:$A$4,0,0,1)</f>
        <v>Business</v>
      </c>
      <c r="N383" s="39" t="str">
        <f>VLOOKUP(H383,'Purpose dict'!$A$1:$B$12,2,0)</f>
        <v>Meal/Entertain</v>
      </c>
    </row>
    <row r="384" hidden="1">
      <c r="A384" s="3" t="s">
        <v>548</v>
      </c>
      <c r="B384" s="34">
        <v>42513.88125</v>
      </c>
      <c r="C384" s="34">
        <v>42513.88958333333</v>
      </c>
      <c r="D384" s="35">
        <v>423.0</v>
      </c>
      <c r="E384" s="3" t="s">
        <v>547</v>
      </c>
      <c r="F384" s="3" t="s">
        <v>106</v>
      </c>
      <c r="G384" s="36">
        <v>3.6</v>
      </c>
      <c r="H384" s="35">
        <v>2.0</v>
      </c>
      <c r="I384" s="37">
        <v>0.88125</v>
      </c>
      <c r="J384" s="37">
        <v>0.8895833333333333</v>
      </c>
      <c r="K384" s="38">
        <f t="shared" si="6"/>
        <v>0.008333333333</v>
      </c>
      <c r="L384" s="39" t="str">
        <f t="shared" si="2"/>
        <v>Evening</v>
      </c>
      <c r="M384" s="39" t="str">
        <f t="array" ref="M384">XLOOKUP(D384,'Category dict'!$B$1:$B$4,'Category dict'!$A$1:$A$4,0,0,1)</f>
        <v>Business</v>
      </c>
      <c r="N384" s="39" t="str">
        <f>VLOOKUP(H384,'Purpose dict'!$A$1:$B$12,2,0)</f>
        <v>Errand/Supplies</v>
      </c>
    </row>
    <row r="385" hidden="1">
      <c r="A385" s="3" t="s">
        <v>549</v>
      </c>
      <c r="B385" s="34">
        <v>42517.85138888889</v>
      </c>
      <c r="C385" s="34">
        <v>42517.854166666664</v>
      </c>
      <c r="D385" s="35">
        <v>423.0</v>
      </c>
      <c r="E385" s="3" t="s">
        <v>106</v>
      </c>
      <c r="F385" s="3" t="s">
        <v>550</v>
      </c>
      <c r="G385" s="36">
        <v>4.5</v>
      </c>
      <c r="H385" s="35">
        <v>2.0</v>
      </c>
      <c r="I385" s="37">
        <v>0.8513888888888889</v>
      </c>
      <c r="J385" s="37">
        <v>0.8541666666666666</v>
      </c>
      <c r="K385" s="38">
        <f t="shared" si="6"/>
        <v>0.002777777778</v>
      </c>
      <c r="L385" s="39" t="str">
        <f t="shared" si="2"/>
        <v>Evening</v>
      </c>
      <c r="M385" s="39" t="str">
        <f t="array" ref="M385">XLOOKUP(D385,'Category dict'!$B$1:$B$4,'Category dict'!$A$1:$A$4,0,0,1)</f>
        <v>Business</v>
      </c>
      <c r="N385" s="39" t="str">
        <f>VLOOKUP(H385,'Purpose dict'!$A$1:$B$12,2,0)</f>
        <v>Errand/Supplies</v>
      </c>
    </row>
    <row r="386">
      <c r="A386" s="3" t="s">
        <v>551</v>
      </c>
      <c r="B386" s="34">
        <v>42517.86597222222</v>
      </c>
      <c r="C386" s="34">
        <v>42517.87013888889</v>
      </c>
      <c r="D386" s="35">
        <v>423.0</v>
      </c>
      <c r="E386" s="3" t="s">
        <v>547</v>
      </c>
      <c r="F386" s="3" t="s">
        <v>552</v>
      </c>
      <c r="G386" s="40">
        <v>1.2</v>
      </c>
      <c r="H386" s="35">
        <v>123.0</v>
      </c>
      <c r="I386" s="37">
        <v>0.8659722222222223</v>
      </c>
      <c r="J386" s="37">
        <v>0.8701388888888889</v>
      </c>
      <c r="K386" s="38">
        <f t="shared" si="6"/>
        <v>0.004166666667</v>
      </c>
      <c r="L386" s="39" t="str">
        <f t="shared" si="2"/>
        <v>Evening</v>
      </c>
      <c r="M386" s="39" t="str">
        <f t="array" ref="M386">XLOOKUP(D386,'Category dict'!$B$1:$B$4,'Category dict'!$A$1:$A$4,0,0,1)</f>
        <v>Business</v>
      </c>
      <c r="N386" s="39" t="str">
        <f>VLOOKUP(H386,'Purpose dict'!$A$1:$B$12,2,0)</f>
        <v>NOT DEFINED</v>
      </c>
    </row>
    <row r="387" hidden="1">
      <c r="A387" s="3" t="s">
        <v>553</v>
      </c>
      <c r="B387" s="34">
        <v>42517.924305555556</v>
      </c>
      <c r="C387" s="34">
        <v>42517.92638888889</v>
      </c>
      <c r="D387" s="35">
        <v>423.0</v>
      </c>
      <c r="E387" s="3" t="s">
        <v>552</v>
      </c>
      <c r="F387" s="3" t="s">
        <v>550</v>
      </c>
      <c r="G387" s="36">
        <v>1.7</v>
      </c>
      <c r="H387" s="35">
        <v>2.0</v>
      </c>
      <c r="I387" s="37">
        <v>0.9243055555555556</v>
      </c>
      <c r="J387" s="37">
        <v>0.9263888888888889</v>
      </c>
      <c r="K387" s="38">
        <f t="shared" si="6"/>
        <v>0.002083333333</v>
      </c>
      <c r="L387" s="39" t="str">
        <f t="shared" si="2"/>
        <v>Evening</v>
      </c>
      <c r="M387" s="39" t="str">
        <f t="array" ref="M387">XLOOKUP(D387,'Category dict'!$B$1:$B$4,'Category dict'!$A$1:$A$4,0,0,1)</f>
        <v>Business</v>
      </c>
      <c r="N387" s="39" t="str">
        <f>VLOOKUP(H387,'Purpose dict'!$A$1:$B$12,2,0)</f>
        <v>Errand/Supplies</v>
      </c>
    </row>
    <row r="388" hidden="1">
      <c r="A388" s="3" t="s">
        <v>554</v>
      </c>
      <c r="B388" s="34">
        <v>42518.010416666664</v>
      </c>
      <c r="C388" s="34">
        <v>42518.01458333333</v>
      </c>
      <c r="D388" s="35">
        <v>423.0</v>
      </c>
      <c r="E388" s="3" t="s">
        <v>552</v>
      </c>
      <c r="F388" s="3" t="s">
        <v>106</v>
      </c>
      <c r="G388" s="36">
        <v>4.7</v>
      </c>
      <c r="H388" s="35">
        <v>2.0</v>
      </c>
      <c r="I388" s="37">
        <v>0.010416666666666666</v>
      </c>
      <c r="J388" s="37">
        <v>0.014583333333333334</v>
      </c>
      <c r="K388" s="38">
        <f t="shared" si="6"/>
        <v>0.004166666667</v>
      </c>
      <c r="L388" s="39" t="str">
        <f t="shared" si="2"/>
        <v>Night</v>
      </c>
      <c r="M388" s="39" t="str">
        <f t="array" ref="M388">XLOOKUP(D388,'Category dict'!$B$1:$B$4,'Category dict'!$A$1:$A$4,0,0,1)</f>
        <v>Business</v>
      </c>
      <c r="N388" s="39" t="str">
        <f>VLOOKUP(H388,'Purpose dict'!$A$1:$B$12,2,0)</f>
        <v>Errand/Supplies</v>
      </c>
    </row>
    <row r="389" hidden="1">
      <c r="A389" s="3" t="s">
        <v>555</v>
      </c>
      <c r="B389" s="34">
        <v>42518.53611111111</v>
      </c>
      <c r="C389" s="34">
        <v>42518.54583333333</v>
      </c>
      <c r="D389" s="35">
        <v>423.0</v>
      </c>
      <c r="E389" s="3" t="s">
        <v>60</v>
      </c>
      <c r="F389" s="3" t="s">
        <v>62</v>
      </c>
      <c r="G389" s="36">
        <v>6.1</v>
      </c>
      <c r="H389" s="35">
        <v>1.0</v>
      </c>
      <c r="I389" s="37">
        <v>0.5361111111111111</v>
      </c>
      <c r="J389" s="37">
        <v>0.5458333333333333</v>
      </c>
      <c r="K389" s="38">
        <f t="shared" si="6"/>
        <v>0.009722222222</v>
      </c>
      <c r="L389" s="39" t="str">
        <f t="shared" si="2"/>
        <v>Day</v>
      </c>
      <c r="M389" s="39" t="str">
        <f t="array" ref="M389">XLOOKUP(D389,'Category dict'!$B$1:$B$4,'Category dict'!$A$1:$A$4,0,0,1)</f>
        <v>Business</v>
      </c>
      <c r="N389" s="39" t="str">
        <f>VLOOKUP(H389,'Purpose dict'!$A$1:$B$12,2,0)</f>
        <v>Meal/Entertain</v>
      </c>
    </row>
    <row r="390" hidden="1">
      <c r="A390" s="3" t="s">
        <v>556</v>
      </c>
      <c r="B390" s="34">
        <v>42518.60763888889</v>
      </c>
      <c r="C390" s="34">
        <v>42518.62777777778</v>
      </c>
      <c r="D390" s="35">
        <v>423.0</v>
      </c>
      <c r="E390" s="3" t="s">
        <v>62</v>
      </c>
      <c r="F390" s="3" t="s">
        <v>60</v>
      </c>
      <c r="G390" s="36">
        <v>11.3</v>
      </c>
      <c r="H390" s="35">
        <v>4.0</v>
      </c>
      <c r="I390" s="37">
        <v>0.6076388888888888</v>
      </c>
      <c r="J390" s="37">
        <v>0.6277777777777778</v>
      </c>
      <c r="K390" s="38">
        <f t="shared" si="6"/>
        <v>0.02013888889</v>
      </c>
      <c r="L390" s="39" t="str">
        <f t="shared" si="2"/>
        <v>Day</v>
      </c>
      <c r="M390" s="39" t="str">
        <f t="array" ref="M390">XLOOKUP(D390,'Category dict'!$B$1:$B$4,'Category dict'!$A$1:$A$4,0,0,1)</f>
        <v>Business</v>
      </c>
      <c r="N390" s="39" t="str">
        <f>VLOOKUP(H390,'Purpose dict'!$A$1:$B$12,2,0)</f>
        <v>Customer Visit</v>
      </c>
    </row>
    <row r="391" hidden="1">
      <c r="A391" s="3" t="s">
        <v>557</v>
      </c>
      <c r="B391" s="34">
        <v>42521.57916666667</v>
      </c>
      <c r="C391" s="34">
        <v>42521.611805555556</v>
      </c>
      <c r="D391" s="35">
        <v>423.0</v>
      </c>
      <c r="E391" s="3" t="s">
        <v>60</v>
      </c>
      <c r="F391" s="3" t="s">
        <v>111</v>
      </c>
      <c r="G391" s="36">
        <v>14.9</v>
      </c>
      <c r="H391" s="35">
        <v>3.0</v>
      </c>
      <c r="I391" s="37">
        <v>0.5791666666666667</v>
      </c>
      <c r="J391" s="37">
        <v>0.6118055555555556</v>
      </c>
      <c r="K391" s="38">
        <f t="shared" si="6"/>
        <v>0.03263888889</v>
      </c>
      <c r="L391" s="39" t="str">
        <f t="shared" si="2"/>
        <v>Day</v>
      </c>
      <c r="M391" s="39" t="str">
        <f t="array" ref="M391">XLOOKUP(D391,'Category dict'!$B$1:$B$4,'Category dict'!$A$1:$A$4,0,0,1)</f>
        <v>Business</v>
      </c>
      <c r="N391" s="39" t="str">
        <f>VLOOKUP(H391,'Purpose dict'!$A$1:$B$12,2,0)</f>
        <v>Meeting</v>
      </c>
    </row>
    <row r="392" hidden="1">
      <c r="A392" s="3" t="s">
        <v>558</v>
      </c>
      <c r="B392" s="34">
        <v>42521.66805555556</v>
      </c>
      <c r="C392" s="34">
        <v>42521.69375</v>
      </c>
      <c r="D392" s="35">
        <v>423.0</v>
      </c>
      <c r="E392" s="3" t="s">
        <v>111</v>
      </c>
      <c r="F392" s="3" t="s">
        <v>60</v>
      </c>
      <c r="G392" s="36">
        <v>14.0</v>
      </c>
      <c r="H392" s="35">
        <v>3.0</v>
      </c>
      <c r="I392" s="37">
        <v>0.6680555555555555</v>
      </c>
      <c r="J392" s="37">
        <v>0.69375</v>
      </c>
      <c r="K392" s="38">
        <f t="shared" si="6"/>
        <v>0.02569444444</v>
      </c>
      <c r="L392" s="39" t="str">
        <f t="shared" si="2"/>
        <v>Day</v>
      </c>
      <c r="M392" s="39" t="str">
        <f t="array" ref="M392">XLOOKUP(D392,'Category dict'!$B$1:$B$4,'Category dict'!$A$1:$A$4,0,0,1)</f>
        <v>Business</v>
      </c>
      <c r="N392" s="39" t="str">
        <f>VLOOKUP(H392,'Purpose dict'!$A$1:$B$12,2,0)</f>
        <v>Meeting</v>
      </c>
    </row>
    <row r="393" hidden="1">
      <c r="A393" s="3" t="s">
        <v>559</v>
      </c>
      <c r="B393" s="34">
        <v>42521.743055555555</v>
      </c>
      <c r="C393" s="34">
        <v>42521.74930555555</v>
      </c>
      <c r="D393" s="35">
        <v>423.0</v>
      </c>
      <c r="E393" s="3" t="s">
        <v>123</v>
      </c>
      <c r="F393" s="3" t="s">
        <v>106</v>
      </c>
      <c r="G393" s="36">
        <v>1.8</v>
      </c>
      <c r="H393" s="35">
        <v>123.0</v>
      </c>
      <c r="I393" s="37">
        <v>0.7430555555555556</v>
      </c>
      <c r="J393" s="37">
        <v>0.7493055555555556</v>
      </c>
      <c r="K393" s="38">
        <f t="shared" si="6"/>
        <v>0.00625</v>
      </c>
      <c r="L393" s="39" t="str">
        <f t="shared" si="2"/>
        <v>Day</v>
      </c>
      <c r="M393" s="39" t="str">
        <f t="array" ref="M393">XLOOKUP(D393,'Category dict'!$B$1:$B$4,'Category dict'!$A$1:$A$4,0,0,1)</f>
        <v>Business</v>
      </c>
      <c r="N393" s="39" t="str">
        <f>VLOOKUP(H393,'Purpose dict'!$A$1:$B$12,2,0)</f>
        <v>NOT DEFINED</v>
      </c>
    </row>
    <row r="394" hidden="1">
      <c r="A394" s="3" t="s">
        <v>560</v>
      </c>
      <c r="B394" s="34">
        <v>42522.42986111111</v>
      </c>
      <c r="C394" s="34">
        <v>42522.44930555556</v>
      </c>
      <c r="D394" s="35">
        <v>423.0</v>
      </c>
      <c r="E394" s="3" t="s">
        <v>60</v>
      </c>
      <c r="F394" s="3" t="s">
        <v>62</v>
      </c>
      <c r="G394" s="36">
        <v>6.7</v>
      </c>
      <c r="H394" s="35">
        <v>4.0</v>
      </c>
      <c r="I394" s="37">
        <v>0.42986111111111114</v>
      </c>
      <c r="J394" s="37">
        <v>0.44930555555555557</v>
      </c>
      <c r="K394" s="38">
        <f t="shared" si="6"/>
        <v>0.01944444444</v>
      </c>
      <c r="L394" s="39" t="str">
        <f t="shared" si="2"/>
        <v>Morning</v>
      </c>
      <c r="M394" s="39" t="str">
        <f t="array" ref="M394">XLOOKUP(D394,'Category dict'!$B$1:$B$4,'Category dict'!$A$1:$A$4,0,0,1)</f>
        <v>Business</v>
      </c>
      <c r="N394" s="39" t="str">
        <f>VLOOKUP(H394,'Purpose dict'!$A$1:$B$12,2,0)</f>
        <v>Customer Visit</v>
      </c>
    </row>
    <row r="395" hidden="1">
      <c r="A395" s="3" t="s">
        <v>561</v>
      </c>
      <c r="B395" s="34">
        <v>42522.54861111111</v>
      </c>
      <c r="C395" s="34">
        <v>42522.56875</v>
      </c>
      <c r="D395" s="35">
        <v>423.0</v>
      </c>
      <c r="E395" s="3" t="s">
        <v>62</v>
      </c>
      <c r="F395" s="3" t="s">
        <v>60</v>
      </c>
      <c r="G395" s="36">
        <v>9.6</v>
      </c>
      <c r="H395" s="35">
        <v>3.0</v>
      </c>
      <c r="I395" s="37">
        <v>0.5486111111111112</v>
      </c>
      <c r="J395" s="37">
        <v>0.56875</v>
      </c>
      <c r="K395" s="38">
        <f t="shared" si="6"/>
        <v>0.02013888889</v>
      </c>
      <c r="L395" s="39" t="str">
        <f t="shared" si="2"/>
        <v>Day</v>
      </c>
      <c r="M395" s="39" t="str">
        <f t="array" ref="M395">XLOOKUP(D395,'Category dict'!$B$1:$B$4,'Category dict'!$A$1:$A$4,0,0,1)</f>
        <v>Business</v>
      </c>
      <c r="N395" s="39" t="str">
        <f>VLOOKUP(H395,'Purpose dict'!$A$1:$B$12,2,0)</f>
        <v>Meeting</v>
      </c>
    </row>
    <row r="396" hidden="1">
      <c r="A396" s="3" t="s">
        <v>562</v>
      </c>
      <c r="B396" s="34">
        <v>42524.478472222225</v>
      </c>
      <c r="C396" s="34">
        <v>42524.49236111111</v>
      </c>
      <c r="D396" s="35">
        <v>423.0</v>
      </c>
      <c r="E396" s="3" t="s">
        <v>60</v>
      </c>
      <c r="F396" s="3" t="s">
        <v>101</v>
      </c>
      <c r="G396" s="36">
        <v>10.4</v>
      </c>
      <c r="H396" s="35">
        <v>3.0</v>
      </c>
      <c r="I396" s="37">
        <v>0.47847222222222224</v>
      </c>
      <c r="J396" s="37">
        <v>0.49236111111111114</v>
      </c>
      <c r="K396" s="38">
        <f t="shared" si="6"/>
        <v>0.01388888889</v>
      </c>
      <c r="L396" s="39" t="str">
        <f t="shared" si="2"/>
        <v>Morning</v>
      </c>
      <c r="M396" s="39" t="str">
        <f t="array" ref="M396">XLOOKUP(D396,'Category dict'!$B$1:$B$4,'Category dict'!$A$1:$A$4,0,0,1)</f>
        <v>Business</v>
      </c>
      <c r="N396" s="39" t="str">
        <f>VLOOKUP(H396,'Purpose dict'!$A$1:$B$12,2,0)</f>
        <v>Meeting</v>
      </c>
    </row>
    <row r="397" hidden="1">
      <c r="A397" s="3" t="s">
        <v>563</v>
      </c>
      <c r="B397" s="34">
        <v>42524.54722222222</v>
      </c>
      <c r="C397" s="34">
        <v>42524.56805555556</v>
      </c>
      <c r="D397" s="35">
        <v>423.0</v>
      </c>
      <c r="E397" s="3" t="s">
        <v>101</v>
      </c>
      <c r="F397" s="3" t="s">
        <v>60</v>
      </c>
      <c r="G397" s="36">
        <v>9.9</v>
      </c>
      <c r="H397" s="35">
        <v>3.0</v>
      </c>
      <c r="I397" s="37">
        <v>0.5472222222222223</v>
      </c>
      <c r="J397" s="37">
        <v>0.5680555555555555</v>
      </c>
      <c r="K397" s="38">
        <f t="shared" si="6"/>
        <v>0.02083333333</v>
      </c>
      <c r="L397" s="39" t="str">
        <f t="shared" si="2"/>
        <v>Day</v>
      </c>
      <c r="M397" s="39" t="str">
        <f t="array" ref="M397">XLOOKUP(D397,'Category dict'!$B$1:$B$4,'Category dict'!$A$1:$A$4,0,0,1)</f>
        <v>Business</v>
      </c>
      <c r="N397" s="39" t="str">
        <f>VLOOKUP(H397,'Purpose dict'!$A$1:$B$12,2,0)</f>
        <v>Meeting</v>
      </c>
    </row>
    <row r="398" hidden="1">
      <c r="A398" s="3" t="s">
        <v>564</v>
      </c>
      <c r="B398" s="34">
        <v>42524.646527777775</v>
      </c>
      <c r="C398" s="34">
        <v>42524.6625</v>
      </c>
      <c r="D398" s="35">
        <v>423.0</v>
      </c>
      <c r="E398" s="3" t="s">
        <v>60</v>
      </c>
      <c r="F398" s="3" t="s">
        <v>62</v>
      </c>
      <c r="G398" s="36">
        <v>6.0</v>
      </c>
      <c r="H398" s="35">
        <v>1.0</v>
      </c>
      <c r="I398" s="37">
        <v>0.6465277777777778</v>
      </c>
      <c r="J398" s="37">
        <v>0.6625</v>
      </c>
      <c r="K398" s="38">
        <f t="shared" si="6"/>
        <v>0.01597222222</v>
      </c>
      <c r="L398" s="39" t="str">
        <f t="shared" si="2"/>
        <v>Day</v>
      </c>
      <c r="M398" s="39" t="str">
        <f t="array" ref="M398">XLOOKUP(D398,'Category dict'!$B$1:$B$4,'Category dict'!$A$1:$A$4,0,0,1)</f>
        <v>Business</v>
      </c>
      <c r="N398" s="39" t="str">
        <f>VLOOKUP(H398,'Purpose dict'!$A$1:$B$12,2,0)</f>
        <v>Meal/Entertain</v>
      </c>
    </row>
    <row r="399" hidden="1">
      <c r="A399" s="3" t="s">
        <v>565</v>
      </c>
      <c r="B399" s="34">
        <v>42524.759722222225</v>
      </c>
      <c r="C399" s="34">
        <v>42524.77013888889</v>
      </c>
      <c r="D399" s="35">
        <v>423.0</v>
      </c>
      <c r="E399" s="3" t="s">
        <v>566</v>
      </c>
      <c r="F399" s="3" t="s">
        <v>479</v>
      </c>
      <c r="G399" s="36">
        <v>3.3</v>
      </c>
      <c r="H399" s="35">
        <v>2.0</v>
      </c>
      <c r="I399" s="37">
        <v>0.7597222222222222</v>
      </c>
      <c r="J399" s="37">
        <v>0.7701388888888889</v>
      </c>
      <c r="K399" s="38">
        <f t="shared" si="6"/>
        <v>0.01041666667</v>
      </c>
      <c r="L399" s="39" t="str">
        <f t="shared" si="2"/>
        <v>Evening</v>
      </c>
      <c r="M399" s="39" t="str">
        <f t="array" ref="M399">XLOOKUP(D399,'Category dict'!$B$1:$B$4,'Category dict'!$A$1:$A$4,0,0,1)</f>
        <v>Business</v>
      </c>
      <c r="N399" s="39" t="str">
        <f>VLOOKUP(H399,'Purpose dict'!$A$1:$B$12,2,0)</f>
        <v>Errand/Supplies</v>
      </c>
    </row>
    <row r="400" hidden="1">
      <c r="A400" s="3" t="s">
        <v>567</v>
      </c>
      <c r="B400" s="34">
        <v>42524.77847222222</v>
      </c>
      <c r="C400" s="34">
        <v>42524.78680555556</v>
      </c>
      <c r="D400" s="35">
        <v>423.0</v>
      </c>
      <c r="E400" s="3" t="s">
        <v>62</v>
      </c>
      <c r="F400" s="3" t="s">
        <v>60</v>
      </c>
      <c r="G400" s="36">
        <v>3.1</v>
      </c>
      <c r="H400" s="35">
        <v>2.0</v>
      </c>
      <c r="I400" s="37">
        <v>0.7784722222222222</v>
      </c>
      <c r="J400" s="37">
        <v>0.7868055555555555</v>
      </c>
      <c r="K400" s="38">
        <f t="shared" si="6"/>
        <v>0.008333333333</v>
      </c>
      <c r="L400" s="39" t="str">
        <f t="shared" si="2"/>
        <v>Evening</v>
      </c>
      <c r="M400" s="39" t="str">
        <f t="array" ref="M400">XLOOKUP(D400,'Category dict'!$B$1:$B$4,'Category dict'!$A$1:$A$4,0,0,1)</f>
        <v>Business</v>
      </c>
      <c r="N400" s="39" t="str">
        <f>VLOOKUP(H400,'Purpose dict'!$A$1:$B$12,2,0)</f>
        <v>Errand/Supplies</v>
      </c>
    </row>
    <row r="401" hidden="1">
      <c r="A401" s="3" t="s">
        <v>568</v>
      </c>
      <c r="B401" s="34">
        <v>42524.816666666666</v>
      </c>
      <c r="C401" s="34">
        <v>42524.82083333333</v>
      </c>
      <c r="D401" s="35">
        <v>423.0</v>
      </c>
      <c r="E401" s="3" t="s">
        <v>569</v>
      </c>
      <c r="F401" s="3" t="s">
        <v>304</v>
      </c>
      <c r="G401" s="36">
        <v>1.7</v>
      </c>
      <c r="H401" s="35">
        <v>2.0</v>
      </c>
      <c r="I401" s="37">
        <v>0.8166666666666667</v>
      </c>
      <c r="J401" s="37">
        <v>0.8208333333333333</v>
      </c>
      <c r="K401" s="38">
        <f t="shared" si="6"/>
        <v>0.004166666667</v>
      </c>
      <c r="L401" s="39" t="str">
        <f t="shared" si="2"/>
        <v>Evening</v>
      </c>
      <c r="M401" s="39" t="str">
        <f t="array" ref="M401">XLOOKUP(D401,'Category dict'!$B$1:$B$4,'Category dict'!$A$1:$A$4,0,0,1)</f>
        <v>Business</v>
      </c>
      <c r="N401" s="39" t="str">
        <f>VLOOKUP(H401,'Purpose dict'!$A$1:$B$12,2,0)</f>
        <v>Errand/Supplies</v>
      </c>
    </row>
    <row r="402" hidden="1">
      <c r="A402" s="3" t="s">
        <v>570</v>
      </c>
      <c r="B402" s="34">
        <v>42524.94930555556</v>
      </c>
      <c r="C402" s="34">
        <v>42524.9625</v>
      </c>
      <c r="D402" s="35">
        <v>423.0</v>
      </c>
      <c r="E402" s="3" t="s">
        <v>62</v>
      </c>
      <c r="F402" s="3" t="s">
        <v>60</v>
      </c>
      <c r="G402" s="36">
        <v>4.0</v>
      </c>
      <c r="H402" s="35">
        <v>6.0</v>
      </c>
      <c r="I402" s="37">
        <v>0.9493055555555555</v>
      </c>
      <c r="J402" s="37">
        <v>0.9625</v>
      </c>
      <c r="K402" s="38">
        <f t="shared" si="6"/>
        <v>0.01319444444</v>
      </c>
      <c r="L402" s="39" t="str">
        <f t="shared" si="2"/>
        <v>Evening</v>
      </c>
      <c r="M402" s="39" t="str">
        <f t="array" ref="M402">XLOOKUP(D402,'Category dict'!$B$1:$B$4,'Category dict'!$A$1:$A$4,0,0,1)</f>
        <v>Business</v>
      </c>
      <c r="N402" s="39" t="str">
        <f>VLOOKUP(H402,'Purpose dict'!$A$1:$B$12,2,0)</f>
        <v>Between Offices</v>
      </c>
    </row>
    <row r="403" hidden="1">
      <c r="A403" s="3" t="s">
        <v>571</v>
      </c>
      <c r="B403" s="34">
        <v>42526.58541666667</v>
      </c>
      <c r="C403" s="34">
        <v>42526.60625</v>
      </c>
      <c r="D403" s="35">
        <v>423.0</v>
      </c>
      <c r="E403" s="3" t="s">
        <v>106</v>
      </c>
      <c r="F403" s="3" t="s">
        <v>547</v>
      </c>
      <c r="G403" s="36">
        <v>7.8</v>
      </c>
      <c r="H403" s="35">
        <v>4.0</v>
      </c>
      <c r="I403" s="37">
        <v>0.5854166666666667</v>
      </c>
      <c r="J403" s="37">
        <v>0.60625</v>
      </c>
      <c r="K403" s="38">
        <f t="shared" si="6"/>
        <v>0.02083333333</v>
      </c>
      <c r="L403" s="39" t="str">
        <f t="shared" si="2"/>
        <v>Day</v>
      </c>
      <c r="M403" s="39" t="str">
        <f t="array" ref="M403">XLOOKUP(D403,'Category dict'!$B$1:$B$4,'Category dict'!$A$1:$A$4,0,0,1)</f>
        <v>Business</v>
      </c>
      <c r="N403" s="39" t="str">
        <f>VLOOKUP(H403,'Purpose dict'!$A$1:$B$12,2,0)</f>
        <v>Customer Visit</v>
      </c>
    </row>
    <row r="404" hidden="1">
      <c r="A404" s="3" t="s">
        <v>572</v>
      </c>
      <c r="B404" s="34">
        <v>42526.629166666666</v>
      </c>
      <c r="C404" s="34">
        <v>42526.64027777778</v>
      </c>
      <c r="D404" s="35">
        <v>423.0</v>
      </c>
      <c r="E404" s="3" t="s">
        <v>60</v>
      </c>
      <c r="F404" s="3" t="s">
        <v>62</v>
      </c>
      <c r="G404" s="36">
        <v>7.8</v>
      </c>
      <c r="H404" s="35">
        <v>4.0</v>
      </c>
      <c r="I404" s="37">
        <v>0.6291666666666667</v>
      </c>
      <c r="J404" s="37">
        <v>0.6402777777777777</v>
      </c>
      <c r="K404" s="38">
        <f t="shared" si="6"/>
        <v>0.01111111111</v>
      </c>
      <c r="L404" s="39" t="str">
        <f t="shared" si="2"/>
        <v>Day</v>
      </c>
      <c r="M404" s="39" t="str">
        <f t="array" ref="M404">XLOOKUP(D404,'Category dict'!$B$1:$B$4,'Category dict'!$A$1:$A$4,0,0,1)</f>
        <v>Business</v>
      </c>
      <c r="N404" s="39" t="str">
        <f>VLOOKUP(H404,'Purpose dict'!$A$1:$B$12,2,0)</f>
        <v>Customer Visit</v>
      </c>
    </row>
    <row r="405" hidden="1">
      <c r="A405" s="3" t="s">
        <v>573</v>
      </c>
      <c r="B405" s="34">
        <v>42526.66458333333</v>
      </c>
      <c r="C405" s="34">
        <v>42526.67222222222</v>
      </c>
      <c r="D405" s="35">
        <v>423.0</v>
      </c>
      <c r="E405" s="3" t="s">
        <v>304</v>
      </c>
      <c r="F405" s="3" t="s">
        <v>304</v>
      </c>
      <c r="G405" s="36">
        <v>3.8</v>
      </c>
      <c r="H405" s="35">
        <v>1.0</v>
      </c>
      <c r="I405" s="37">
        <v>0.6645833333333333</v>
      </c>
      <c r="J405" s="37">
        <v>0.6722222222222223</v>
      </c>
      <c r="K405" s="38">
        <f t="shared" si="6"/>
        <v>0.007638888889</v>
      </c>
      <c r="L405" s="39" t="str">
        <f t="shared" si="2"/>
        <v>Day</v>
      </c>
      <c r="M405" s="39" t="str">
        <f t="array" ref="M405">XLOOKUP(D405,'Category dict'!$B$1:$B$4,'Category dict'!$A$1:$A$4,0,0,1)</f>
        <v>Business</v>
      </c>
      <c r="N405" s="39" t="str">
        <f>VLOOKUP(H405,'Purpose dict'!$A$1:$B$12,2,0)</f>
        <v>Meal/Entertain</v>
      </c>
    </row>
    <row r="406" hidden="1">
      <c r="A406" s="3" t="s">
        <v>574</v>
      </c>
      <c r="B406" s="34">
        <v>42526.75347222222</v>
      </c>
      <c r="C406" s="34">
        <v>42526.759722222225</v>
      </c>
      <c r="D406" s="35">
        <v>423.0</v>
      </c>
      <c r="E406" s="3" t="s">
        <v>62</v>
      </c>
      <c r="F406" s="3" t="s">
        <v>60</v>
      </c>
      <c r="G406" s="36">
        <v>2.5</v>
      </c>
      <c r="H406" s="35">
        <v>1.0</v>
      </c>
      <c r="I406" s="37">
        <v>0.7534722222222222</v>
      </c>
      <c r="J406" s="37">
        <v>0.7597222222222222</v>
      </c>
      <c r="K406" s="38">
        <f t="shared" si="6"/>
        <v>0.00625</v>
      </c>
      <c r="L406" s="39" t="str">
        <f t="shared" si="2"/>
        <v>Evening</v>
      </c>
      <c r="M406" s="39" t="str">
        <f t="array" ref="M406">XLOOKUP(D406,'Category dict'!$B$1:$B$4,'Category dict'!$A$1:$A$4,0,0,1)</f>
        <v>Business</v>
      </c>
      <c r="N406" s="39" t="str">
        <f>VLOOKUP(H406,'Purpose dict'!$A$1:$B$12,2,0)</f>
        <v>Meal/Entertain</v>
      </c>
    </row>
    <row r="407" hidden="1">
      <c r="A407" s="3" t="s">
        <v>575</v>
      </c>
      <c r="B407" s="34">
        <v>42526.91180555556</v>
      </c>
      <c r="C407" s="34">
        <v>42526.92013888889</v>
      </c>
      <c r="D407" s="35">
        <v>423.0</v>
      </c>
      <c r="E407" s="3" t="s">
        <v>60</v>
      </c>
      <c r="F407" s="3" t="s">
        <v>101</v>
      </c>
      <c r="G407" s="36">
        <v>9.9</v>
      </c>
      <c r="H407" s="35">
        <v>3.0</v>
      </c>
      <c r="I407" s="37">
        <v>0.9118055555555555</v>
      </c>
      <c r="J407" s="37">
        <v>0.9201388888888888</v>
      </c>
      <c r="K407" s="38">
        <f t="shared" si="6"/>
        <v>0.008333333333</v>
      </c>
      <c r="L407" s="39" t="str">
        <f t="shared" si="2"/>
        <v>Evening</v>
      </c>
      <c r="M407" s="39" t="str">
        <f t="array" ref="M407">XLOOKUP(D407,'Category dict'!$B$1:$B$4,'Category dict'!$A$1:$A$4,0,0,1)</f>
        <v>Business</v>
      </c>
      <c r="N407" s="39" t="str">
        <f>VLOOKUP(H407,'Purpose dict'!$A$1:$B$12,2,0)</f>
        <v>Meeting</v>
      </c>
    </row>
    <row r="408" hidden="1">
      <c r="A408" s="3" t="s">
        <v>576</v>
      </c>
      <c r="B408" s="34">
        <v>42526.99444444444</v>
      </c>
      <c r="C408" s="34">
        <v>42527.00555555556</v>
      </c>
      <c r="D408" s="35">
        <v>423.0</v>
      </c>
      <c r="E408" s="3" t="s">
        <v>101</v>
      </c>
      <c r="F408" s="3" t="s">
        <v>60</v>
      </c>
      <c r="G408" s="36">
        <v>9.9</v>
      </c>
      <c r="H408" s="35">
        <v>3.0</v>
      </c>
      <c r="I408" s="37">
        <v>0.9944444444444445</v>
      </c>
      <c r="J408" s="37">
        <v>0.005555555555555556</v>
      </c>
      <c r="K408" s="41">
        <f>C408-B408</f>
        <v>0.01111111112</v>
      </c>
      <c r="L408" s="39" t="str">
        <f t="shared" si="2"/>
        <v>Evening</v>
      </c>
      <c r="M408" s="39" t="str">
        <f t="array" ref="M408">XLOOKUP(D408,'Category dict'!$B$1:$B$4,'Category dict'!$A$1:$A$4,0,0,1)</f>
        <v>Business</v>
      </c>
      <c r="N408" s="39" t="str">
        <f>VLOOKUP(H408,'Purpose dict'!$A$1:$B$12,2,0)</f>
        <v>Meeting</v>
      </c>
    </row>
    <row r="409" hidden="1">
      <c r="A409" s="3" t="s">
        <v>577</v>
      </c>
      <c r="B409" s="34">
        <v>42527.65</v>
      </c>
      <c r="C409" s="34">
        <v>42527.65625</v>
      </c>
      <c r="D409" s="35">
        <v>423.0</v>
      </c>
      <c r="E409" s="3" t="s">
        <v>106</v>
      </c>
      <c r="F409" s="3" t="s">
        <v>120</v>
      </c>
      <c r="G409" s="36">
        <v>3.0</v>
      </c>
      <c r="H409" s="35">
        <v>2.0</v>
      </c>
      <c r="I409" s="37">
        <v>0.65</v>
      </c>
      <c r="J409" s="37">
        <v>0.65625</v>
      </c>
      <c r="K409" s="38">
        <f t="shared" ref="K409:K415" si="7">J409-I409</f>
        <v>0.00625</v>
      </c>
      <c r="L409" s="39" t="str">
        <f t="shared" si="2"/>
        <v>Day</v>
      </c>
      <c r="M409" s="39" t="str">
        <f t="array" ref="M409">XLOOKUP(D409,'Category dict'!$B$1:$B$4,'Category dict'!$A$1:$A$4,0,0,1)</f>
        <v>Business</v>
      </c>
      <c r="N409" s="39" t="str">
        <f>VLOOKUP(H409,'Purpose dict'!$A$1:$B$12,2,0)</f>
        <v>Errand/Supplies</v>
      </c>
    </row>
    <row r="410" hidden="1">
      <c r="A410" s="3" t="s">
        <v>578</v>
      </c>
      <c r="B410" s="34">
        <v>42527.677777777775</v>
      </c>
      <c r="C410" s="34">
        <v>42527.683333333334</v>
      </c>
      <c r="D410" s="35">
        <v>423.0</v>
      </c>
      <c r="E410" s="3" t="s">
        <v>120</v>
      </c>
      <c r="F410" s="3" t="s">
        <v>106</v>
      </c>
      <c r="G410" s="36">
        <v>2.4</v>
      </c>
      <c r="H410" s="35">
        <v>2.0</v>
      </c>
      <c r="I410" s="37">
        <v>0.6777777777777778</v>
      </c>
      <c r="J410" s="37">
        <v>0.6833333333333333</v>
      </c>
      <c r="K410" s="38">
        <f t="shared" si="7"/>
        <v>0.005555555556</v>
      </c>
      <c r="L410" s="39" t="str">
        <f t="shared" si="2"/>
        <v>Day</v>
      </c>
      <c r="M410" s="39" t="str">
        <f t="array" ref="M410">XLOOKUP(D410,'Category dict'!$B$1:$B$4,'Category dict'!$A$1:$A$4,0,0,1)</f>
        <v>Business</v>
      </c>
      <c r="N410" s="39" t="str">
        <f>VLOOKUP(H410,'Purpose dict'!$A$1:$B$12,2,0)</f>
        <v>Errand/Supplies</v>
      </c>
    </row>
    <row r="411" hidden="1">
      <c r="A411" s="3" t="s">
        <v>579</v>
      </c>
      <c r="B411" s="34">
        <v>42527.8375</v>
      </c>
      <c r="C411" s="34">
        <v>42527.84722222222</v>
      </c>
      <c r="D411" s="35">
        <v>423.0</v>
      </c>
      <c r="E411" s="3" t="s">
        <v>60</v>
      </c>
      <c r="F411" s="3" t="s">
        <v>142</v>
      </c>
      <c r="G411" s="36">
        <v>5.7</v>
      </c>
      <c r="H411" s="35">
        <v>1.0</v>
      </c>
      <c r="I411" s="37">
        <v>0.8375</v>
      </c>
      <c r="J411" s="37">
        <v>0.8472222222222222</v>
      </c>
      <c r="K411" s="38">
        <f t="shared" si="7"/>
        <v>0.009722222222</v>
      </c>
      <c r="L411" s="39" t="str">
        <f t="shared" si="2"/>
        <v>Evening</v>
      </c>
      <c r="M411" s="39" t="str">
        <f t="array" ref="M411">XLOOKUP(D411,'Category dict'!$B$1:$B$4,'Category dict'!$A$1:$A$4,0,0,1)</f>
        <v>Business</v>
      </c>
      <c r="N411" s="39" t="str">
        <f>VLOOKUP(H411,'Purpose dict'!$A$1:$B$12,2,0)</f>
        <v>Meal/Entertain</v>
      </c>
    </row>
    <row r="412" hidden="1">
      <c r="A412" s="3" t="s">
        <v>580</v>
      </c>
      <c r="B412" s="34">
        <v>42527.88055555556</v>
      </c>
      <c r="C412" s="34">
        <v>42527.90069444444</v>
      </c>
      <c r="D412" s="35">
        <v>423.0</v>
      </c>
      <c r="E412" s="3" t="s">
        <v>142</v>
      </c>
      <c r="F412" s="3" t="s">
        <v>60</v>
      </c>
      <c r="G412" s="36">
        <v>7.2</v>
      </c>
      <c r="H412" s="35">
        <v>1.0</v>
      </c>
      <c r="I412" s="37">
        <v>0.8805555555555555</v>
      </c>
      <c r="J412" s="37">
        <v>0.9006944444444445</v>
      </c>
      <c r="K412" s="38">
        <f t="shared" si="7"/>
        <v>0.02013888889</v>
      </c>
      <c r="L412" s="39" t="str">
        <f t="shared" si="2"/>
        <v>Evening</v>
      </c>
      <c r="M412" s="39" t="str">
        <f t="array" ref="M412">XLOOKUP(D412,'Category dict'!$B$1:$B$4,'Category dict'!$A$1:$A$4,0,0,1)</f>
        <v>Business</v>
      </c>
      <c r="N412" s="39" t="str">
        <f>VLOOKUP(H412,'Purpose dict'!$A$1:$B$12,2,0)</f>
        <v>Meal/Entertain</v>
      </c>
    </row>
    <row r="413" hidden="1">
      <c r="A413" s="3" t="s">
        <v>581</v>
      </c>
      <c r="B413" s="34">
        <v>42527.90347222222</v>
      </c>
      <c r="C413" s="34">
        <v>42527.916666666664</v>
      </c>
      <c r="D413" s="35">
        <v>423.0</v>
      </c>
      <c r="E413" s="3" t="s">
        <v>60</v>
      </c>
      <c r="F413" s="3" t="s">
        <v>101</v>
      </c>
      <c r="G413" s="36">
        <v>10.4</v>
      </c>
      <c r="H413" s="35">
        <v>3.0</v>
      </c>
      <c r="I413" s="37">
        <v>0.9034722222222222</v>
      </c>
      <c r="J413" s="37">
        <v>0.9166666666666666</v>
      </c>
      <c r="K413" s="38">
        <f t="shared" si="7"/>
        <v>0.01319444444</v>
      </c>
      <c r="L413" s="39" t="str">
        <f t="shared" si="2"/>
        <v>Evening</v>
      </c>
      <c r="M413" s="39" t="str">
        <f t="array" ref="M413">XLOOKUP(D413,'Category dict'!$B$1:$B$4,'Category dict'!$A$1:$A$4,0,0,1)</f>
        <v>Business</v>
      </c>
      <c r="N413" s="39" t="str">
        <f>VLOOKUP(H413,'Purpose dict'!$A$1:$B$12,2,0)</f>
        <v>Meeting</v>
      </c>
    </row>
    <row r="414" hidden="1">
      <c r="A414" s="3" t="s">
        <v>582</v>
      </c>
      <c r="B414" s="34">
        <v>42527.981944444444</v>
      </c>
      <c r="C414" s="34">
        <v>42527.99166666667</v>
      </c>
      <c r="D414" s="35">
        <v>423.0</v>
      </c>
      <c r="E414" s="3" t="s">
        <v>101</v>
      </c>
      <c r="F414" s="3" t="s">
        <v>60</v>
      </c>
      <c r="G414" s="36">
        <v>9.9</v>
      </c>
      <c r="H414" s="35">
        <v>3.0</v>
      </c>
      <c r="I414" s="37">
        <v>0.9819444444444444</v>
      </c>
      <c r="J414" s="37">
        <v>0.9916666666666667</v>
      </c>
      <c r="K414" s="38">
        <f t="shared" si="7"/>
        <v>0.009722222222</v>
      </c>
      <c r="L414" s="39" t="str">
        <f t="shared" si="2"/>
        <v>Evening</v>
      </c>
      <c r="M414" s="39" t="str">
        <f t="array" ref="M414">XLOOKUP(D414,'Category dict'!$B$1:$B$4,'Category dict'!$A$1:$A$4,0,0,1)</f>
        <v>Business</v>
      </c>
      <c r="N414" s="39" t="str">
        <f>VLOOKUP(H414,'Purpose dict'!$A$1:$B$12,2,0)</f>
        <v>Meeting</v>
      </c>
    </row>
    <row r="415" hidden="1">
      <c r="A415" s="3" t="s">
        <v>583</v>
      </c>
      <c r="B415" s="34">
        <v>42528.90416666667</v>
      </c>
      <c r="C415" s="34">
        <v>42528.916666666664</v>
      </c>
      <c r="D415" s="35">
        <v>423.0</v>
      </c>
      <c r="E415" s="3" t="s">
        <v>60</v>
      </c>
      <c r="F415" s="3" t="s">
        <v>101</v>
      </c>
      <c r="G415" s="36">
        <v>10.4</v>
      </c>
      <c r="H415" s="35">
        <v>3.0</v>
      </c>
      <c r="I415" s="37">
        <v>0.9041666666666667</v>
      </c>
      <c r="J415" s="37">
        <v>0.9166666666666666</v>
      </c>
      <c r="K415" s="38">
        <f t="shared" si="7"/>
        <v>0.0125</v>
      </c>
      <c r="L415" s="39" t="str">
        <f t="shared" si="2"/>
        <v>Evening</v>
      </c>
      <c r="M415" s="39" t="str">
        <f t="array" ref="M415">XLOOKUP(D415,'Category dict'!$B$1:$B$4,'Category dict'!$A$1:$A$4,0,0,1)</f>
        <v>Business</v>
      </c>
      <c r="N415" s="39" t="str">
        <f>VLOOKUP(H415,'Purpose dict'!$A$1:$B$12,2,0)</f>
        <v>Meeting</v>
      </c>
    </row>
    <row r="416" hidden="1">
      <c r="A416" s="3" t="s">
        <v>584</v>
      </c>
      <c r="B416" s="34">
        <v>42528.986805555556</v>
      </c>
      <c r="C416" s="34">
        <v>42529.00277777778</v>
      </c>
      <c r="D416" s="35">
        <v>423.0</v>
      </c>
      <c r="E416" s="3" t="s">
        <v>101</v>
      </c>
      <c r="F416" s="3" t="s">
        <v>60</v>
      </c>
      <c r="G416" s="36">
        <v>9.9</v>
      </c>
      <c r="H416" s="35">
        <v>3.0</v>
      </c>
      <c r="I416" s="37">
        <v>0.9868055555555556</v>
      </c>
      <c r="J416" s="37">
        <v>0.002777777777777778</v>
      </c>
      <c r="K416" s="41">
        <f>C416-B416</f>
        <v>0.01597222222</v>
      </c>
      <c r="L416" s="39" t="str">
        <f t="shared" si="2"/>
        <v>Evening</v>
      </c>
      <c r="M416" s="39" t="str">
        <f t="array" ref="M416">XLOOKUP(D416,'Category dict'!$B$1:$B$4,'Category dict'!$A$1:$A$4,0,0,1)</f>
        <v>Business</v>
      </c>
      <c r="N416" s="39" t="str">
        <f>VLOOKUP(H416,'Purpose dict'!$A$1:$B$12,2,0)</f>
        <v>Meeting</v>
      </c>
    </row>
    <row r="417" hidden="1">
      <c r="A417" s="3" t="s">
        <v>585</v>
      </c>
      <c r="B417" s="34">
        <v>42529.34930555556</v>
      </c>
      <c r="C417" s="34">
        <v>42529.37013888889</v>
      </c>
      <c r="D417" s="35">
        <v>423.0</v>
      </c>
      <c r="E417" s="3" t="s">
        <v>60</v>
      </c>
      <c r="F417" s="3" t="s">
        <v>62</v>
      </c>
      <c r="G417" s="36">
        <v>8.7</v>
      </c>
      <c r="H417" s="35">
        <v>1.0</v>
      </c>
      <c r="I417" s="37">
        <v>0.34930555555555554</v>
      </c>
      <c r="J417" s="37">
        <v>0.3701388888888889</v>
      </c>
      <c r="K417" s="38">
        <f t="shared" ref="K417:K426" si="8">J417-I417</f>
        <v>0.02083333333</v>
      </c>
      <c r="L417" s="39" t="str">
        <f t="shared" si="2"/>
        <v>Morning</v>
      </c>
      <c r="M417" s="39" t="str">
        <f t="array" ref="M417">XLOOKUP(D417,'Category dict'!$B$1:$B$4,'Category dict'!$A$1:$A$4,0,0,1)</f>
        <v>Business</v>
      </c>
      <c r="N417" s="39" t="str">
        <f>VLOOKUP(H417,'Purpose dict'!$A$1:$B$12,2,0)</f>
        <v>Meal/Entertain</v>
      </c>
    </row>
    <row r="418" hidden="1">
      <c r="A418" s="3" t="s">
        <v>586</v>
      </c>
      <c r="B418" s="34">
        <v>42529.50277777778</v>
      </c>
      <c r="C418" s="34">
        <v>42529.54236111111</v>
      </c>
      <c r="D418" s="35">
        <v>423.0</v>
      </c>
      <c r="E418" s="3" t="s">
        <v>64</v>
      </c>
      <c r="F418" s="3" t="s">
        <v>65</v>
      </c>
      <c r="G418" s="36">
        <v>22.3</v>
      </c>
      <c r="H418" s="35">
        <v>2.0</v>
      </c>
      <c r="I418" s="37">
        <v>0.5027777777777778</v>
      </c>
      <c r="J418" s="37">
        <v>0.5423611111111111</v>
      </c>
      <c r="K418" s="38">
        <f t="shared" si="8"/>
        <v>0.03958333333</v>
      </c>
      <c r="L418" s="39" t="str">
        <f t="shared" si="2"/>
        <v>Day</v>
      </c>
      <c r="M418" s="39" t="str">
        <f t="array" ref="M418">XLOOKUP(D418,'Category dict'!$B$1:$B$4,'Category dict'!$A$1:$A$4,0,0,1)</f>
        <v>Business</v>
      </c>
      <c r="N418" s="39" t="str">
        <f>VLOOKUP(H418,'Purpose dict'!$A$1:$B$12,2,0)</f>
        <v>Errand/Supplies</v>
      </c>
    </row>
    <row r="419" hidden="1">
      <c r="A419" s="3" t="s">
        <v>587</v>
      </c>
      <c r="B419" s="34">
        <v>42529.55</v>
      </c>
      <c r="C419" s="34">
        <v>42529.56180555555</v>
      </c>
      <c r="D419" s="35">
        <v>423.0</v>
      </c>
      <c r="E419" s="3" t="s">
        <v>588</v>
      </c>
      <c r="F419" s="3" t="s">
        <v>589</v>
      </c>
      <c r="G419" s="36">
        <v>3.3</v>
      </c>
      <c r="H419" s="35">
        <v>1.0</v>
      </c>
      <c r="I419" s="37">
        <v>0.55</v>
      </c>
      <c r="J419" s="37">
        <v>0.5618055555555556</v>
      </c>
      <c r="K419" s="38">
        <f t="shared" si="8"/>
        <v>0.01180555556</v>
      </c>
      <c r="L419" s="39" t="str">
        <f t="shared" si="2"/>
        <v>Day</v>
      </c>
      <c r="M419" s="39" t="str">
        <f t="array" ref="M419">XLOOKUP(D419,'Category dict'!$B$1:$B$4,'Category dict'!$A$1:$A$4,0,0,1)</f>
        <v>Business</v>
      </c>
      <c r="N419" s="39" t="str">
        <f>VLOOKUP(H419,'Purpose dict'!$A$1:$B$12,2,0)</f>
        <v>Meal/Entertain</v>
      </c>
    </row>
    <row r="420">
      <c r="A420" s="3" t="s">
        <v>590</v>
      </c>
      <c r="B420" s="34">
        <v>42529.60486111111</v>
      </c>
      <c r="C420" s="34">
        <v>42529.60902777778</v>
      </c>
      <c r="D420" s="35">
        <v>423.0</v>
      </c>
      <c r="E420" s="3" t="s">
        <v>591</v>
      </c>
      <c r="F420" s="3" t="s">
        <v>592</v>
      </c>
      <c r="G420" s="40">
        <v>0.7</v>
      </c>
      <c r="H420" s="35">
        <v>2.0</v>
      </c>
      <c r="I420" s="37">
        <v>0.6048611111111111</v>
      </c>
      <c r="J420" s="37">
        <v>0.6090277777777777</v>
      </c>
      <c r="K420" s="38">
        <f t="shared" si="8"/>
        <v>0.004166666667</v>
      </c>
      <c r="L420" s="39" t="str">
        <f t="shared" si="2"/>
        <v>Day</v>
      </c>
      <c r="M420" s="39" t="str">
        <f t="array" ref="M420">XLOOKUP(D420,'Category dict'!$B$1:$B$4,'Category dict'!$A$1:$A$4,0,0,1)</f>
        <v>Business</v>
      </c>
      <c r="N420" s="39" t="str">
        <f>VLOOKUP(H420,'Purpose dict'!$A$1:$B$12,2,0)</f>
        <v>Errand/Supplies</v>
      </c>
    </row>
    <row r="421" hidden="1">
      <c r="A421" s="3" t="s">
        <v>593</v>
      </c>
      <c r="B421" s="34">
        <v>42529.70486111111</v>
      </c>
      <c r="C421" s="34">
        <v>42529.71597222222</v>
      </c>
      <c r="D421" s="35">
        <v>423.0</v>
      </c>
      <c r="E421" s="3" t="s">
        <v>594</v>
      </c>
      <c r="F421" s="3" t="s">
        <v>595</v>
      </c>
      <c r="G421" s="36">
        <v>2.5</v>
      </c>
      <c r="H421" s="35">
        <v>1.0</v>
      </c>
      <c r="I421" s="37">
        <v>0.7048611111111112</v>
      </c>
      <c r="J421" s="37">
        <v>0.7159722222222222</v>
      </c>
      <c r="K421" s="38">
        <f t="shared" si="8"/>
        <v>0.01111111111</v>
      </c>
      <c r="L421" s="39" t="str">
        <f t="shared" si="2"/>
        <v>Day</v>
      </c>
      <c r="M421" s="39" t="str">
        <f t="array" ref="M421">XLOOKUP(D421,'Category dict'!$B$1:$B$4,'Category dict'!$A$1:$A$4,0,0,1)</f>
        <v>Business</v>
      </c>
      <c r="N421" s="39" t="str">
        <f>VLOOKUP(H421,'Purpose dict'!$A$1:$B$12,2,0)</f>
        <v>Meal/Entertain</v>
      </c>
    </row>
    <row r="422">
      <c r="A422" s="3" t="s">
        <v>596</v>
      </c>
      <c r="B422" s="34">
        <v>42529.71944444445</v>
      </c>
      <c r="C422" s="34">
        <v>42529.72083333333</v>
      </c>
      <c r="D422" s="35">
        <v>423.0</v>
      </c>
      <c r="E422" s="3" t="s">
        <v>595</v>
      </c>
      <c r="F422" s="3" t="s">
        <v>597</v>
      </c>
      <c r="G422" s="40">
        <v>0.5</v>
      </c>
      <c r="H422" s="35">
        <v>2.0</v>
      </c>
      <c r="I422" s="37">
        <v>0.7194444444444444</v>
      </c>
      <c r="J422" s="37">
        <v>0.7208333333333333</v>
      </c>
      <c r="K422" s="38">
        <f t="shared" si="8"/>
        <v>0.001388888889</v>
      </c>
      <c r="L422" s="39" t="str">
        <f t="shared" si="2"/>
        <v>Day</v>
      </c>
      <c r="M422" s="39" t="str">
        <f t="array" ref="M422">XLOOKUP(D422,'Category dict'!$B$1:$B$4,'Category dict'!$A$1:$A$4,0,0,1)</f>
        <v>Business</v>
      </c>
      <c r="N422" s="39" t="str">
        <f>VLOOKUP(H422,'Purpose dict'!$A$1:$B$12,2,0)</f>
        <v>Errand/Supplies</v>
      </c>
    </row>
    <row r="423">
      <c r="A423" s="3" t="s">
        <v>598</v>
      </c>
      <c r="B423" s="34">
        <v>42529.74930555555</v>
      </c>
      <c r="C423" s="34">
        <v>42529.75347222222</v>
      </c>
      <c r="D423" s="35">
        <v>423.0</v>
      </c>
      <c r="E423" s="3" t="s">
        <v>597</v>
      </c>
      <c r="F423" s="3" t="s">
        <v>599</v>
      </c>
      <c r="G423" s="40">
        <v>0.9</v>
      </c>
      <c r="H423" s="35">
        <v>2.0</v>
      </c>
      <c r="I423" s="37">
        <v>0.7493055555555556</v>
      </c>
      <c r="J423" s="37">
        <v>0.7534722222222222</v>
      </c>
      <c r="K423" s="38">
        <f t="shared" si="8"/>
        <v>0.004166666667</v>
      </c>
      <c r="L423" s="39" t="str">
        <f t="shared" si="2"/>
        <v>Day</v>
      </c>
      <c r="M423" s="39" t="str">
        <f t="array" ref="M423">XLOOKUP(D423,'Category dict'!$B$1:$B$4,'Category dict'!$A$1:$A$4,0,0,1)</f>
        <v>Business</v>
      </c>
      <c r="N423" s="39" t="str">
        <f>VLOOKUP(H423,'Purpose dict'!$A$1:$B$12,2,0)</f>
        <v>Errand/Supplies</v>
      </c>
    </row>
    <row r="424" hidden="1">
      <c r="A424" s="3" t="s">
        <v>600</v>
      </c>
      <c r="B424" s="34">
        <v>42529.84097222222</v>
      </c>
      <c r="C424" s="34">
        <v>42529.850694444445</v>
      </c>
      <c r="D424" s="35">
        <v>423.0</v>
      </c>
      <c r="E424" s="3" t="s">
        <v>599</v>
      </c>
      <c r="F424" s="3" t="s">
        <v>601</v>
      </c>
      <c r="G424" s="36">
        <v>4.8</v>
      </c>
      <c r="H424" s="35">
        <v>2.0</v>
      </c>
      <c r="I424" s="37">
        <v>0.8409722222222222</v>
      </c>
      <c r="J424" s="37">
        <v>0.8506944444444444</v>
      </c>
      <c r="K424" s="38">
        <f t="shared" si="8"/>
        <v>0.009722222222</v>
      </c>
      <c r="L424" s="39" t="str">
        <f t="shared" si="2"/>
        <v>Evening</v>
      </c>
      <c r="M424" s="39" t="str">
        <f t="array" ref="M424">XLOOKUP(D424,'Category dict'!$B$1:$B$4,'Category dict'!$A$1:$A$4,0,0,1)</f>
        <v>Business</v>
      </c>
      <c r="N424" s="39" t="str">
        <f>VLOOKUP(H424,'Purpose dict'!$A$1:$B$12,2,0)</f>
        <v>Errand/Supplies</v>
      </c>
    </row>
    <row r="425" hidden="1">
      <c r="A425" s="3" t="s">
        <v>602</v>
      </c>
      <c r="B425" s="34">
        <v>42531.638194444444</v>
      </c>
      <c r="C425" s="34">
        <v>42531.686111111114</v>
      </c>
      <c r="D425" s="35">
        <v>423.0</v>
      </c>
      <c r="E425" s="3" t="s">
        <v>65</v>
      </c>
      <c r="F425" s="3" t="s">
        <v>64</v>
      </c>
      <c r="G425" s="36">
        <v>16.3</v>
      </c>
      <c r="H425" s="35">
        <v>3.0</v>
      </c>
      <c r="I425" s="37">
        <v>0.6381944444444444</v>
      </c>
      <c r="J425" s="37">
        <v>0.6861111111111111</v>
      </c>
      <c r="K425" s="38">
        <f t="shared" si="8"/>
        <v>0.04791666667</v>
      </c>
      <c r="L425" s="39" t="str">
        <f t="shared" si="2"/>
        <v>Day</v>
      </c>
      <c r="M425" s="39" t="str">
        <f t="array" ref="M425">XLOOKUP(D425,'Category dict'!$B$1:$B$4,'Category dict'!$A$1:$A$4,0,0,1)</f>
        <v>Business</v>
      </c>
      <c r="N425" s="39" t="str">
        <f>VLOOKUP(H425,'Purpose dict'!$A$1:$B$12,2,0)</f>
        <v>Meeting</v>
      </c>
    </row>
    <row r="426" hidden="1">
      <c r="A426" s="3" t="s">
        <v>603</v>
      </c>
      <c r="B426" s="34">
        <v>42531.907638888886</v>
      </c>
      <c r="C426" s="34">
        <v>42531.919444444444</v>
      </c>
      <c r="D426" s="35">
        <v>423.0</v>
      </c>
      <c r="E426" s="3" t="s">
        <v>60</v>
      </c>
      <c r="F426" s="3" t="s">
        <v>101</v>
      </c>
      <c r="G426" s="36">
        <v>10.4</v>
      </c>
      <c r="H426" s="35">
        <v>3.0</v>
      </c>
      <c r="I426" s="37">
        <v>0.9076388888888889</v>
      </c>
      <c r="J426" s="37">
        <v>0.9194444444444444</v>
      </c>
      <c r="K426" s="38">
        <f t="shared" si="8"/>
        <v>0.01180555556</v>
      </c>
      <c r="L426" s="39" t="str">
        <f t="shared" si="2"/>
        <v>Evening</v>
      </c>
      <c r="M426" s="39" t="str">
        <f t="array" ref="M426">XLOOKUP(D426,'Category dict'!$B$1:$B$4,'Category dict'!$A$1:$A$4,0,0,1)</f>
        <v>Business</v>
      </c>
      <c r="N426" s="39" t="str">
        <f>VLOOKUP(H426,'Purpose dict'!$A$1:$B$12,2,0)</f>
        <v>Meeting</v>
      </c>
    </row>
    <row r="427" hidden="1">
      <c r="A427" s="3" t="s">
        <v>604</v>
      </c>
      <c r="B427" s="34">
        <v>42531.99513888889</v>
      </c>
      <c r="C427" s="34">
        <v>42532.00069444445</v>
      </c>
      <c r="D427" s="35">
        <v>423.0</v>
      </c>
      <c r="E427" s="3" t="s">
        <v>101</v>
      </c>
      <c r="F427" s="3" t="s">
        <v>60</v>
      </c>
      <c r="G427" s="36">
        <v>9.9</v>
      </c>
      <c r="H427" s="35">
        <v>3.0</v>
      </c>
      <c r="I427" s="37">
        <v>0.9951388888888889</v>
      </c>
      <c r="J427" s="37">
        <v>6.944444444444445E-4</v>
      </c>
      <c r="K427" s="41">
        <f>C427-B427</f>
        <v>0.005555555559</v>
      </c>
      <c r="L427" s="39" t="str">
        <f t="shared" si="2"/>
        <v>Evening</v>
      </c>
      <c r="M427" s="39" t="str">
        <f t="array" ref="M427">XLOOKUP(D427,'Category dict'!$B$1:$B$4,'Category dict'!$A$1:$A$4,0,0,1)</f>
        <v>Business</v>
      </c>
      <c r="N427" s="39" t="str">
        <f>VLOOKUP(H427,'Purpose dict'!$A$1:$B$12,2,0)</f>
        <v>Meeting</v>
      </c>
    </row>
    <row r="428" hidden="1">
      <c r="A428" s="3" t="s">
        <v>605</v>
      </c>
      <c r="B428" s="34">
        <v>42532.71388888889</v>
      </c>
      <c r="C428" s="34">
        <v>42532.71944444445</v>
      </c>
      <c r="D428" s="35">
        <v>423.0</v>
      </c>
      <c r="E428" s="3" t="s">
        <v>60</v>
      </c>
      <c r="F428" s="3" t="s">
        <v>62</v>
      </c>
      <c r="G428" s="36">
        <v>3.7</v>
      </c>
      <c r="H428" s="35">
        <v>2.0</v>
      </c>
      <c r="I428" s="37">
        <v>0.7138888888888889</v>
      </c>
      <c r="J428" s="37">
        <v>0.7194444444444444</v>
      </c>
      <c r="K428" s="38">
        <f t="shared" ref="K428:K431" si="9">J428-I428</f>
        <v>0.005555555556</v>
      </c>
      <c r="L428" s="39" t="str">
        <f t="shared" si="2"/>
        <v>Day</v>
      </c>
      <c r="M428" s="39" t="str">
        <f t="array" ref="M428">XLOOKUP(D428,'Category dict'!$B$1:$B$4,'Category dict'!$A$1:$A$4,0,0,1)</f>
        <v>Business</v>
      </c>
      <c r="N428" s="39" t="str">
        <f>VLOOKUP(H428,'Purpose dict'!$A$1:$B$12,2,0)</f>
        <v>Errand/Supplies</v>
      </c>
    </row>
    <row r="429" hidden="1">
      <c r="A429" s="3" t="s">
        <v>606</v>
      </c>
      <c r="B429" s="34">
        <v>42532.731944444444</v>
      </c>
      <c r="C429" s="34">
        <v>42532.73541666667</v>
      </c>
      <c r="D429" s="35">
        <v>423.0</v>
      </c>
      <c r="E429" s="3" t="s">
        <v>62</v>
      </c>
      <c r="F429" s="3" t="s">
        <v>60</v>
      </c>
      <c r="G429" s="36">
        <v>4.6</v>
      </c>
      <c r="H429" s="35">
        <v>1.0</v>
      </c>
      <c r="I429" s="37">
        <v>0.7319444444444444</v>
      </c>
      <c r="J429" s="37">
        <v>0.7354166666666667</v>
      </c>
      <c r="K429" s="38">
        <f t="shared" si="9"/>
        <v>0.003472222222</v>
      </c>
      <c r="L429" s="39" t="str">
        <f t="shared" si="2"/>
        <v>Day</v>
      </c>
      <c r="M429" s="39" t="str">
        <f t="array" ref="M429">XLOOKUP(D429,'Category dict'!$B$1:$B$4,'Category dict'!$A$1:$A$4,0,0,1)</f>
        <v>Business</v>
      </c>
      <c r="N429" s="39" t="str">
        <f>VLOOKUP(H429,'Purpose dict'!$A$1:$B$12,2,0)</f>
        <v>Meal/Entertain</v>
      </c>
    </row>
    <row r="430" hidden="1">
      <c r="A430" s="3" t="s">
        <v>607</v>
      </c>
      <c r="B430" s="34">
        <v>42532.743055555555</v>
      </c>
      <c r="C430" s="34">
        <v>42532.74722222222</v>
      </c>
      <c r="D430" s="35">
        <v>423.0</v>
      </c>
      <c r="E430" s="3" t="s">
        <v>123</v>
      </c>
      <c r="F430" s="3" t="s">
        <v>106</v>
      </c>
      <c r="G430" s="36">
        <v>1.7</v>
      </c>
      <c r="H430" s="35">
        <v>123.0</v>
      </c>
      <c r="I430" s="37">
        <v>0.7430555555555556</v>
      </c>
      <c r="J430" s="37">
        <v>0.7472222222222222</v>
      </c>
      <c r="K430" s="38">
        <f t="shared" si="9"/>
        <v>0.004166666667</v>
      </c>
      <c r="L430" s="39" t="str">
        <f t="shared" si="2"/>
        <v>Day</v>
      </c>
      <c r="M430" s="39" t="str">
        <f t="array" ref="M430">XLOOKUP(D430,'Category dict'!$B$1:$B$4,'Category dict'!$A$1:$A$4,0,0,1)</f>
        <v>Business</v>
      </c>
      <c r="N430" s="39" t="str">
        <f>VLOOKUP(H430,'Purpose dict'!$A$1:$B$12,2,0)</f>
        <v>NOT DEFINED</v>
      </c>
    </row>
    <row r="431" hidden="1">
      <c r="A431" s="3" t="s">
        <v>608</v>
      </c>
      <c r="B431" s="34">
        <v>42532.90625</v>
      </c>
      <c r="C431" s="34">
        <v>42532.919444444444</v>
      </c>
      <c r="D431" s="35">
        <v>423.0</v>
      </c>
      <c r="E431" s="3" t="s">
        <v>60</v>
      </c>
      <c r="F431" s="3" t="s">
        <v>101</v>
      </c>
      <c r="G431" s="36">
        <v>10.4</v>
      </c>
      <c r="H431" s="35">
        <v>3.0</v>
      </c>
      <c r="I431" s="37">
        <v>0.90625</v>
      </c>
      <c r="J431" s="37">
        <v>0.9194444444444444</v>
      </c>
      <c r="K431" s="38">
        <f t="shared" si="9"/>
        <v>0.01319444444</v>
      </c>
      <c r="L431" s="39" t="str">
        <f t="shared" si="2"/>
        <v>Evening</v>
      </c>
      <c r="M431" s="39" t="str">
        <f t="array" ref="M431">XLOOKUP(D431,'Category dict'!$B$1:$B$4,'Category dict'!$A$1:$A$4,0,0,1)</f>
        <v>Business</v>
      </c>
      <c r="N431" s="39" t="str">
        <f>VLOOKUP(H431,'Purpose dict'!$A$1:$B$12,2,0)</f>
        <v>Meeting</v>
      </c>
    </row>
    <row r="432" hidden="1">
      <c r="A432" s="3" t="s">
        <v>609</v>
      </c>
      <c r="B432" s="34">
        <v>42532.98541666667</v>
      </c>
      <c r="C432" s="34">
        <v>42533.00347222222</v>
      </c>
      <c r="D432" s="35">
        <v>423.0</v>
      </c>
      <c r="E432" s="3" t="s">
        <v>101</v>
      </c>
      <c r="F432" s="3" t="s">
        <v>60</v>
      </c>
      <c r="G432" s="36">
        <v>9.9</v>
      </c>
      <c r="H432" s="35">
        <v>3.0</v>
      </c>
      <c r="I432" s="37">
        <v>0.9854166666666667</v>
      </c>
      <c r="J432" s="37">
        <v>0.003472222222222222</v>
      </c>
      <c r="K432" s="41">
        <f>C432-B432</f>
        <v>0.01805555555</v>
      </c>
      <c r="L432" s="39" t="str">
        <f t="shared" si="2"/>
        <v>Evening</v>
      </c>
      <c r="M432" s="39" t="str">
        <f t="array" ref="M432">XLOOKUP(D432,'Category dict'!$B$1:$B$4,'Category dict'!$A$1:$A$4,0,0,1)</f>
        <v>Business</v>
      </c>
      <c r="N432" s="39" t="str">
        <f>VLOOKUP(H432,'Purpose dict'!$A$1:$B$12,2,0)</f>
        <v>Meeting</v>
      </c>
    </row>
    <row r="433" hidden="1">
      <c r="A433" s="3" t="s">
        <v>610</v>
      </c>
      <c r="B433" s="34">
        <v>42533.82847222222</v>
      </c>
      <c r="C433" s="34">
        <v>42533.830555555556</v>
      </c>
      <c r="D433" s="35">
        <v>423.0</v>
      </c>
      <c r="E433" s="3" t="s">
        <v>60</v>
      </c>
      <c r="F433" s="3" t="s">
        <v>62</v>
      </c>
      <c r="G433" s="36">
        <v>2.5</v>
      </c>
      <c r="H433" s="35">
        <v>1.0</v>
      </c>
      <c r="I433" s="37">
        <v>0.8284722222222223</v>
      </c>
      <c r="J433" s="37">
        <v>0.8305555555555556</v>
      </c>
      <c r="K433" s="38">
        <f t="shared" ref="K433:K499" si="10">J433-I433</f>
        <v>0.002083333333</v>
      </c>
      <c r="L433" s="39" t="str">
        <f t="shared" si="2"/>
        <v>Evening</v>
      </c>
      <c r="M433" s="39" t="str">
        <f t="array" ref="M433">XLOOKUP(D433,'Category dict'!$B$1:$B$4,'Category dict'!$A$1:$A$4,0,0,1)</f>
        <v>Business</v>
      </c>
      <c r="N433" s="39" t="str">
        <f>VLOOKUP(H433,'Purpose dict'!$A$1:$B$12,2,0)</f>
        <v>Meal/Entertain</v>
      </c>
    </row>
    <row r="434" hidden="1">
      <c r="A434" s="3" t="s">
        <v>611</v>
      </c>
      <c r="B434" s="34">
        <v>42533.836805555555</v>
      </c>
      <c r="C434" s="34">
        <v>42533.84444444445</v>
      </c>
      <c r="D434" s="35">
        <v>423.0</v>
      </c>
      <c r="E434" s="3" t="s">
        <v>62</v>
      </c>
      <c r="F434" s="3" t="s">
        <v>60</v>
      </c>
      <c r="G434" s="36">
        <v>4.3</v>
      </c>
      <c r="H434" s="35">
        <v>2.0</v>
      </c>
      <c r="I434" s="37">
        <v>0.8368055555555556</v>
      </c>
      <c r="J434" s="37">
        <v>0.8444444444444444</v>
      </c>
      <c r="K434" s="38">
        <f t="shared" si="10"/>
        <v>0.007638888889</v>
      </c>
      <c r="L434" s="39" t="str">
        <f t="shared" si="2"/>
        <v>Evening</v>
      </c>
      <c r="M434" s="39" t="str">
        <f t="array" ref="M434">XLOOKUP(D434,'Category dict'!$B$1:$B$4,'Category dict'!$A$1:$A$4,0,0,1)</f>
        <v>Business</v>
      </c>
      <c r="N434" s="39" t="str">
        <f>VLOOKUP(H434,'Purpose dict'!$A$1:$B$12,2,0)</f>
        <v>Errand/Supplies</v>
      </c>
    </row>
    <row r="435" hidden="1">
      <c r="A435" s="3" t="s">
        <v>612</v>
      </c>
      <c r="B435" s="34">
        <v>42533.91527777778</v>
      </c>
      <c r="C435" s="34">
        <v>42533.92986111111</v>
      </c>
      <c r="D435" s="35">
        <v>423.0</v>
      </c>
      <c r="E435" s="3" t="s">
        <v>497</v>
      </c>
      <c r="F435" s="3" t="s">
        <v>106</v>
      </c>
      <c r="G435" s="36">
        <v>2.8</v>
      </c>
      <c r="H435" s="35">
        <v>2.0</v>
      </c>
      <c r="I435" s="37">
        <v>0.9152777777777777</v>
      </c>
      <c r="J435" s="37">
        <v>0.9298611111111111</v>
      </c>
      <c r="K435" s="38">
        <f t="shared" si="10"/>
        <v>0.01458333333</v>
      </c>
      <c r="L435" s="39" t="str">
        <f t="shared" si="2"/>
        <v>Evening</v>
      </c>
      <c r="M435" s="39" t="str">
        <f t="array" ref="M435">XLOOKUP(D435,'Category dict'!$B$1:$B$4,'Category dict'!$A$1:$A$4,0,0,1)</f>
        <v>Business</v>
      </c>
      <c r="N435" s="39" t="str">
        <f>VLOOKUP(H435,'Purpose dict'!$A$1:$B$12,2,0)</f>
        <v>Errand/Supplies</v>
      </c>
    </row>
    <row r="436" hidden="1">
      <c r="A436" s="3" t="s">
        <v>613</v>
      </c>
      <c r="B436" s="34">
        <v>42534.22430555556</v>
      </c>
      <c r="C436" s="34">
        <v>42534.2375</v>
      </c>
      <c r="D436" s="35">
        <v>423.0</v>
      </c>
      <c r="E436" s="3" t="s">
        <v>60</v>
      </c>
      <c r="F436" s="3" t="s">
        <v>62</v>
      </c>
      <c r="G436" s="36">
        <v>8.4</v>
      </c>
      <c r="H436" s="35">
        <v>1.0</v>
      </c>
      <c r="I436" s="37">
        <v>0.22430555555555556</v>
      </c>
      <c r="J436" s="37">
        <v>0.2375</v>
      </c>
      <c r="K436" s="38">
        <f t="shared" si="10"/>
        <v>0.01319444444</v>
      </c>
      <c r="L436" s="39" t="str">
        <f t="shared" si="2"/>
        <v>Night</v>
      </c>
      <c r="M436" s="39" t="str">
        <f t="array" ref="M436">XLOOKUP(D436,'Category dict'!$B$1:$B$4,'Category dict'!$A$1:$A$4,0,0,1)</f>
        <v>Business</v>
      </c>
      <c r="N436" s="39" t="str">
        <f>VLOOKUP(H436,'Purpose dict'!$A$1:$B$12,2,0)</f>
        <v>Meal/Entertain</v>
      </c>
    </row>
    <row r="437" hidden="1">
      <c r="A437" s="3" t="s">
        <v>614</v>
      </c>
      <c r="B437" s="34">
        <v>42534.595138888886</v>
      </c>
      <c r="C437" s="34">
        <v>42534.615277777775</v>
      </c>
      <c r="D437" s="35">
        <v>423.0</v>
      </c>
      <c r="E437" s="3" t="s">
        <v>615</v>
      </c>
      <c r="F437" s="3" t="s">
        <v>616</v>
      </c>
      <c r="G437" s="36">
        <v>13.2</v>
      </c>
      <c r="H437" s="35">
        <v>3.0</v>
      </c>
      <c r="I437" s="37">
        <v>0.5951388888888889</v>
      </c>
      <c r="J437" s="37">
        <v>0.6152777777777778</v>
      </c>
      <c r="K437" s="38">
        <f t="shared" si="10"/>
        <v>0.02013888889</v>
      </c>
      <c r="L437" s="39" t="str">
        <f t="shared" si="2"/>
        <v>Day</v>
      </c>
      <c r="M437" s="39" t="str">
        <f t="array" ref="M437">XLOOKUP(D437,'Category dict'!$B$1:$B$4,'Category dict'!$A$1:$A$4,0,0,1)</f>
        <v>Business</v>
      </c>
      <c r="N437" s="39" t="str">
        <f>VLOOKUP(H437,'Purpose dict'!$A$1:$B$12,2,0)</f>
        <v>Meeting</v>
      </c>
    </row>
    <row r="438" hidden="1">
      <c r="A438" s="3" t="s">
        <v>617</v>
      </c>
      <c r="B438" s="34">
        <v>42534.75555555556</v>
      </c>
      <c r="C438" s="34">
        <v>42534.782638888886</v>
      </c>
      <c r="D438" s="35">
        <v>423.0</v>
      </c>
      <c r="E438" s="3" t="s">
        <v>616</v>
      </c>
      <c r="F438" s="3" t="s">
        <v>618</v>
      </c>
      <c r="G438" s="36">
        <v>3.9</v>
      </c>
      <c r="H438" s="35">
        <v>1.0</v>
      </c>
      <c r="I438" s="37">
        <v>0.7555555555555555</v>
      </c>
      <c r="J438" s="37">
        <v>0.7826388888888889</v>
      </c>
      <c r="K438" s="38">
        <f t="shared" si="10"/>
        <v>0.02708333333</v>
      </c>
      <c r="L438" s="39" t="str">
        <f t="shared" si="2"/>
        <v>Evening</v>
      </c>
      <c r="M438" s="39" t="str">
        <f t="array" ref="M438">XLOOKUP(D438,'Category dict'!$B$1:$B$4,'Category dict'!$A$1:$A$4,0,0,1)</f>
        <v>Business</v>
      </c>
      <c r="N438" s="39" t="str">
        <f>VLOOKUP(H438,'Purpose dict'!$A$1:$B$12,2,0)</f>
        <v>Meal/Entertain</v>
      </c>
    </row>
    <row r="439" hidden="1">
      <c r="A439" s="3" t="s">
        <v>619</v>
      </c>
      <c r="B439" s="34">
        <v>42534.7875</v>
      </c>
      <c r="C439" s="34">
        <v>42534.80763888889</v>
      </c>
      <c r="D439" s="35">
        <v>423.0</v>
      </c>
      <c r="E439" s="3" t="s">
        <v>618</v>
      </c>
      <c r="F439" s="3" t="s">
        <v>615</v>
      </c>
      <c r="G439" s="36">
        <v>5.1</v>
      </c>
      <c r="H439" s="35">
        <v>1.0</v>
      </c>
      <c r="I439" s="37">
        <v>0.7875</v>
      </c>
      <c r="J439" s="37">
        <v>0.8076388888888889</v>
      </c>
      <c r="K439" s="38">
        <f t="shared" si="10"/>
        <v>0.02013888889</v>
      </c>
      <c r="L439" s="39" t="str">
        <f t="shared" si="2"/>
        <v>Evening</v>
      </c>
      <c r="M439" s="39" t="str">
        <f t="array" ref="M439">XLOOKUP(D439,'Category dict'!$B$1:$B$4,'Category dict'!$A$1:$A$4,0,0,1)</f>
        <v>Business</v>
      </c>
      <c r="N439" s="39" t="str">
        <f>VLOOKUP(H439,'Purpose dict'!$A$1:$B$12,2,0)</f>
        <v>Meal/Entertain</v>
      </c>
    </row>
    <row r="440" hidden="1">
      <c r="A440" s="3" t="s">
        <v>620</v>
      </c>
      <c r="B440" s="34">
        <v>42534.833333333336</v>
      </c>
      <c r="C440" s="34">
        <v>42534.836805555555</v>
      </c>
      <c r="D440" s="35">
        <v>423.0</v>
      </c>
      <c r="E440" s="3" t="s">
        <v>615</v>
      </c>
      <c r="F440" s="3" t="s">
        <v>208</v>
      </c>
      <c r="G440" s="36">
        <v>5.2</v>
      </c>
      <c r="H440" s="35">
        <v>4.0</v>
      </c>
      <c r="I440" s="37">
        <v>0.8333333333333334</v>
      </c>
      <c r="J440" s="37">
        <v>0.8368055555555556</v>
      </c>
      <c r="K440" s="38">
        <f t="shared" si="10"/>
        <v>0.003472222222</v>
      </c>
      <c r="L440" s="39" t="str">
        <f t="shared" si="2"/>
        <v>Evening</v>
      </c>
      <c r="M440" s="39" t="str">
        <f t="array" ref="M440">XLOOKUP(D440,'Category dict'!$B$1:$B$4,'Category dict'!$A$1:$A$4,0,0,1)</f>
        <v>Business</v>
      </c>
      <c r="N440" s="39" t="str">
        <f>VLOOKUP(H440,'Purpose dict'!$A$1:$B$12,2,0)</f>
        <v>Customer Visit</v>
      </c>
    </row>
    <row r="441" hidden="1">
      <c r="A441" s="3" t="s">
        <v>621</v>
      </c>
      <c r="B441" s="34">
        <v>42535.50208333333</v>
      </c>
      <c r="C441" s="34">
        <v>42535.51458333333</v>
      </c>
      <c r="D441" s="35">
        <v>423.0</v>
      </c>
      <c r="E441" s="3" t="s">
        <v>616</v>
      </c>
      <c r="F441" s="3" t="s">
        <v>520</v>
      </c>
      <c r="G441" s="36">
        <v>9.8</v>
      </c>
      <c r="H441" s="35">
        <v>123.0</v>
      </c>
      <c r="I441" s="37">
        <v>0.5020833333333333</v>
      </c>
      <c r="J441" s="37">
        <v>0.5145833333333333</v>
      </c>
      <c r="K441" s="38">
        <f t="shared" si="10"/>
        <v>0.0125</v>
      </c>
      <c r="L441" s="39" t="str">
        <f t="shared" si="2"/>
        <v>Day</v>
      </c>
      <c r="M441" s="39" t="str">
        <f t="array" ref="M441">XLOOKUP(D441,'Category dict'!$B$1:$B$4,'Category dict'!$A$1:$A$4,0,0,1)</f>
        <v>Business</v>
      </c>
      <c r="N441" s="39" t="str">
        <f>VLOOKUP(H441,'Purpose dict'!$A$1:$B$12,2,0)</f>
        <v>NOT DEFINED</v>
      </c>
    </row>
    <row r="442" hidden="1">
      <c r="A442" s="3" t="s">
        <v>622</v>
      </c>
      <c r="B442" s="34">
        <v>42535.67291666667</v>
      </c>
      <c r="C442" s="34">
        <v>42535.69375</v>
      </c>
      <c r="D442" s="35">
        <v>423.0</v>
      </c>
      <c r="E442" s="3" t="s">
        <v>520</v>
      </c>
      <c r="F442" s="3" t="s">
        <v>616</v>
      </c>
      <c r="G442" s="36">
        <v>11.6</v>
      </c>
      <c r="H442" s="35">
        <v>3.0</v>
      </c>
      <c r="I442" s="37">
        <v>0.6729166666666667</v>
      </c>
      <c r="J442" s="37">
        <v>0.69375</v>
      </c>
      <c r="K442" s="38">
        <f t="shared" si="10"/>
        <v>0.02083333333</v>
      </c>
      <c r="L442" s="39" t="str">
        <f t="shared" si="2"/>
        <v>Day</v>
      </c>
      <c r="M442" s="39" t="str">
        <f t="array" ref="M442">XLOOKUP(D442,'Category dict'!$B$1:$B$4,'Category dict'!$A$1:$A$4,0,0,1)</f>
        <v>Business</v>
      </c>
      <c r="N442" s="39" t="str">
        <f>VLOOKUP(H442,'Purpose dict'!$A$1:$B$12,2,0)</f>
        <v>Meeting</v>
      </c>
    </row>
    <row r="443" hidden="1">
      <c r="A443" s="3" t="s">
        <v>623</v>
      </c>
      <c r="B443" s="34">
        <v>42535.71875</v>
      </c>
      <c r="C443" s="34">
        <v>42535.725</v>
      </c>
      <c r="D443" s="35">
        <v>423.0</v>
      </c>
      <c r="E443" s="3" t="s">
        <v>616</v>
      </c>
      <c r="F443" s="3" t="s">
        <v>615</v>
      </c>
      <c r="G443" s="36">
        <v>5.1</v>
      </c>
      <c r="H443" s="35">
        <v>3.0</v>
      </c>
      <c r="I443" s="37">
        <v>0.71875</v>
      </c>
      <c r="J443" s="37">
        <v>0.725</v>
      </c>
      <c r="K443" s="38">
        <f t="shared" si="10"/>
        <v>0.00625</v>
      </c>
      <c r="L443" s="39" t="str">
        <f t="shared" si="2"/>
        <v>Day</v>
      </c>
      <c r="M443" s="39" t="str">
        <f t="array" ref="M443">XLOOKUP(D443,'Category dict'!$B$1:$B$4,'Category dict'!$A$1:$A$4,0,0,1)</f>
        <v>Business</v>
      </c>
      <c r="N443" s="39" t="str">
        <f>VLOOKUP(H443,'Purpose dict'!$A$1:$B$12,2,0)</f>
        <v>Meeting</v>
      </c>
    </row>
    <row r="444" hidden="1">
      <c r="A444" s="3" t="s">
        <v>624</v>
      </c>
      <c r="B444" s="34">
        <v>42535.72708333333</v>
      </c>
      <c r="C444" s="34">
        <v>42535.74791666667</v>
      </c>
      <c r="D444" s="35">
        <v>423.0</v>
      </c>
      <c r="E444" s="3" t="s">
        <v>91</v>
      </c>
      <c r="F444" s="3" t="s">
        <v>625</v>
      </c>
      <c r="G444" s="36">
        <v>9.3</v>
      </c>
      <c r="H444" s="35">
        <v>2.0</v>
      </c>
      <c r="I444" s="37">
        <v>0.7270833333333333</v>
      </c>
      <c r="J444" s="37">
        <v>0.7479166666666667</v>
      </c>
      <c r="K444" s="38">
        <f t="shared" si="10"/>
        <v>0.02083333333</v>
      </c>
      <c r="L444" s="39" t="str">
        <f t="shared" si="2"/>
        <v>Day</v>
      </c>
      <c r="M444" s="39" t="str">
        <f t="array" ref="M444">XLOOKUP(D444,'Category dict'!$B$1:$B$4,'Category dict'!$A$1:$A$4,0,0,1)</f>
        <v>Business</v>
      </c>
      <c r="N444" s="39" t="str">
        <f>VLOOKUP(H444,'Purpose dict'!$A$1:$B$12,2,0)</f>
        <v>Errand/Supplies</v>
      </c>
    </row>
    <row r="445" hidden="1">
      <c r="A445" s="3" t="s">
        <v>626</v>
      </c>
      <c r="B445" s="34">
        <v>42536.07361111111</v>
      </c>
      <c r="C445" s="34">
        <v>42536.0875</v>
      </c>
      <c r="D445" s="35">
        <v>423.0</v>
      </c>
      <c r="E445" s="3" t="s">
        <v>627</v>
      </c>
      <c r="F445" s="3" t="s">
        <v>628</v>
      </c>
      <c r="G445" s="36">
        <v>12.4</v>
      </c>
      <c r="H445" s="35">
        <v>6.0</v>
      </c>
      <c r="I445" s="37">
        <v>0.07361111111111111</v>
      </c>
      <c r="J445" s="37">
        <v>0.0875</v>
      </c>
      <c r="K445" s="38">
        <f t="shared" si="10"/>
        <v>0.01388888889</v>
      </c>
      <c r="L445" s="39" t="str">
        <f t="shared" si="2"/>
        <v>Night</v>
      </c>
      <c r="M445" s="39" t="str">
        <f t="array" ref="M445">XLOOKUP(D445,'Category dict'!$B$1:$B$4,'Category dict'!$A$1:$A$4,0,0,1)</f>
        <v>Business</v>
      </c>
      <c r="N445" s="39" t="str">
        <f>VLOOKUP(H445,'Purpose dict'!$A$1:$B$12,2,0)</f>
        <v>Between Offices</v>
      </c>
    </row>
    <row r="446" hidden="1">
      <c r="A446" s="3" t="s">
        <v>629</v>
      </c>
      <c r="B446" s="34">
        <v>42536.643055555556</v>
      </c>
      <c r="C446" s="34">
        <v>42536.64861111111</v>
      </c>
      <c r="D446" s="35">
        <v>423.0</v>
      </c>
      <c r="E446" s="3" t="s">
        <v>630</v>
      </c>
      <c r="F446" s="3" t="s">
        <v>631</v>
      </c>
      <c r="G446" s="36">
        <v>1.9</v>
      </c>
      <c r="H446" s="35">
        <v>6.0</v>
      </c>
      <c r="I446" s="37">
        <v>0.6430555555555556</v>
      </c>
      <c r="J446" s="37">
        <v>0.6486111111111111</v>
      </c>
      <c r="K446" s="38">
        <f t="shared" si="10"/>
        <v>0.005555555556</v>
      </c>
      <c r="L446" s="39" t="str">
        <f t="shared" si="2"/>
        <v>Day</v>
      </c>
      <c r="M446" s="39" t="str">
        <f t="array" ref="M446">XLOOKUP(D446,'Category dict'!$B$1:$B$4,'Category dict'!$A$1:$A$4,0,0,1)</f>
        <v>Business</v>
      </c>
      <c r="N446" s="39" t="str">
        <f>VLOOKUP(H446,'Purpose dict'!$A$1:$B$12,2,0)</f>
        <v>Between Offices</v>
      </c>
    </row>
    <row r="447" hidden="1">
      <c r="A447" s="3" t="s">
        <v>632</v>
      </c>
      <c r="B447" s="34">
        <v>42536.69236111111</v>
      </c>
      <c r="C447" s="34">
        <v>42536.70972222222</v>
      </c>
      <c r="D447" s="35">
        <v>423.0</v>
      </c>
      <c r="E447" s="3" t="s">
        <v>631</v>
      </c>
      <c r="F447" s="3" t="s">
        <v>633</v>
      </c>
      <c r="G447" s="36">
        <v>6.4</v>
      </c>
      <c r="H447" s="35">
        <v>4.0</v>
      </c>
      <c r="I447" s="37">
        <v>0.6923611111111111</v>
      </c>
      <c r="J447" s="37">
        <v>0.7097222222222223</v>
      </c>
      <c r="K447" s="38">
        <f t="shared" si="10"/>
        <v>0.01736111111</v>
      </c>
      <c r="L447" s="39" t="str">
        <f t="shared" si="2"/>
        <v>Day</v>
      </c>
      <c r="M447" s="39" t="str">
        <f t="array" ref="M447">XLOOKUP(D447,'Category dict'!$B$1:$B$4,'Category dict'!$A$1:$A$4,0,0,1)</f>
        <v>Business</v>
      </c>
      <c r="N447" s="39" t="str">
        <f>VLOOKUP(H447,'Purpose dict'!$A$1:$B$12,2,0)</f>
        <v>Customer Visit</v>
      </c>
    </row>
    <row r="448" hidden="1">
      <c r="A448" s="3" t="s">
        <v>634</v>
      </c>
      <c r="B448" s="34">
        <v>42536.728472222225</v>
      </c>
      <c r="C448" s="34">
        <v>42536.74236111111</v>
      </c>
      <c r="D448" s="35">
        <v>527.0</v>
      </c>
      <c r="E448" s="3" t="s">
        <v>633</v>
      </c>
      <c r="F448" s="3" t="s">
        <v>635</v>
      </c>
      <c r="G448" s="36">
        <v>5.5</v>
      </c>
      <c r="H448" s="35">
        <v>123.0</v>
      </c>
      <c r="I448" s="37">
        <v>0.7284722222222222</v>
      </c>
      <c r="J448" s="37">
        <v>0.7423611111111111</v>
      </c>
      <c r="K448" s="38">
        <f t="shared" si="10"/>
        <v>0.01388888889</v>
      </c>
      <c r="L448" s="39" t="str">
        <f t="shared" si="2"/>
        <v>Day</v>
      </c>
      <c r="M448" s="39" t="str">
        <f t="array" ref="M448">XLOOKUP(D448,'Category dict'!$B$1:$B$4,'Category dict'!$A$1:$A$4,0,0,1)</f>
        <v>Personal</v>
      </c>
      <c r="N448" s="39" t="str">
        <f>VLOOKUP(H448,'Purpose dict'!$A$1:$B$12,2,0)</f>
        <v>NOT DEFINED</v>
      </c>
    </row>
    <row r="449">
      <c r="A449" s="3" t="s">
        <v>636</v>
      </c>
      <c r="B449" s="34">
        <v>42536.82777777778</v>
      </c>
      <c r="C449" s="34">
        <v>42536.83194444444</v>
      </c>
      <c r="D449" s="35">
        <v>423.0</v>
      </c>
      <c r="E449" s="3" t="s">
        <v>635</v>
      </c>
      <c r="F449" s="3" t="s">
        <v>637</v>
      </c>
      <c r="G449" s="40">
        <v>1.5</v>
      </c>
      <c r="H449" s="35">
        <v>1.0</v>
      </c>
      <c r="I449" s="37">
        <v>0.8277777777777777</v>
      </c>
      <c r="J449" s="37">
        <v>0.8319444444444445</v>
      </c>
      <c r="K449" s="38">
        <f t="shared" si="10"/>
        <v>0.004166666667</v>
      </c>
      <c r="L449" s="39" t="str">
        <f t="shared" si="2"/>
        <v>Evening</v>
      </c>
      <c r="M449" s="39" t="str">
        <f t="array" ref="M449">XLOOKUP(D449,'Category dict'!$B$1:$B$4,'Category dict'!$A$1:$A$4,0,0,1)</f>
        <v>Business</v>
      </c>
      <c r="N449" s="39" t="str">
        <f>VLOOKUP(H449,'Purpose dict'!$A$1:$B$12,2,0)</f>
        <v>Meal/Entertain</v>
      </c>
    </row>
    <row r="450" hidden="1">
      <c r="A450" s="3" t="s">
        <v>638</v>
      </c>
      <c r="B450" s="34">
        <v>42537.566666666666</v>
      </c>
      <c r="C450" s="34">
        <v>42537.604166666664</v>
      </c>
      <c r="D450" s="35">
        <v>423.0</v>
      </c>
      <c r="E450" s="3" t="s">
        <v>628</v>
      </c>
      <c r="F450" s="3" t="s">
        <v>639</v>
      </c>
      <c r="G450" s="36">
        <v>14.5</v>
      </c>
      <c r="H450" s="35">
        <v>123.0</v>
      </c>
      <c r="I450" s="37">
        <v>0.5666666666666667</v>
      </c>
      <c r="J450" s="37">
        <v>0.6041666666666666</v>
      </c>
      <c r="K450" s="38">
        <f t="shared" si="10"/>
        <v>0.0375</v>
      </c>
      <c r="L450" s="39" t="str">
        <f t="shared" si="2"/>
        <v>Day</v>
      </c>
      <c r="M450" s="39" t="str">
        <f t="array" ref="M450">XLOOKUP(D450,'Category dict'!$B$1:$B$4,'Category dict'!$A$1:$A$4,0,0,1)</f>
        <v>Business</v>
      </c>
      <c r="N450" s="39" t="str">
        <f>VLOOKUP(H450,'Purpose dict'!$A$1:$B$12,2,0)</f>
        <v>NOT DEFINED</v>
      </c>
    </row>
    <row r="451" hidden="1">
      <c r="A451" s="3" t="s">
        <v>640</v>
      </c>
      <c r="B451" s="34">
        <v>42537.6125</v>
      </c>
      <c r="C451" s="34">
        <v>42537.615277777775</v>
      </c>
      <c r="D451" s="35">
        <v>423.0</v>
      </c>
      <c r="E451" s="3" t="s">
        <v>639</v>
      </c>
      <c r="F451" s="3" t="s">
        <v>627</v>
      </c>
      <c r="G451" s="36">
        <v>2.7</v>
      </c>
      <c r="H451" s="35">
        <v>123.0</v>
      </c>
      <c r="I451" s="37">
        <v>0.6125</v>
      </c>
      <c r="J451" s="37">
        <v>0.6152777777777778</v>
      </c>
      <c r="K451" s="38">
        <f t="shared" si="10"/>
        <v>0.002777777778</v>
      </c>
      <c r="L451" s="39" t="str">
        <f t="shared" si="2"/>
        <v>Day</v>
      </c>
      <c r="M451" s="39" t="str">
        <f t="array" ref="M451">XLOOKUP(D451,'Category dict'!$B$1:$B$4,'Category dict'!$A$1:$A$4,0,0,1)</f>
        <v>Business</v>
      </c>
      <c r="N451" s="39" t="str">
        <f>VLOOKUP(H451,'Purpose dict'!$A$1:$B$12,2,0)</f>
        <v>NOT DEFINED</v>
      </c>
    </row>
    <row r="452" hidden="1">
      <c r="A452" s="3" t="s">
        <v>641</v>
      </c>
      <c r="B452" s="34">
        <v>42537.63680555556</v>
      </c>
      <c r="C452" s="34">
        <v>42537.65347222222</v>
      </c>
      <c r="D452" s="35">
        <v>423.0</v>
      </c>
      <c r="E452" s="3" t="s">
        <v>627</v>
      </c>
      <c r="F452" s="3" t="s">
        <v>628</v>
      </c>
      <c r="G452" s="36">
        <v>15.0</v>
      </c>
      <c r="H452" s="35">
        <v>123.0</v>
      </c>
      <c r="I452" s="37">
        <v>0.6368055555555555</v>
      </c>
      <c r="J452" s="37">
        <v>0.6534722222222222</v>
      </c>
      <c r="K452" s="38">
        <f t="shared" si="10"/>
        <v>0.01666666667</v>
      </c>
      <c r="L452" s="39" t="str">
        <f t="shared" si="2"/>
        <v>Day</v>
      </c>
      <c r="M452" s="39" t="str">
        <f t="array" ref="M452">XLOOKUP(D452,'Category dict'!$B$1:$B$4,'Category dict'!$A$1:$A$4,0,0,1)</f>
        <v>Business</v>
      </c>
      <c r="N452" s="39" t="str">
        <f>VLOOKUP(H452,'Purpose dict'!$A$1:$B$12,2,0)</f>
        <v>NOT DEFINED</v>
      </c>
    </row>
    <row r="453" hidden="1">
      <c r="A453" s="3" t="s">
        <v>642</v>
      </c>
      <c r="B453" s="34">
        <v>42537.81875</v>
      </c>
      <c r="C453" s="34">
        <v>42537.830555555556</v>
      </c>
      <c r="D453" s="35">
        <v>423.0</v>
      </c>
      <c r="E453" s="3" t="s">
        <v>628</v>
      </c>
      <c r="F453" s="3" t="s">
        <v>627</v>
      </c>
      <c r="G453" s="36">
        <v>12.9</v>
      </c>
      <c r="H453" s="35">
        <v>123.0</v>
      </c>
      <c r="I453" s="37">
        <v>0.81875</v>
      </c>
      <c r="J453" s="37">
        <v>0.8305555555555556</v>
      </c>
      <c r="K453" s="38">
        <f t="shared" si="10"/>
        <v>0.01180555556</v>
      </c>
      <c r="L453" s="39" t="str">
        <f t="shared" si="2"/>
        <v>Evening</v>
      </c>
      <c r="M453" s="39" t="str">
        <f t="array" ref="M453">XLOOKUP(D453,'Category dict'!$B$1:$B$4,'Category dict'!$A$1:$A$4,0,0,1)</f>
        <v>Business</v>
      </c>
      <c r="N453" s="39" t="str">
        <f>VLOOKUP(H453,'Purpose dict'!$A$1:$B$12,2,0)</f>
        <v>NOT DEFINED</v>
      </c>
    </row>
    <row r="454" hidden="1">
      <c r="A454" s="3" t="s">
        <v>643</v>
      </c>
      <c r="B454" s="34">
        <v>42537.904861111114</v>
      </c>
      <c r="C454" s="34">
        <v>42537.91388888889</v>
      </c>
      <c r="D454" s="35">
        <v>423.0</v>
      </c>
      <c r="E454" s="3" t="s">
        <v>627</v>
      </c>
      <c r="F454" s="3" t="s">
        <v>628</v>
      </c>
      <c r="G454" s="36">
        <v>13.6</v>
      </c>
      <c r="H454" s="35">
        <v>123.0</v>
      </c>
      <c r="I454" s="37">
        <v>0.9048611111111111</v>
      </c>
      <c r="J454" s="37">
        <v>0.9138888888888889</v>
      </c>
      <c r="K454" s="38">
        <f t="shared" si="10"/>
        <v>0.009027777778</v>
      </c>
      <c r="L454" s="39" t="str">
        <f t="shared" si="2"/>
        <v>Evening</v>
      </c>
      <c r="M454" s="39" t="str">
        <f t="array" ref="M454">XLOOKUP(D454,'Category dict'!$B$1:$B$4,'Category dict'!$A$1:$A$4,0,0,1)</f>
        <v>Business</v>
      </c>
      <c r="N454" s="39" t="str">
        <f>VLOOKUP(H454,'Purpose dict'!$A$1:$B$12,2,0)</f>
        <v>NOT DEFINED</v>
      </c>
    </row>
    <row r="455" hidden="1">
      <c r="A455" s="3" t="s">
        <v>644</v>
      </c>
      <c r="B455" s="34">
        <v>42538.674305555556</v>
      </c>
      <c r="C455" s="34">
        <v>42538.697222222225</v>
      </c>
      <c r="D455" s="35">
        <v>423.0</v>
      </c>
      <c r="E455" s="3" t="s">
        <v>628</v>
      </c>
      <c r="F455" s="3" t="s">
        <v>627</v>
      </c>
      <c r="G455" s="36">
        <v>12.2</v>
      </c>
      <c r="H455" s="35">
        <v>123.0</v>
      </c>
      <c r="I455" s="37">
        <v>0.6743055555555556</v>
      </c>
      <c r="J455" s="37">
        <v>0.6972222222222222</v>
      </c>
      <c r="K455" s="38">
        <f t="shared" si="10"/>
        <v>0.02291666667</v>
      </c>
      <c r="L455" s="39" t="str">
        <f t="shared" si="2"/>
        <v>Day</v>
      </c>
      <c r="M455" s="39" t="str">
        <f t="array" ref="M455">XLOOKUP(D455,'Category dict'!$B$1:$B$4,'Category dict'!$A$1:$A$4,0,0,1)</f>
        <v>Business</v>
      </c>
      <c r="N455" s="39" t="str">
        <f>VLOOKUP(H455,'Purpose dict'!$A$1:$B$12,2,0)</f>
        <v>NOT DEFINED</v>
      </c>
    </row>
    <row r="456" hidden="1">
      <c r="A456" s="3" t="s">
        <v>645</v>
      </c>
      <c r="B456" s="34">
        <v>42539.02013888889</v>
      </c>
      <c r="C456" s="34">
        <v>42539.035416666666</v>
      </c>
      <c r="D456" s="35">
        <v>423.0</v>
      </c>
      <c r="E456" s="3" t="s">
        <v>62</v>
      </c>
      <c r="F456" s="3" t="s">
        <v>60</v>
      </c>
      <c r="G456" s="36">
        <v>8.7</v>
      </c>
      <c r="H456" s="35">
        <v>123.0</v>
      </c>
      <c r="I456" s="37">
        <v>0.02013888888888889</v>
      </c>
      <c r="J456" s="37">
        <v>0.035416666666666666</v>
      </c>
      <c r="K456" s="38">
        <f t="shared" si="10"/>
        <v>0.01527777778</v>
      </c>
      <c r="L456" s="39" t="str">
        <f t="shared" si="2"/>
        <v>Night</v>
      </c>
      <c r="M456" s="39" t="str">
        <f t="array" ref="M456">XLOOKUP(D456,'Category dict'!$B$1:$B$4,'Category dict'!$A$1:$A$4,0,0,1)</f>
        <v>Business</v>
      </c>
      <c r="N456" s="39" t="str">
        <f>VLOOKUP(H456,'Purpose dict'!$A$1:$B$12,2,0)</f>
        <v>NOT DEFINED</v>
      </c>
    </row>
    <row r="457" hidden="1">
      <c r="A457" s="3" t="s">
        <v>646</v>
      </c>
      <c r="B457" s="34">
        <v>42540.11041666667</v>
      </c>
      <c r="C457" s="34">
        <v>42540.118055555555</v>
      </c>
      <c r="D457" s="35">
        <v>423.0</v>
      </c>
      <c r="E457" s="3" t="s">
        <v>60</v>
      </c>
      <c r="F457" s="3" t="s">
        <v>111</v>
      </c>
      <c r="G457" s="36">
        <v>6.0</v>
      </c>
      <c r="H457" s="35">
        <v>123.0</v>
      </c>
      <c r="I457" s="37">
        <v>0.11041666666666666</v>
      </c>
      <c r="J457" s="37">
        <v>0.11805555555555555</v>
      </c>
      <c r="K457" s="38">
        <f t="shared" si="10"/>
        <v>0.007638888889</v>
      </c>
      <c r="L457" s="39" t="str">
        <f t="shared" si="2"/>
        <v>Night</v>
      </c>
      <c r="M457" s="39" t="str">
        <f t="array" ref="M457">XLOOKUP(D457,'Category dict'!$B$1:$B$4,'Category dict'!$A$1:$A$4,0,0,1)</f>
        <v>Business</v>
      </c>
      <c r="N457" s="39" t="str">
        <f>VLOOKUP(H457,'Purpose dict'!$A$1:$B$12,2,0)</f>
        <v>NOT DEFINED</v>
      </c>
    </row>
    <row r="458" hidden="1">
      <c r="A458" s="3" t="s">
        <v>647</v>
      </c>
      <c r="B458" s="34">
        <v>42540.24375</v>
      </c>
      <c r="C458" s="34">
        <v>42540.25</v>
      </c>
      <c r="D458" s="35">
        <v>423.0</v>
      </c>
      <c r="E458" s="3" t="s">
        <v>111</v>
      </c>
      <c r="F458" s="3" t="s">
        <v>60</v>
      </c>
      <c r="G458" s="36">
        <v>5.9</v>
      </c>
      <c r="H458" s="35">
        <v>123.0</v>
      </c>
      <c r="I458" s="37">
        <v>0.24375</v>
      </c>
      <c r="J458" s="37">
        <v>0.25</v>
      </c>
      <c r="K458" s="38">
        <f t="shared" si="10"/>
        <v>0.00625</v>
      </c>
      <c r="L458" s="39" t="str">
        <f t="shared" si="2"/>
        <v>Night</v>
      </c>
      <c r="M458" s="39" t="str">
        <f t="array" ref="M458">XLOOKUP(D458,'Category dict'!$B$1:$B$4,'Category dict'!$A$1:$A$4,0,0,1)</f>
        <v>Business</v>
      </c>
      <c r="N458" s="39" t="str">
        <f>VLOOKUP(H458,'Purpose dict'!$A$1:$B$12,2,0)</f>
        <v>NOT DEFINED</v>
      </c>
    </row>
    <row r="459" hidden="1">
      <c r="A459" s="3" t="s">
        <v>648</v>
      </c>
      <c r="B459" s="34">
        <v>42542.652083333334</v>
      </c>
      <c r="C459" s="34">
        <v>42542.67222222222</v>
      </c>
      <c r="D459" s="35">
        <v>423.0</v>
      </c>
      <c r="E459" s="3" t="s">
        <v>60</v>
      </c>
      <c r="F459" s="3" t="s">
        <v>111</v>
      </c>
      <c r="G459" s="36">
        <v>19.3</v>
      </c>
      <c r="H459" s="35">
        <v>123.0</v>
      </c>
      <c r="I459" s="37">
        <v>0.6520833333333333</v>
      </c>
      <c r="J459" s="37">
        <v>0.6722222222222223</v>
      </c>
      <c r="K459" s="38">
        <f t="shared" si="10"/>
        <v>0.02013888889</v>
      </c>
      <c r="L459" s="39" t="str">
        <f t="shared" si="2"/>
        <v>Day</v>
      </c>
      <c r="M459" s="39" t="str">
        <f t="array" ref="M459">XLOOKUP(D459,'Category dict'!$B$1:$B$4,'Category dict'!$A$1:$A$4,0,0,1)</f>
        <v>Business</v>
      </c>
      <c r="N459" s="39" t="str">
        <f>VLOOKUP(H459,'Purpose dict'!$A$1:$B$12,2,0)</f>
        <v>NOT DEFINED</v>
      </c>
    </row>
    <row r="460" hidden="1">
      <c r="A460" s="3" t="s">
        <v>649</v>
      </c>
      <c r="B460" s="34">
        <v>42542.71597222222</v>
      </c>
      <c r="C460" s="34">
        <v>42542.751388888886</v>
      </c>
      <c r="D460" s="35">
        <v>423.0</v>
      </c>
      <c r="E460" s="3" t="s">
        <v>111</v>
      </c>
      <c r="F460" s="3" t="s">
        <v>60</v>
      </c>
      <c r="G460" s="36">
        <v>16.6</v>
      </c>
      <c r="H460" s="35">
        <v>1.0</v>
      </c>
      <c r="I460" s="37">
        <v>0.7159722222222222</v>
      </c>
      <c r="J460" s="37">
        <v>0.7513888888888889</v>
      </c>
      <c r="K460" s="38">
        <f t="shared" si="10"/>
        <v>0.03541666667</v>
      </c>
      <c r="L460" s="39" t="str">
        <f t="shared" si="2"/>
        <v>Day</v>
      </c>
      <c r="M460" s="39" t="str">
        <f t="array" ref="M460">XLOOKUP(D460,'Category dict'!$B$1:$B$4,'Category dict'!$A$1:$A$4,0,0,1)</f>
        <v>Business</v>
      </c>
      <c r="N460" s="39" t="str">
        <f>VLOOKUP(H460,'Purpose dict'!$A$1:$B$12,2,0)</f>
        <v>Meal/Entertain</v>
      </c>
    </row>
    <row r="461" hidden="1">
      <c r="A461" s="3" t="s">
        <v>650</v>
      </c>
      <c r="B461" s="34">
        <v>42545.44513888889</v>
      </c>
      <c r="C461" s="34">
        <v>42545.45625</v>
      </c>
      <c r="D461" s="35">
        <v>423.0</v>
      </c>
      <c r="E461" s="3" t="s">
        <v>106</v>
      </c>
      <c r="F461" s="3" t="s">
        <v>276</v>
      </c>
      <c r="G461" s="36">
        <v>7.1</v>
      </c>
      <c r="H461" s="35">
        <v>1.0</v>
      </c>
      <c r="I461" s="37">
        <v>0.44513888888888886</v>
      </c>
      <c r="J461" s="37">
        <v>0.45625</v>
      </c>
      <c r="K461" s="38">
        <f t="shared" si="10"/>
        <v>0.01111111111</v>
      </c>
      <c r="L461" s="39" t="str">
        <f t="shared" si="2"/>
        <v>Morning</v>
      </c>
      <c r="M461" s="39" t="str">
        <f t="array" ref="M461">XLOOKUP(D461,'Category dict'!$B$1:$B$4,'Category dict'!$A$1:$A$4,0,0,1)</f>
        <v>Business</v>
      </c>
      <c r="N461" s="39" t="str">
        <f>VLOOKUP(H461,'Purpose dict'!$A$1:$B$12,2,0)</f>
        <v>Meal/Entertain</v>
      </c>
    </row>
    <row r="462" hidden="1">
      <c r="A462" s="3" t="s">
        <v>651</v>
      </c>
      <c r="B462" s="34">
        <v>42545.495833333334</v>
      </c>
      <c r="C462" s="34">
        <v>42545.50069444445</v>
      </c>
      <c r="D462" s="35">
        <v>423.0</v>
      </c>
      <c r="E462" s="3" t="s">
        <v>276</v>
      </c>
      <c r="F462" s="3" t="s">
        <v>161</v>
      </c>
      <c r="G462" s="36">
        <v>2.1</v>
      </c>
      <c r="H462" s="35">
        <v>1.0</v>
      </c>
      <c r="I462" s="37">
        <v>0.49583333333333335</v>
      </c>
      <c r="J462" s="37">
        <v>0.5006944444444444</v>
      </c>
      <c r="K462" s="38">
        <f t="shared" si="10"/>
        <v>0.004861111111</v>
      </c>
      <c r="L462" s="39" t="str">
        <f t="shared" si="2"/>
        <v>Morning</v>
      </c>
      <c r="M462" s="39" t="str">
        <f t="array" ref="M462">XLOOKUP(D462,'Category dict'!$B$1:$B$4,'Category dict'!$A$1:$A$4,0,0,1)</f>
        <v>Business</v>
      </c>
      <c r="N462" s="39" t="str">
        <f>VLOOKUP(H462,'Purpose dict'!$A$1:$B$12,2,0)</f>
        <v>Meal/Entertain</v>
      </c>
    </row>
    <row r="463" hidden="1">
      <c r="A463" s="3" t="s">
        <v>652</v>
      </c>
      <c r="B463" s="34">
        <v>42545.513194444444</v>
      </c>
      <c r="C463" s="34">
        <v>42545.52569444444</v>
      </c>
      <c r="D463" s="35">
        <v>423.0</v>
      </c>
      <c r="E463" s="3" t="s">
        <v>60</v>
      </c>
      <c r="F463" s="3" t="s">
        <v>111</v>
      </c>
      <c r="G463" s="36">
        <v>8.6</v>
      </c>
      <c r="H463" s="35">
        <v>2.0</v>
      </c>
      <c r="I463" s="37">
        <v>0.5131944444444444</v>
      </c>
      <c r="J463" s="37">
        <v>0.5256944444444445</v>
      </c>
      <c r="K463" s="38">
        <f t="shared" si="10"/>
        <v>0.0125</v>
      </c>
      <c r="L463" s="39" t="str">
        <f t="shared" si="2"/>
        <v>Day</v>
      </c>
      <c r="M463" s="39" t="str">
        <f t="array" ref="M463">XLOOKUP(D463,'Category dict'!$B$1:$B$4,'Category dict'!$A$1:$A$4,0,0,1)</f>
        <v>Business</v>
      </c>
      <c r="N463" s="39" t="str">
        <f>VLOOKUP(H463,'Purpose dict'!$A$1:$B$12,2,0)</f>
        <v>Errand/Supplies</v>
      </c>
    </row>
    <row r="464" hidden="1">
      <c r="A464" s="3" t="s">
        <v>653</v>
      </c>
      <c r="B464" s="34">
        <v>42545.53472222222</v>
      </c>
      <c r="C464" s="34">
        <v>42545.55</v>
      </c>
      <c r="D464" s="35">
        <v>423.0</v>
      </c>
      <c r="E464" s="3" t="s">
        <v>111</v>
      </c>
      <c r="F464" s="3" t="s">
        <v>62</v>
      </c>
      <c r="G464" s="36">
        <v>9.0</v>
      </c>
      <c r="H464" s="35">
        <v>2.0</v>
      </c>
      <c r="I464" s="37">
        <v>0.5347222222222222</v>
      </c>
      <c r="J464" s="37">
        <v>0.55</v>
      </c>
      <c r="K464" s="38">
        <f t="shared" si="10"/>
        <v>0.01527777778</v>
      </c>
      <c r="L464" s="39" t="str">
        <f t="shared" si="2"/>
        <v>Day</v>
      </c>
      <c r="M464" s="39" t="str">
        <f t="array" ref="M464">XLOOKUP(D464,'Category dict'!$B$1:$B$4,'Category dict'!$A$1:$A$4,0,0,1)</f>
        <v>Business</v>
      </c>
      <c r="N464" s="39" t="str">
        <f>VLOOKUP(H464,'Purpose dict'!$A$1:$B$12,2,0)</f>
        <v>Errand/Supplies</v>
      </c>
    </row>
    <row r="465" hidden="1">
      <c r="A465" s="3" t="s">
        <v>654</v>
      </c>
      <c r="B465" s="34">
        <v>42545.55416666667</v>
      </c>
      <c r="C465" s="34">
        <v>42545.56041666667</v>
      </c>
      <c r="D465" s="35">
        <v>423.0</v>
      </c>
      <c r="E465" s="3" t="s">
        <v>62</v>
      </c>
      <c r="F465" s="3" t="s">
        <v>60</v>
      </c>
      <c r="G465" s="36">
        <v>3.1</v>
      </c>
      <c r="H465" s="35">
        <v>2.0</v>
      </c>
      <c r="I465" s="37">
        <v>0.5541666666666667</v>
      </c>
      <c r="J465" s="37">
        <v>0.5604166666666667</v>
      </c>
      <c r="K465" s="38">
        <f t="shared" si="10"/>
        <v>0.00625</v>
      </c>
      <c r="L465" s="39" t="str">
        <f t="shared" si="2"/>
        <v>Day</v>
      </c>
      <c r="M465" s="39" t="str">
        <f t="array" ref="M465">XLOOKUP(D465,'Category dict'!$B$1:$B$4,'Category dict'!$A$1:$A$4,0,0,1)</f>
        <v>Business</v>
      </c>
      <c r="N465" s="39" t="str">
        <f>VLOOKUP(H465,'Purpose dict'!$A$1:$B$12,2,0)</f>
        <v>Errand/Supplies</v>
      </c>
    </row>
    <row r="466" hidden="1">
      <c r="A466" s="3" t="s">
        <v>655</v>
      </c>
      <c r="B466" s="34">
        <v>42545.584027777775</v>
      </c>
      <c r="C466" s="34">
        <v>42545.59722222222</v>
      </c>
      <c r="D466" s="35">
        <v>423.0</v>
      </c>
      <c r="E466" s="3" t="s">
        <v>60</v>
      </c>
      <c r="F466" s="3" t="s">
        <v>62</v>
      </c>
      <c r="G466" s="36">
        <v>8.4</v>
      </c>
      <c r="H466" s="35">
        <v>5.0</v>
      </c>
      <c r="I466" s="37">
        <v>0.5840277777777778</v>
      </c>
      <c r="J466" s="37">
        <v>0.5972222222222222</v>
      </c>
      <c r="K466" s="38">
        <f t="shared" si="10"/>
        <v>0.01319444444</v>
      </c>
      <c r="L466" s="39" t="str">
        <f t="shared" si="2"/>
        <v>Day</v>
      </c>
      <c r="M466" s="39" t="str">
        <f t="array" ref="M466">XLOOKUP(D466,'Category dict'!$B$1:$B$4,'Category dict'!$A$1:$A$4,0,0,1)</f>
        <v>Business</v>
      </c>
      <c r="N466" s="39" t="str">
        <f>VLOOKUP(H466,'Purpose dict'!$A$1:$B$12,2,0)</f>
        <v>Temporary Site</v>
      </c>
    </row>
    <row r="467" hidden="1">
      <c r="A467" s="3" t="s">
        <v>656</v>
      </c>
      <c r="B467" s="34">
        <v>42545.86388888889</v>
      </c>
      <c r="C467" s="34">
        <v>42545.876388888886</v>
      </c>
      <c r="D467" s="35">
        <v>423.0</v>
      </c>
      <c r="E467" s="3" t="s">
        <v>627</v>
      </c>
      <c r="F467" s="3" t="s">
        <v>628</v>
      </c>
      <c r="G467" s="36">
        <v>12.8</v>
      </c>
      <c r="H467" s="35">
        <v>123.0</v>
      </c>
      <c r="I467" s="37">
        <v>0.8638888888888889</v>
      </c>
      <c r="J467" s="37">
        <v>0.8763888888888889</v>
      </c>
      <c r="K467" s="38">
        <f t="shared" si="10"/>
        <v>0.0125</v>
      </c>
      <c r="L467" s="39" t="str">
        <f t="shared" si="2"/>
        <v>Evening</v>
      </c>
      <c r="M467" s="39" t="str">
        <f t="array" ref="M467">XLOOKUP(D467,'Category dict'!$B$1:$B$4,'Category dict'!$A$1:$A$4,0,0,1)</f>
        <v>Business</v>
      </c>
      <c r="N467" s="39" t="str">
        <f>VLOOKUP(H467,'Purpose dict'!$A$1:$B$12,2,0)</f>
        <v>NOT DEFINED</v>
      </c>
    </row>
    <row r="468" hidden="1">
      <c r="A468" s="3" t="s">
        <v>657</v>
      </c>
      <c r="B468" s="34">
        <v>42546.37708333333</v>
      </c>
      <c r="C468" s="34">
        <v>42546.38333333333</v>
      </c>
      <c r="D468" s="35">
        <v>423.0</v>
      </c>
      <c r="E468" s="3" t="s">
        <v>630</v>
      </c>
      <c r="F468" s="3" t="s">
        <v>658</v>
      </c>
      <c r="G468" s="36">
        <v>4.5</v>
      </c>
      <c r="H468" s="35">
        <v>123.0</v>
      </c>
      <c r="I468" s="37">
        <v>0.3770833333333333</v>
      </c>
      <c r="J468" s="37">
        <v>0.38333333333333336</v>
      </c>
      <c r="K468" s="38">
        <f t="shared" si="10"/>
        <v>0.00625</v>
      </c>
      <c r="L468" s="39" t="str">
        <f t="shared" si="2"/>
        <v>Morning</v>
      </c>
      <c r="M468" s="39" t="str">
        <f t="array" ref="M468">XLOOKUP(D468,'Category dict'!$B$1:$B$4,'Category dict'!$A$1:$A$4,0,0,1)</f>
        <v>Business</v>
      </c>
      <c r="N468" s="39" t="str">
        <f>VLOOKUP(H468,'Purpose dict'!$A$1:$B$12,2,0)</f>
        <v>NOT DEFINED</v>
      </c>
    </row>
    <row r="469" hidden="1">
      <c r="A469" s="3" t="s">
        <v>659</v>
      </c>
      <c r="B469" s="34">
        <v>42546.385416666664</v>
      </c>
      <c r="C469" s="34">
        <v>42546.42222222222</v>
      </c>
      <c r="D469" s="35">
        <v>423.0</v>
      </c>
      <c r="E469" s="3" t="s">
        <v>628</v>
      </c>
      <c r="F469" s="3" t="s">
        <v>660</v>
      </c>
      <c r="G469" s="36">
        <v>11.8</v>
      </c>
      <c r="H469" s="35">
        <v>6.0</v>
      </c>
      <c r="I469" s="37">
        <v>0.3854166666666667</v>
      </c>
      <c r="J469" s="37">
        <v>0.4222222222222222</v>
      </c>
      <c r="K469" s="38">
        <f t="shared" si="10"/>
        <v>0.03680555556</v>
      </c>
      <c r="L469" s="39" t="str">
        <f t="shared" si="2"/>
        <v>Morning</v>
      </c>
      <c r="M469" s="39" t="str">
        <f t="array" ref="M469">XLOOKUP(D469,'Category dict'!$B$1:$B$4,'Category dict'!$A$1:$A$4,0,0,1)</f>
        <v>Business</v>
      </c>
      <c r="N469" s="39" t="str">
        <f>VLOOKUP(H469,'Purpose dict'!$A$1:$B$12,2,0)</f>
        <v>Between Offices</v>
      </c>
    </row>
    <row r="470">
      <c r="A470" s="3" t="s">
        <v>661</v>
      </c>
      <c r="B470" s="34">
        <v>42546.42916666667</v>
      </c>
      <c r="C470" s="34">
        <v>42546.43402777778</v>
      </c>
      <c r="D470" s="35">
        <v>423.0</v>
      </c>
      <c r="E470" s="3" t="s">
        <v>660</v>
      </c>
      <c r="F470" s="3" t="s">
        <v>662</v>
      </c>
      <c r="G470" s="40">
        <v>1.1</v>
      </c>
      <c r="H470" s="35">
        <v>2.0</v>
      </c>
      <c r="I470" s="37">
        <v>0.42916666666666664</v>
      </c>
      <c r="J470" s="37">
        <v>0.4340277777777778</v>
      </c>
      <c r="K470" s="38">
        <f t="shared" si="10"/>
        <v>0.004861111111</v>
      </c>
      <c r="L470" s="39" t="str">
        <f t="shared" si="2"/>
        <v>Morning</v>
      </c>
      <c r="M470" s="39" t="str">
        <f t="array" ref="M470">XLOOKUP(D470,'Category dict'!$B$1:$B$4,'Category dict'!$A$1:$A$4,0,0,1)</f>
        <v>Business</v>
      </c>
      <c r="N470" s="39" t="str">
        <f>VLOOKUP(H470,'Purpose dict'!$A$1:$B$12,2,0)</f>
        <v>Errand/Supplies</v>
      </c>
    </row>
    <row r="471" hidden="1">
      <c r="A471" s="3" t="s">
        <v>663</v>
      </c>
      <c r="B471" s="34">
        <v>42546.45138888889</v>
      </c>
      <c r="C471" s="34">
        <v>42546.47083333333</v>
      </c>
      <c r="D471" s="35">
        <v>423.0</v>
      </c>
      <c r="E471" s="3" t="s">
        <v>662</v>
      </c>
      <c r="F471" s="3" t="s">
        <v>639</v>
      </c>
      <c r="G471" s="36">
        <v>17.0</v>
      </c>
      <c r="H471" s="35">
        <v>1.0</v>
      </c>
      <c r="I471" s="37">
        <v>0.4513888888888889</v>
      </c>
      <c r="J471" s="37">
        <v>0.4708333333333333</v>
      </c>
      <c r="K471" s="38">
        <f t="shared" si="10"/>
        <v>0.01944444444</v>
      </c>
      <c r="L471" s="39" t="str">
        <f t="shared" si="2"/>
        <v>Morning</v>
      </c>
      <c r="M471" s="39" t="str">
        <f t="array" ref="M471">XLOOKUP(D471,'Category dict'!$B$1:$B$4,'Category dict'!$A$1:$A$4,0,0,1)</f>
        <v>Business</v>
      </c>
      <c r="N471" s="39" t="str">
        <f>VLOOKUP(H471,'Purpose dict'!$A$1:$B$12,2,0)</f>
        <v>Meal/Entertain</v>
      </c>
    </row>
    <row r="472" hidden="1">
      <c r="A472" s="3" t="s">
        <v>664</v>
      </c>
      <c r="B472" s="34">
        <v>42546.475694444445</v>
      </c>
      <c r="C472" s="34">
        <v>42546.481944444444</v>
      </c>
      <c r="D472" s="35">
        <v>423.0</v>
      </c>
      <c r="E472" s="3" t="s">
        <v>665</v>
      </c>
      <c r="F472" s="3" t="s">
        <v>665</v>
      </c>
      <c r="G472" s="36">
        <v>1.7</v>
      </c>
      <c r="H472" s="35">
        <v>3.0</v>
      </c>
      <c r="I472" s="37">
        <v>0.4756944444444444</v>
      </c>
      <c r="J472" s="37">
        <v>0.48194444444444445</v>
      </c>
      <c r="K472" s="38">
        <f t="shared" si="10"/>
        <v>0.00625</v>
      </c>
      <c r="L472" s="39" t="str">
        <f t="shared" si="2"/>
        <v>Morning</v>
      </c>
      <c r="M472" s="39" t="str">
        <f t="array" ref="M472">XLOOKUP(D472,'Category dict'!$B$1:$B$4,'Category dict'!$A$1:$A$4,0,0,1)</f>
        <v>Business</v>
      </c>
      <c r="N472" s="39" t="str">
        <f>VLOOKUP(H472,'Purpose dict'!$A$1:$B$12,2,0)</f>
        <v>Meeting</v>
      </c>
    </row>
    <row r="473" hidden="1">
      <c r="A473" s="3" t="s">
        <v>666</v>
      </c>
      <c r="B473" s="34">
        <v>42546.49513888889</v>
      </c>
      <c r="C473" s="34">
        <v>42546.55625</v>
      </c>
      <c r="D473" s="35">
        <v>423.0</v>
      </c>
      <c r="E473" s="3" t="s">
        <v>639</v>
      </c>
      <c r="F473" s="3" t="s">
        <v>628</v>
      </c>
      <c r="G473" s="36">
        <v>15.5</v>
      </c>
      <c r="H473" s="35">
        <v>3.0</v>
      </c>
      <c r="I473" s="37">
        <v>0.4951388888888889</v>
      </c>
      <c r="J473" s="37">
        <v>0.55625</v>
      </c>
      <c r="K473" s="38">
        <f t="shared" si="10"/>
        <v>0.06111111111</v>
      </c>
      <c r="L473" s="39" t="str">
        <f t="shared" si="2"/>
        <v>Morning</v>
      </c>
      <c r="M473" s="39" t="str">
        <f t="array" ref="M473">XLOOKUP(D473,'Category dict'!$B$1:$B$4,'Category dict'!$A$1:$A$4,0,0,1)</f>
        <v>Business</v>
      </c>
      <c r="N473" s="39" t="str">
        <f>VLOOKUP(H473,'Purpose dict'!$A$1:$B$12,2,0)</f>
        <v>Meeting</v>
      </c>
    </row>
    <row r="474" hidden="1">
      <c r="A474" s="3" t="s">
        <v>667</v>
      </c>
      <c r="B474" s="34">
        <v>42546.82430555556</v>
      </c>
      <c r="C474" s="34">
        <v>42546.83194444444</v>
      </c>
      <c r="D474" s="35">
        <v>423.0</v>
      </c>
      <c r="E474" s="3" t="s">
        <v>635</v>
      </c>
      <c r="F474" s="3" t="s">
        <v>668</v>
      </c>
      <c r="G474" s="36">
        <v>1.6</v>
      </c>
      <c r="H474" s="35">
        <v>123.0</v>
      </c>
      <c r="I474" s="37">
        <v>0.8243055555555555</v>
      </c>
      <c r="J474" s="37">
        <v>0.8319444444444445</v>
      </c>
      <c r="K474" s="38">
        <f t="shared" si="10"/>
        <v>0.007638888889</v>
      </c>
      <c r="L474" s="39" t="str">
        <f t="shared" si="2"/>
        <v>Evening</v>
      </c>
      <c r="M474" s="39" t="str">
        <f t="array" ref="M474">XLOOKUP(D474,'Category dict'!$B$1:$B$4,'Category dict'!$A$1:$A$4,0,0,1)</f>
        <v>Business</v>
      </c>
      <c r="N474" s="39" t="str">
        <f>VLOOKUP(H474,'Purpose dict'!$A$1:$B$12,2,0)</f>
        <v>NOT DEFINED</v>
      </c>
    </row>
    <row r="475">
      <c r="A475" s="3" t="s">
        <v>669</v>
      </c>
      <c r="B475" s="34">
        <v>42546.97152777778</v>
      </c>
      <c r="C475" s="34">
        <v>42546.97638888889</v>
      </c>
      <c r="D475" s="35">
        <v>423.0</v>
      </c>
      <c r="E475" s="3" t="s">
        <v>668</v>
      </c>
      <c r="F475" s="3" t="s">
        <v>635</v>
      </c>
      <c r="G475" s="40">
        <v>1.5</v>
      </c>
      <c r="H475" s="35">
        <v>123.0</v>
      </c>
      <c r="I475" s="37">
        <v>0.9715277777777778</v>
      </c>
      <c r="J475" s="37">
        <v>0.9763888888888889</v>
      </c>
      <c r="K475" s="38">
        <f t="shared" si="10"/>
        <v>0.004861111111</v>
      </c>
      <c r="L475" s="39" t="str">
        <f t="shared" si="2"/>
        <v>Evening</v>
      </c>
      <c r="M475" s="39" t="str">
        <f t="array" ref="M475">XLOOKUP(D475,'Category dict'!$B$1:$B$4,'Category dict'!$A$1:$A$4,0,0,1)</f>
        <v>Business</v>
      </c>
      <c r="N475" s="39" t="str">
        <f>VLOOKUP(H475,'Purpose dict'!$A$1:$B$12,2,0)</f>
        <v>NOT DEFINED</v>
      </c>
    </row>
    <row r="476" hidden="1">
      <c r="A476" s="3" t="s">
        <v>670</v>
      </c>
      <c r="B476" s="34">
        <v>42547.73819444444</v>
      </c>
      <c r="C476" s="34">
        <v>42547.7625</v>
      </c>
      <c r="D476" s="35">
        <v>423.0</v>
      </c>
      <c r="E476" s="3" t="s">
        <v>628</v>
      </c>
      <c r="F476" s="3" t="s">
        <v>627</v>
      </c>
      <c r="G476" s="36">
        <v>12.6</v>
      </c>
      <c r="H476" s="35">
        <v>3.0</v>
      </c>
      <c r="I476" s="37">
        <v>0.7381944444444445</v>
      </c>
      <c r="J476" s="37">
        <v>0.7625</v>
      </c>
      <c r="K476" s="38">
        <f t="shared" si="10"/>
        <v>0.02430555556</v>
      </c>
      <c r="L476" s="39" t="str">
        <f t="shared" si="2"/>
        <v>Day</v>
      </c>
      <c r="M476" s="39" t="str">
        <f t="array" ref="M476">XLOOKUP(D476,'Category dict'!$B$1:$B$4,'Category dict'!$A$1:$A$4,0,0,1)</f>
        <v>Business</v>
      </c>
      <c r="N476" s="39" t="str">
        <f>VLOOKUP(H476,'Purpose dict'!$A$1:$B$12,2,0)</f>
        <v>Meeting</v>
      </c>
    </row>
    <row r="477" hidden="1">
      <c r="A477" s="3" t="s">
        <v>671</v>
      </c>
      <c r="B477" s="34">
        <v>42547.78125</v>
      </c>
      <c r="C477" s="34">
        <v>42547.8</v>
      </c>
      <c r="D477" s="35">
        <v>423.0</v>
      </c>
      <c r="E477" s="3" t="s">
        <v>665</v>
      </c>
      <c r="F477" s="3" t="s">
        <v>665</v>
      </c>
      <c r="G477" s="36">
        <v>4.8</v>
      </c>
      <c r="H477" s="35">
        <v>123.0</v>
      </c>
      <c r="I477" s="37">
        <v>0.78125</v>
      </c>
      <c r="J477" s="37">
        <v>0.8</v>
      </c>
      <c r="K477" s="38">
        <f t="shared" si="10"/>
        <v>0.01875</v>
      </c>
      <c r="L477" s="39" t="str">
        <f t="shared" si="2"/>
        <v>Evening</v>
      </c>
      <c r="M477" s="39" t="str">
        <f t="array" ref="M477">XLOOKUP(D477,'Category dict'!$B$1:$B$4,'Category dict'!$A$1:$A$4,0,0,1)</f>
        <v>Business</v>
      </c>
      <c r="N477" s="39" t="str">
        <f>VLOOKUP(H477,'Purpose dict'!$A$1:$B$12,2,0)</f>
        <v>NOT DEFINED</v>
      </c>
    </row>
    <row r="478" hidden="1">
      <c r="A478" s="3" t="s">
        <v>672</v>
      </c>
      <c r="B478" s="34">
        <v>42547.82013888889</v>
      </c>
      <c r="C478" s="34">
        <v>42547.82638888889</v>
      </c>
      <c r="D478" s="35">
        <v>423.0</v>
      </c>
      <c r="E478" s="3" t="s">
        <v>627</v>
      </c>
      <c r="F478" s="3" t="s">
        <v>627</v>
      </c>
      <c r="G478" s="36">
        <v>2.2</v>
      </c>
      <c r="H478" s="35">
        <v>123.0</v>
      </c>
      <c r="I478" s="37">
        <v>0.8201388888888889</v>
      </c>
      <c r="J478" s="37">
        <v>0.8263888888888888</v>
      </c>
      <c r="K478" s="38">
        <f t="shared" si="10"/>
        <v>0.00625</v>
      </c>
      <c r="L478" s="39" t="str">
        <f t="shared" si="2"/>
        <v>Evening</v>
      </c>
      <c r="M478" s="39" t="str">
        <f t="array" ref="M478">XLOOKUP(D478,'Category dict'!$B$1:$B$4,'Category dict'!$A$1:$A$4,0,0,1)</f>
        <v>Business</v>
      </c>
      <c r="N478" s="39" t="str">
        <f>VLOOKUP(H478,'Purpose dict'!$A$1:$B$12,2,0)</f>
        <v>NOT DEFINED</v>
      </c>
    </row>
    <row r="479" hidden="1">
      <c r="A479" s="3" t="s">
        <v>673</v>
      </c>
      <c r="B479" s="34">
        <v>42547.884722222225</v>
      </c>
      <c r="C479" s="34">
        <v>42547.90416666667</v>
      </c>
      <c r="D479" s="35">
        <v>423.0</v>
      </c>
      <c r="E479" s="3" t="s">
        <v>627</v>
      </c>
      <c r="F479" s="3" t="s">
        <v>628</v>
      </c>
      <c r="G479" s="36">
        <v>13.0</v>
      </c>
      <c r="H479" s="35">
        <v>123.0</v>
      </c>
      <c r="I479" s="37">
        <v>0.8847222222222222</v>
      </c>
      <c r="J479" s="37">
        <v>0.9041666666666667</v>
      </c>
      <c r="K479" s="38">
        <f t="shared" si="10"/>
        <v>0.01944444444</v>
      </c>
      <c r="L479" s="39" t="str">
        <f t="shared" si="2"/>
        <v>Evening</v>
      </c>
      <c r="M479" s="39" t="str">
        <f t="array" ref="M479">XLOOKUP(D479,'Category dict'!$B$1:$B$4,'Category dict'!$A$1:$A$4,0,0,1)</f>
        <v>Business</v>
      </c>
      <c r="N479" s="39" t="str">
        <f>VLOOKUP(H479,'Purpose dict'!$A$1:$B$12,2,0)</f>
        <v>NOT DEFINED</v>
      </c>
    </row>
    <row r="480" hidden="1">
      <c r="A480" s="3" t="s">
        <v>674</v>
      </c>
      <c r="B480" s="34">
        <v>42548.31736111111</v>
      </c>
      <c r="C480" s="34">
        <v>42548.36666666667</v>
      </c>
      <c r="D480" s="35">
        <v>423.0</v>
      </c>
      <c r="E480" s="3" t="s">
        <v>628</v>
      </c>
      <c r="F480" s="3" t="s">
        <v>675</v>
      </c>
      <c r="G480" s="36">
        <v>46.9</v>
      </c>
      <c r="H480" s="35">
        <v>123.0</v>
      </c>
      <c r="I480" s="37">
        <v>0.3173611111111111</v>
      </c>
      <c r="J480" s="37">
        <v>0.36666666666666664</v>
      </c>
      <c r="K480" s="38">
        <f t="shared" si="10"/>
        <v>0.04930555556</v>
      </c>
      <c r="L480" s="39" t="str">
        <f t="shared" si="2"/>
        <v>Morning</v>
      </c>
      <c r="M480" s="39" t="str">
        <f t="array" ref="M480">XLOOKUP(D480,'Category dict'!$B$1:$B$4,'Category dict'!$A$1:$A$4,0,0,1)</f>
        <v>Business</v>
      </c>
      <c r="N480" s="39" t="str">
        <f>VLOOKUP(H480,'Purpose dict'!$A$1:$B$12,2,0)</f>
        <v>NOT DEFINED</v>
      </c>
    </row>
    <row r="481" hidden="1">
      <c r="A481" s="3" t="s">
        <v>676</v>
      </c>
      <c r="B481" s="34">
        <v>42548.36875</v>
      </c>
      <c r="C481" s="34">
        <v>42548.375</v>
      </c>
      <c r="D481" s="35">
        <v>423.0</v>
      </c>
      <c r="E481" s="3" t="s">
        <v>675</v>
      </c>
      <c r="F481" s="3" t="s">
        <v>675</v>
      </c>
      <c r="G481" s="36">
        <v>2.5</v>
      </c>
      <c r="H481" s="35">
        <v>123.0</v>
      </c>
      <c r="I481" s="37">
        <v>0.36875</v>
      </c>
      <c r="J481" s="37">
        <v>0.375</v>
      </c>
      <c r="K481" s="38">
        <f t="shared" si="10"/>
        <v>0.00625</v>
      </c>
      <c r="L481" s="39" t="str">
        <f t="shared" si="2"/>
        <v>Morning</v>
      </c>
      <c r="M481" s="39" t="str">
        <f t="array" ref="M481">XLOOKUP(D481,'Category dict'!$B$1:$B$4,'Category dict'!$A$1:$A$4,0,0,1)</f>
        <v>Business</v>
      </c>
      <c r="N481" s="39" t="str">
        <f>VLOOKUP(H481,'Purpose dict'!$A$1:$B$12,2,0)</f>
        <v>NOT DEFINED</v>
      </c>
    </row>
    <row r="482" hidden="1">
      <c r="A482" s="3" t="s">
        <v>677</v>
      </c>
      <c r="B482" s="34">
        <v>42548.37847222222</v>
      </c>
      <c r="C482" s="34">
        <v>42548.39791666667</v>
      </c>
      <c r="D482" s="35">
        <v>423.0</v>
      </c>
      <c r="E482" s="3" t="s">
        <v>675</v>
      </c>
      <c r="F482" s="3" t="s">
        <v>675</v>
      </c>
      <c r="G482" s="36">
        <v>8.6</v>
      </c>
      <c r="H482" s="35">
        <v>123.0</v>
      </c>
      <c r="I482" s="37">
        <v>0.3784722222222222</v>
      </c>
      <c r="J482" s="37">
        <v>0.39791666666666664</v>
      </c>
      <c r="K482" s="38">
        <f t="shared" si="10"/>
        <v>0.01944444444</v>
      </c>
      <c r="L482" s="39" t="str">
        <f t="shared" si="2"/>
        <v>Morning</v>
      </c>
      <c r="M482" s="39" t="str">
        <f t="array" ref="M482">XLOOKUP(D482,'Category dict'!$B$1:$B$4,'Category dict'!$A$1:$A$4,0,0,1)</f>
        <v>Business</v>
      </c>
      <c r="N482" s="39" t="str">
        <f>VLOOKUP(H482,'Purpose dict'!$A$1:$B$12,2,0)</f>
        <v>NOT DEFINED</v>
      </c>
    </row>
    <row r="483" hidden="1">
      <c r="A483" s="3" t="s">
        <v>678</v>
      </c>
      <c r="B483" s="34">
        <v>42548.404861111114</v>
      </c>
      <c r="C483" s="34">
        <v>42548.42222222222</v>
      </c>
      <c r="D483" s="35">
        <v>423.0</v>
      </c>
      <c r="E483" s="3" t="s">
        <v>675</v>
      </c>
      <c r="F483" s="3" t="s">
        <v>675</v>
      </c>
      <c r="G483" s="36">
        <v>5.2</v>
      </c>
      <c r="H483" s="35">
        <v>123.0</v>
      </c>
      <c r="I483" s="37">
        <v>0.4048611111111111</v>
      </c>
      <c r="J483" s="37">
        <v>0.4222222222222222</v>
      </c>
      <c r="K483" s="38">
        <f t="shared" si="10"/>
        <v>0.01736111111</v>
      </c>
      <c r="L483" s="39" t="str">
        <f t="shared" si="2"/>
        <v>Morning</v>
      </c>
      <c r="M483" s="39" t="str">
        <f t="array" ref="M483">XLOOKUP(D483,'Category dict'!$B$1:$B$4,'Category dict'!$A$1:$A$4,0,0,1)</f>
        <v>Business</v>
      </c>
      <c r="N483" s="39" t="str">
        <f>VLOOKUP(H483,'Purpose dict'!$A$1:$B$12,2,0)</f>
        <v>NOT DEFINED</v>
      </c>
    </row>
    <row r="484" hidden="1">
      <c r="A484" s="3" t="s">
        <v>679</v>
      </c>
      <c r="B484" s="34">
        <v>42548.43194444444</v>
      </c>
      <c r="C484" s="34">
        <v>42548.44375</v>
      </c>
      <c r="D484" s="35">
        <v>423.0</v>
      </c>
      <c r="E484" s="3" t="s">
        <v>675</v>
      </c>
      <c r="F484" s="3" t="s">
        <v>675</v>
      </c>
      <c r="G484" s="36">
        <v>7.6</v>
      </c>
      <c r="H484" s="35">
        <v>123.0</v>
      </c>
      <c r="I484" s="37">
        <v>0.43194444444444446</v>
      </c>
      <c r="J484" s="37">
        <v>0.44375</v>
      </c>
      <c r="K484" s="38">
        <f t="shared" si="10"/>
        <v>0.01180555556</v>
      </c>
      <c r="L484" s="39" t="str">
        <f t="shared" si="2"/>
        <v>Morning</v>
      </c>
      <c r="M484" s="39" t="str">
        <f t="array" ref="M484">XLOOKUP(D484,'Category dict'!$B$1:$B$4,'Category dict'!$A$1:$A$4,0,0,1)</f>
        <v>Business</v>
      </c>
      <c r="N484" s="39" t="str">
        <f>VLOOKUP(H484,'Purpose dict'!$A$1:$B$12,2,0)</f>
        <v>NOT DEFINED</v>
      </c>
    </row>
    <row r="485" hidden="1">
      <c r="A485" s="3" t="s">
        <v>680</v>
      </c>
      <c r="B485" s="34">
        <v>42548.45208333333</v>
      </c>
      <c r="C485" s="34">
        <v>42548.45694444444</v>
      </c>
      <c r="D485" s="35">
        <v>423.0</v>
      </c>
      <c r="E485" s="3" t="s">
        <v>675</v>
      </c>
      <c r="F485" s="3" t="s">
        <v>675</v>
      </c>
      <c r="G485" s="36">
        <v>1.8</v>
      </c>
      <c r="H485" s="35">
        <v>123.0</v>
      </c>
      <c r="I485" s="37">
        <v>0.45208333333333334</v>
      </c>
      <c r="J485" s="37">
        <v>0.45694444444444443</v>
      </c>
      <c r="K485" s="38">
        <f t="shared" si="10"/>
        <v>0.004861111111</v>
      </c>
      <c r="L485" s="39" t="str">
        <f t="shared" si="2"/>
        <v>Morning</v>
      </c>
      <c r="M485" s="39" t="str">
        <f t="array" ref="M485">XLOOKUP(D485,'Category dict'!$B$1:$B$4,'Category dict'!$A$1:$A$4,0,0,1)</f>
        <v>Business</v>
      </c>
      <c r="N485" s="39" t="str">
        <f>VLOOKUP(H485,'Purpose dict'!$A$1:$B$12,2,0)</f>
        <v>NOT DEFINED</v>
      </c>
    </row>
    <row r="486" hidden="1">
      <c r="A486" s="3" t="s">
        <v>681</v>
      </c>
      <c r="B486" s="34">
        <v>42548.4625</v>
      </c>
      <c r="C486" s="34">
        <v>42548.475</v>
      </c>
      <c r="D486" s="35">
        <v>423.0</v>
      </c>
      <c r="E486" s="3" t="s">
        <v>675</v>
      </c>
      <c r="F486" s="3" t="s">
        <v>682</v>
      </c>
      <c r="G486" s="36">
        <v>4.7</v>
      </c>
      <c r="H486" s="35">
        <v>123.0</v>
      </c>
      <c r="I486" s="37">
        <v>0.4625</v>
      </c>
      <c r="J486" s="37">
        <v>0.475</v>
      </c>
      <c r="K486" s="38">
        <f t="shared" si="10"/>
        <v>0.0125</v>
      </c>
      <c r="L486" s="39" t="str">
        <f t="shared" si="2"/>
        <v>Morning</v>
      </c>
      <c r="M486" s="39" t="str">
        <f t="array" ref="M486">XLOOKUP(D486,'Category dict'!$B$1:$B$4,'Category dict'!$A$1:$A$4,0,0,1)</f>
        <v>Business</v>
      </c>
      <c r="N486" s="39" t="str">
        <f>VLOOKUP(H486,'Purpose dict'!$A$1:$B$12,2,0)</f>
        <v>NOT DEFINED</v>
      </c>
    </row>
    <row r="487" hidden="1">
      <c r="A487" s="3" t="s">
        <v>683</v>
      </c>
      <c r="B487" s="34">
        <v>42548.479166666664</v>
      </c>
      <c r="C487" s="34">
        <v>42548.4875</v>
      </c>
      <c r="D487" s="35">
        <v>423.0</v>
      </c>
      <c r="E487" s="3" t="s">
        <v>682</v>
      </c>
      <c r="F487" s="3" t="s">
        <v>682</v>
      </c>
      <c r="G487" s="36">
        <v>2.8</v>
      </c>
      <c r="H487" s="35">
        <v>123.0</v>
      </c>
      <c r="I487" s="37">
        <v>0.4791666666666667</v>
      </c>
      <c r="J487" s="37">
        <v>0.4875</v>
      </c>
      <c r="K487" s="38">
        <f t="shared" si="10"/>
        <v>0.008333333333</v>
      </c>
      <c r="L487" s="39" t="str">
        <f t="shared" si="2"/>
        <v>Morning</v>
      </c>
      <c r="M487" s="39" t="str">
        <f t="array" ref="M487">XLOOKUP(D487,'Category dict'!$B$1:$B$4,'Category dict'!$A$1:$A$4,0,0,1)</f>
        <v>Business</v>
      </c>
      <c r="N487" s="39" t="str">
        <f>VLOOKUP(H487,'Purpose dict'!$A$1:$B$12,2,0)</f>
        <v>NOT DEFINED</v>
      </c>
    </row>
    <row r="488" hidden="1">
      <c r="A488" s="3" t="s">
        <v>684</v>
      </c>
      <c r="B488" s="34">
        <v>42548.51527777778</v>
      </c>
      <c r="C488" s="34">
        <v>42548.54305555556</v>
      </c>
      <c r="D488" s="35">
        <v>423.0</v>
      </c>
      <c r="E488" s="3" t="s">
        <v>682</v>
      </c>
      <c r="F488" s="3" t="s">
        <v>639</v>
      </c>
      <c r="G488" s="36">
        <v>30.0</v>
      </c>
      <c r="H488" s="35">
        <v>123.0</v>
      </c>
      <c r="I488" s="37">
        <v>0.5152777777777777</v>
      </c>
      <c r="J488" s="37">
        <v>0.5430555555555555</v>
      </c>
      <c r="K488" s="38">
        <f t="shared" si="10"/>
        <v>0.02777777778</v>
      </c>
      <c r="L488" s="39" t="str">
        <f t="shared" si="2"/>
        <v>Day</v>
      </c>
      <c r="M488" s="39" t="str">
        <f t="array" ref="M488">XLOOKUP(D488,'Category dict'!$B$1:$B$4,'Category dict'!$A$1:$A$4,0,0,1)</f>
        <v>Business</v>
      </c>
      <c r="N488" s="39" t="str">
        <f>VLOOKUP(H488,'Purpose dict'!$A$1:$B$12,2,0)</f>
        <v>NOT DEFINED</v>
      </c>
    </row>
    <row r="489" hidden="1">
      <c r="A489" s="3" t="s">
        <v>685</v>
      </c>
      <c r="B489" s="34">
        <v>42548.580555555556</v>
      </c>
      <c r="C489" s="34">
        <v>42548.586805555555</v>
      </c>
      <c r="D489" s="35">
        <v>423.0</v>
      </c>
      <c r="E489" s="3" t="s">
        <v>639</v>
      </c>
      <c r="F489" s="3" t="s">
        <v>627</v>
      </c>
      <c r="G489" s="36">
        <v>4.4</v>
      </c>
      <c r="H489" s="35">
        <v>123.0</v>
      </c>
      <c r="I489" s="37">
        <v>0.5805555555555556</v>
      </c>
      <c r="J489" s="37">
        <v>0.5868055555555556</v>
      </c>
      <c r="K489" s="38">
        <f t="shared" si="10"/>
        <v>0.00625</v>
      </c>
      <c r="L489" s="39" t="str">
        <f t="shared" si="2"/>
        <v>Day</v>
      </c>
      <c r="M489" s="39" t="str">
        <f t="array" ref="M489">XLOOKUP(D489,'Category dict'!$B$1:$B$4,'Category dict'!$A$1:$A$4,0,0,1)</f>
        <v>Business</v>
      </c>
      <c r="N489" s="39" t="str">
        <f>VLOOKUP(H489,'Purpose dict'!$A$1:$B$12,2,0)</f>
        <v>NOT DEFINED</v>
      </c>
    </row>
    <row r="490">
      <c r="A490" s="3" t="s">
        <v>686</v>
      </c>
      <c r="B490" s="34">
        <v>42548.88125</v>
      </c>
      <c r="C490" s="34">
        <v>42548.888194444444</v>
      </c>
      <c r="D490" s="35">
        <v>423.0</v>
      </c>
      <c r="E490" s="3" t="s">
        <v>98</v>
      </c>
      <c r="F490" s="3" t="s">
        <v>98</v>
      </c>
      <c r="G490" s="40">
        <v>1.0</v>
      </c>
      <c r="H490" s="35">
        <v>123.0</v>
      </c>
      <c r="I490" s="37">
        <v>0.88125</v>
      </c>
      <c r="J490" s="37">
        <v>0.8881944444444444</v>
      </c>
      <c r="K490" s="38">
        <f t="shared" si="10"/>
        <v>0.006944444444</v>
      </c>
      <c r="L490" s="39" t="str">
        <f t="shared" si="2"/>
        <v>Evening</v>
      </c>
      <c r="M490" s="39" t="str">
        <f t="array" ref="M490">XLOOKUP(D490,'Category dict'!$B$1:$B$4,'Category dict'!$A$1:$A$4,0,0,1)</f>
        <v>Business</v>
      </c>
      <c r="N490" s="39" t="str">
        <f>VLOOKUP(H490,'Purpose dict'!$A$1:$B$12,2,0)</f>
        <v>NOT DEFINED</v>
      </c>
    </row>
    <row r="491" hidden="1">
      <c r="A491" s="3" t="s">
        <v>687</v>
      </c>
      <c r="B491" s="34">
        <v>42549.03333333333</v>
      </c>
      <c r="C491" s="34">
        <v>42549.04513888889</v>
      </c>
      <c r="D491" s="35">
        <v>423.0</v>
      </c>
      <c r="E491" s="3" t="s">
        <v>62</v>
      </c>
      <c r="F491" s="3" t="s">
        <v>60</v>
      </c>
      <c r="G491" s="36">
        <v>8.2</v>
      </c>
      <c r="H491" s="35">
        <v>4.0</v>
      </c>
      <c r="I491" s="37">
        <v>0.03333333333333333</v>
      </c>
      <c r="J491" s="37">
        <v>0.04513888888888889</v>
      </c>
      <c r="K491" s="38">
        <f t="shared" si="10"/>
        <v>0.01180555556</v>
      </c>
      <c r="L491" s="39" t="str">
        <f t="shared" si="2"/>
        <v>Night</v>
      </c>
      <c r="M491" s="39" t="str">
        <f t="array" ref="M491">XLOOKUP(D491,'Category dict'!$B$1:$B$4,'Category dict'!$A$1:$A$4,0,0,1)</f>
        <v>Business</v>
      </c>
      <c r="N491" s="39" t="str">
        <f>VLOOKUP(H491,'Purpose dict'!$A$1:$B$12,2,0)</f>
        <v>Customer Visit</v>
      </c>
    </row>
    <row r="492" hidden="1">
      <c r="A492" s="3" t="s">
        <v>688</v>
      </c>
      <c r="B492" s="34">
        <v>42549.842361111114</v>
      </c>
      <c r="C492" s="34">
        <v>42549.85625</v>
      </c>
      <c r="D492" s="35">
        <v>423.0</v>
      </c>
      <c r="E492" s="3" t="s">
        <v>60</v>
      </c>
      <c r="F492" s="3" t="s">
        <v>101</v>
      </c>
      <c r="G492" s="36">
        <v>10.4</v>
      </c>
      <c r="H492" s="35">
        <v>3.0</v>
      </c>
      <c r="I492" s="37">
        <v>0.8423611111111111</v>
      </c>
      <c r="J492" s="37">
        <v>0.85625</v>
      </c>
      <c r="K492" s="38">
        <f t="shared" si="10"/>
        <v>0.01388888889</v>
      </c>
      <c r="L492" s="39" t="str">
        <f t="shared" si="2"/>
        <v>Evening</v>
      </c>
      <c r="M492" s="39" t="str">
        <f t="array" ref="M492">XLOOKUP(D492,'Category dict'!$B$1:$B$4,'Category dict'!$A$1:$A$4,0,0,1)</f>
        <v>Business</v>
      </c>
      <c r="N492" s="39" t="str">
        <f>VLOOKUP(H492,'Purpose dict'!$A$1:$B$12,2,0)</f>
        <v>Meeting</v>
      </c>
    </row>
    <row r="493" hidden="1">
      <c r="A493" s="3" t="s">
        <v>689</v>
      </c>
      <c r="B493" s="34">
        <v>42549.981944444444</v>
      </c>
      <c r="C493" s="34">
        <v>42549.99930555555</v>
      </c>
      <c r="D493" s="35">
        <v>423.0</v>
      </c>
      <c r="E493" s="3" t="s">
        <v>101</v>
      </c>
      <c r="F493" s="3" t="s">
        <v>60</v>
      </c>
      <c r="G493" s="36">
        <v>9.9</v>
      </c>
      <c r="H493" s="35">
        <v>3.0</v>
      </c>
      <c r="I493" s="37">
        <v>0.9819444444444444</v>
      </c>
      <c r="J493" s="37">
        <v>0.9993055555555556</v>
      </c>
      <c r="K493" s="38">
        <f t="shared" si="10"/>
        <v>0.01736111111</v>
      </c>
      <c r="L493" s="39" t="str">
        <f t="shared" si="2"/>
        <v>Evening</v>
      </c>
      <c r="M493" s="39" t="str">
        <f t="array" ref="M493">XLOOKUP(D493,'Category dict'!$B$1:$B$4,'Category dict'!$A$1:$A$4,0,0,1)</f>
        <v>Business</v>
      </c>
      <c r="N493" s="39" t="str">
        <f>VLOOKUP(H493,'Purpose dict'!$A$1:$B$12,2,0)</f>
        <v>Meeting</v>
      </c>
    </row>
    <row r="494" hidden="1">
      <c r="A494" s="3" t="s">
        <v>690</v>
      </c>
      <c r="B494" s="34">
        <v>42549.981944444444</v>
      </c>
      <c r="C494" s="34">
        <v>42549.99930555555</v>
      </c>
      <c r="D494" s="35">
        <v>423.0</v>
      </c>
      <c r="E494" s="3" t="s">
        <v>101</v>
      </c>
      <c r="F494" s="3" t="s">
        <v>60</v>
      </c>
      <c r="G494" s="36">
        <v>9.9</v>
      </c>
      <c r="H494" s="35">
        <v>3.0</v>
      </c>
      <c r="I494" s="37">
        <v>0.9819444444444444</v>
      </c>
      <c r="J494" s="37">
        <v>0.9993055555555556</v>
      </c>
      <c r="K494" s="38">
        <f t="shared" si="10"/>
        <v>0.01736111111</v>
      </c>
      <c r="L494" s="39" t="str">
        <f t="shared" si="2"/>
        <v>Evening</v>
      </c>
      <c r="M494" s="39" t="str">
        <f t="array" ref="M494">XLOOKUP(D494,'Category dict'!$B$1:$B$4,'Category dict'!$A$1:$A$4,0,0,1)</f>
        <v>Business</v>
      </c>
      <c r="N494" s="39" t="str">
        <f>VLOOKUP(H494,'Purpose dict'!$A$1:$B$12,2,0)</f>
        <v>Meeting</v>
      </c>
    </row>
    <row r="495" hidden="1">
      <c r="A495" s="3" t="s">
        <v>691</v>
      </c>
      <c r="B495" s="34">
        <v>42550.37222222222</v>
      </c>
      <c r="C495" s="34">
        <v>42550.39166666667</v>
      </c>
      <c r="D495" s="35">
        <v>423.0</v>
      </c>
      <c r="E495" s="3" t="s">
        <v>60</v>
      </c>
      <c r="F495" s="3" t="s">
        <v>62</v>
      </c>
      <c r="G495" s="36">
        <v>7.3</v>
      </c>
      <c r="H495" s="35">
        <v>123.0</v>
      </c>
      <c r="I495" s="37">
        <v>0.37222222222222223</v>
      </c>
      <c r="J495" s="37">
        <v>0.39166666666666666</v>
      </c>
      <c r="K495" s="38">
        <f t="shared" si="10"/>
        <v>0.01944444444</v>
      </c>
      <c r="L495" s="39" t="str">
        <f t="shared" si="2"/>
        <v>Morning</v>
      </c>
      <c r="M495" s="39" t="str">
        <f t="array" ref="M495">XLOOKUP(D495,'Category dict'!$B$1:$B$4,'Category dict'!$A$1:$A$4,0,0,1)</f>
        <v>Business</v>
      </c>
      <c r="N495" s="39" t="str">
        <f>VLOOKUP(H495,'Purpose dict'!$A$1:$B$12,2,0)</f>
        <v>NOT DEFINED</v>
      </c>
    </row>
    <row r="496" hidden="1">
      <c r="A496" s="3" t="s">
        <v>692</v>
      </c>
      <c r="B496" s="34">
        <v>42550.43194444444</v>
      </c>
      <c r="C496" s="34">
        <v>42550.44305555556</v>
      </c>
      <c r="D496" s="35">
        <v>423.0</v>
      </c>
      <c r="E496" s="3" t="s">
        <v>62</v>
      </c>
      <c r="F496" s="3" t="s">
        <v>60</v>
      </c>
      <c r="G496" s="36">
        <v>7.4</v>
      </c>
      <c r="H496" s="35">
        <v>123.0</v>
      </c>
      <c r="I496" s="37">
        <v>0.43194444444444446</v>
      </c>
      <c r="J496" s="37">
        <v>0.44305555555555554</v>
      </c>
      <c r="K496" s="38">
        <f t="shared" si="10"/>
        <v>0.01111111111</v>
      </c>
      <c r="L496" s="39" t="str">
        <f t="shared" si="2"/>
        <v>Morning</v>
      </c>
      <c r="M496" s="39" t="str">
        <f t="array" ref="M496">XLOOKUP(D496,'Category dict'!$B$1:$B$4,'Category dict'!$A$1:$A$4,0,0,1)</f>
        <v>Business</v>
      </c>
      <c r="N496" s="39" t="str">
        <f>VLOOKUP(H496,'Purpose dict'!$A$1:$B$12,2,0)</f>
        <v>NOT DEFINED</v>
      </c>
    </row>
    <row r="497" hidden="1">
      <c r="A497" s="3" t="s">
        <v>693</v>
      </c>
      <c r="B497" s="34">
        <v>42550.49236111111</v>
      </c>
      <c r="C497" s="34">
        <v>42550.49375</v>
      </c>
      <c r="D497" s="35">
        <v>423.0</v>
      </c>
      <c r="E497" s="3" t="s">
        <v>106</v>
      </c>
      <c r="F497" s="3" t="s">
        <v>123</v>
      </c>
      <c r="G497" s="36">
        <v>1.6</v>
      </c>
      <c r="H497" s="35">
        <v>123.0</v>
      </c>
      <c r="I497" s="37">
        <v>0.49236111111111114</v>
      </c>
      <c r="J497" s="37">
        <v>0.49375</v>
      </c>
      <c r="K497" s="38">
        <f t="shared" si="10"/>
        <v>0.001388888889</v>
      </c>
      <c r="L497" s="39" t="str">
        <f t="shared" si="2"/>
        <v>Morning</v>
      </c>
      <c r="M497" s="39" t="str">
        <f t="array" ref="M497">XLOOKUP(D497,'Category dict'!$B$1:$B$4,'Category dict'!$A$1:$A$4,0,0,1)</f>
        <v>Business</v>
      </c>
      <c r="N497" s="39" t="str">
        <f>VLOOKUP(H497,'Purpose dict'!$A$1:$B$12,2,0)</f>
        <v>NOT DEFINED</v>
      </c>
    </row>
    <row r="498" hidden="1">
      <c r="A498" s="3" t="s">
        <v>694</v>
      </c>
      <c r="B498" s="34">
        <v>42550.50763888889</v>
      </c>
      <c r="C498" s="34">
        <v>42550.51111111111</v>
      </c>
      <c r="D498" s="35">
        <v>423.0</v>
      </c>
      <c r="E498" s="3" t="s">
        <v>123</v>
      </c>
      <c r="F498" s="3" t="s">
        <v>106</v>
      </c>
      <c r="G498" s="36">
        <v>1.8</v>
      </c>
      <c r="H498" s="35">
        <v>123.0</v>
      </c>
      <c r="I498" s="37">
        <v>0.5076388888888889</v>
      </c>
      <c r="J498" s="37">
        <v>0.5111111111111111</v>
      </c>
      <c r="K498" s="38">
        <f t="shared" si="10"/>
        <v>0.003472222222</v>
      </c>
      <c r="L498" s="39" t="str">
        <f t="shared" si="2"/>
        <v>Day</v>
      </c>
      <c r="M498" s="39" t="str">
        <f t="array" ref="M498">XLOOKUP(D498,'Category dict'!$B$1:$B$4,'Category dict'!$A$1:$A$4,0,0,1)</f>
        <v>Business</v>
      </c>
      <c r="N498" s="39" t="str">
        <f>VLOOKUP(H498,'Purpose dict'!$A$1:$B$12,2,0)</f>
        <v>NOT DEFINED</v>
      </c>
    </row>
    <row r="499" hidden="1">
      <c r="A499" s="3" t="s">
        <v>695</v>
      </c>
      <c r="B499" s="34">
        <v>42550.84097222222</v>
      </c>
      <c r="C499" s="34">
        <v>42550.853472222225</v>
      </c>
      <c r="D499" s="35">
        <v>423.0</v>
      </c>
      <c r="E499" s="3" t="s">
        <v>60</v>
      </c>
      <c r="F499" s="3" t="s">
        <v>101</v>
      </c>
      <c r="G499" s="36">
        <v>10.4</v>
      </c>
      <c r="H499" s="35">
        <v>3.0</v>
      </c>
      <c r="I499" s="37">
        <v>0.8409722222222222</v>
      </c>
      <c r="J499" s="37">
        <v>0.8534722222222222</v>
      </c>
      <c r="K499" s="38">
        <f t="shared" si="10"/>
        <v>0.0125</v>
      </c>
      <c r="L499" s="39" t="str">
        <f t="shared" si="2"/>
        <v>Evening</v>
      </c>
      <c r="M499" s="39" t="str">
        <f t="array" ref="M499">XLOOKUP(D499,'Category dict'!$B$1:$B$4,'Category dict'!$A$1:$A$4,0,0,1)</f>
        <v>Business</v>
      </c>
      <c r="N499" s="39" t="str">
        <f>VLOOKUP(H499,'Purpose dict'!$A$1:$B$12,2,0)</f>
        <v>Meeting</v>
      </c>
    </row>
    <row r="500" hidden="1">
      <c r="A500" s="3" t="s">
        <v>696</v>
      </c>
      <c r="B500" s="34">
        <v>42550.98472222222</v>
      </c>
      <c r="C500" s="34">
        <v>42551.0</v>
      </c>
      <c r="D500" s="35">
        <v>423.0</v>
      </c>
      <c r="E500" s="3" t="s">
        <v>101</v>
      </c>
      <c r="F500" s="3" t="s">
        <v>60</v>
      </c>
      <c r="G500" s="36">
        <v>9.9</v>
      </c>
      <c r="H500" s="35">
        <v>3.0</v>
      </c>
      <c r="I500" s="37">
        <v>0.9847222222222223</v>
      </c>
      <c r="J500" s="37">
        <v>0.0</v>
      </c>
      <c r="K500" s="41">
        <f>C500-B500</f>
        <v>0.01527777778</v>
      </c>
      <c r="L500" s="39" t="str">
        <f t="shared" si="2"/>
        <v>Evening</v>
      </c>
      <c r="M500" s="39" t="str">
        <f t="array" ref="M500">XLOOKUP(D500,'Category dict'!$B$1:$B$4,'Category dict'!$A$1:$A$4,0,0,1)</f>
        <v>Business</v>
      </c>
      <c r="N500" s="39" t="str">
        <f>VLOOKUP(H500,'Purpose dict'!$A$1:$B$12,2,0)</f>
        <v>Meeting</v>
      </c>
    </row>
    <row r="501" hidden="1">
      <c r="A501" s="3" t="s">
        <v>697</v>
      </c>
      <c r="B501" s="34">
        <v>42551.839583333334</v>
      </c>
      <c r="C501" s="34">
        <v>42551.85138888889</v>
      </c>
      <c r="D501" s="35">
        <v>423.0</v>
      </c>
      <c r="E501" s="3" t="s">
        <v>60</v>
      </c>
      <c r="F501" s="3" t="s">
        <v>101</v>
      </c>
      <c r="G501" s="36">
        <v>9.9</v>
      </c>
      <c r="H501" s="35">
        <v>3.0</v>
      </c>
      <c r="I501" s="37">
        <v>0.8395833333333333</v>
      </c>
      <c r="J501" s="37">
        <v>0.8513888888888889</v>
      </c>
      <c r="K501" s="38">
        <f t="shared" ref="K501:K505" si="11">J501-I501</f>
        <v>0.01180555556</v>
      </c>
      <c r="L501" s="39" t="str">
        <f t="shared" si="2"/>
        <v>Evening</v>
      </c>
      <c r="M501" s="39" t="str">
        <f t="array" ref="M501">XLOOKUP(D501,'Category dict'!$B$1:$B$4,'Category dict'!$A$1:$A$4,0,0,1)</f>
        <v>Business</v>
      </c>
      <c r="N501" s="39" t="str">
        <f>VLOOKUP(H501,'Purpose dict'!$A$1:$B$12,2,0)</f>
        <v>Meeting</v>
      </c>
    </row>
    <row r="502" hidden="1">
      <c r="A502" s="3" t="s">
        <v>698</v>
      </c>
      <c r="B502" s="34">
        <v>42552.0</v>
      </c>
      <c r="C502" s="34">
        <v>42552.01736111111</v>
      </c>
      <c r="D502" s="35">
        <v>423.0</v>
      </c>
      <c r="E502" s="3" t="s">
        <v>101</v>
      </c>
      <c r="F502" s="3" t="s">
        <v>60</v>
      </c>
      <c r="G502" s="36">
        <v>9.9</v>
      </c>
      <c r="H502" s="35">
        <v>3.0</v>
      </c>
      <c r="I502" s="37">
        <v>0.0</v>
      </c>
      <c r="J502" s="37">
        <v>0.017361111111111112</v>
      </c>
      <c r="K502" s="38">
        <f t="shared" si="11"/>
        <v>0.01736111111</v>
      </c>
      <c r="L502" s="39" t="str">
        <f t="shared" si="2"/>
        <v>Night</v>
      </c>
      <c r="M502" s="39" t="str">
        <f t="array" ref="M502">XLOOKUP(D502,'Category dict'!$B$1:$B$4,'Category dict'!$A$1:$A$4,0,0,1)</f>
        <v>Business</v>
      </c>
      <c r="N502" s="39" t="str">
        <f>VLOOKUP(H502,'Purpose dict'!$A$1:$B$12,2,0)</f>
        <v>Meeting</v>
      </c>
    </row>
    <row r="503" hidden="1">
      <c r="A503" s="3" t="s">
        <v>699</v>
      </c>
      <c r="B503" s="34">
        <v>42552.39861111111</v>
      </c>
      <c r="C503" s="34">
        <v>42552.41458333333</v>
      </c>
      <c r="D503" s="35">
        <v>423.0</v>
      </c>
      <c r="E503" s="3" t="s">
        <v>60</v>
      </c>
      <c r="F503" s="3" t="s">
        <v>111</v>
      </c>
      <c r="G503" s="36">
        <v>13.3</v>
      </c>
      <c r="H503" s="35">
        <v>3.0</v>
      </c>
      <c r="I503" s="37">
        <v>0.39861111111111114</v>
      </c>
      <c r="J503" s="37">
        <v>0.41458333333333336</v>
      </c>
      <c r="K503" s="38">
        <f t="shared" si="11"/>
        <v>0.01597222222</v>
      </c>
      <c r="L503" s="39" t="str">
        <f t="shared" si="2"/>
        <v>Morning</v>
      </c>
      <c r="M503" s="39" t="str">
        <f t="array" ref="M503">XLOOKUP(D503,'Category dict'!$B$1:$B$4,'Category dict'!$A$1:$A$4,0,0,1)</f>
        <v>Business</v>
      </c>
      <c r="N503" s="39" t="str">
        <f>VLOOKUP(H503,'Purpose dict'!$A$1:$B$12,2,0)</f>
        <v>Meeting</v>
      </c>
    </row>
    <row r="504" hidden="1">
      <c r="A504" s="3" t="s">
        <v>700</v>
      </c>
      <c r="B504" s="34">
        <v>42552.525</v>
      </c>
      <c r="C504" s="34">
        <v>42552.541666666664</v>
      </c>
      <c r="D504" s="35">
        <v>423.0</v>
      </c>
      <c r="E504" s="3" t="s">
        <v>111</v>
      </c>
      <c r="F504" s="3" t="s">
        <v>60</v>
      </c>
      <c r="G504" s="36">
        <v>11.3</v>
      </c>
      <c r="H504" s="35">
        <v>3.0</v>
      </c>
      <c r="I504" s="37">
        <v>0.525</v>
      </c>
      <c r="J504" s="37">
        <v>0.5416666666666666</v>
      </c>
      <c r="K504" s="38">
        <f t="shared" si="11"/>
        <v>0.01666666667</v>
      </c>
      <c r="L504" s="39" t="str">
        <f t="shared" si="2"/>
        <v>Day</v>
      </c>
      <c r="M504" s="39" t="str">
        <f t="array" ref="M504">XLOOKUP(D504,'Category dict'!$B$1:$B$4,'Category dict'!$A$1:$A$4,0,0,1)</f>
        <v>Business</v>
      </c>
      <c r="N504" s="39" t="str">
        <f>VLOOKUP(H504,'Purpose dict'!$A$1:$B$12,2,0)</f>
        <v>Meeting</v>
      </c>
    </row>
    <row r="505" hidden="1">
      <c r="A505" s="3" t="s">
        <v>701</v>
      </c>
      <c r="B505" s="34">
        <v>42552.8375</v>
      </c>
      <c r="C505" s="34">
        <v>42552.85</v>
      </c>
      <c r="D505" s="35">
        <v>423.0</v>
      </c>
      <c r="E505" s="3" t="s">
        <v>60</v>
      </c>
      <c r="F505" s="3" t="s">
        <v>101</v>
      </c>
      <c r="G505" s="36">
        <v>10.5</v>
      </c>
      <c r="H505" s="35">
        <v>3.0</v>
      </c>
      <c r="I505" s="37">
        <v>0.8375</v>
      </c>
      <c r="J505" s="37">
        <v>0.85</v>
      </c>
      <c r="K505" s="38">
        <f t="shared" si="11"/>
        <v>0.0125</v>
      </c>
      <c r="L505" s="39" t="str">
        <f t="shared" si="2"/>
        <v>Evening</v>
      </c>
      <c r="M505" s="39" t="str">
        <f t="array" ref="M505">XLOOKUP(D505,'Category dict'!$B$1:$B$4,'Category dict'!$A$1:$A$4,0,0,1)</f>
        <v>Business</v>
      </c>
      <c r="N505" s="39" t="str">
        <f>VLOOKUP(H505,'Purpose dict'!$A$1:$B$12,2,0)</f>
        <v>Meeting</v>
      </c>
    </row>
    <row r="506" hidden="1">
      <c r="A506" s="3" t="s">
        <v>702</v>
      </c>
      <c r="B506" s="34">
        <v>42552.99166666667</v>
      </c>
      <c r="C506" s="34">
        <v>42553.00625</v>
      </c>
      <c r="D506" s="35">
        <v>423.0</v>
      </c>
      <c r="E506" s="3" t="s">
        <v>101</v>
      </c>
      <c r="F506" s="3" t="s">
        <v>60</v>
      </c>
      <c r="G506" s="36">
        <v>9.9</v>
      </c>
      <c r="H506" s="35">
        <v>3.0</v>
      </c>
      <c r="I506" s="37">
        <v>0.9916666666666667</v>
      </c>
      <c r="J506" s="37">
        <v>0.00625</v>
      </c>
      <c r="K506" s="41">
        <f>C506-B506</f>
        <v>0.01458333333</v>
      </c>
      <c r="L506" s="39" t="str">
        <f t="shared" si="2"/>
        <v>Evening</v>
      </c>
      <c r="M506" s="39" t="str">
        <f t="array" ref="M506">XLOOKUP(D506,'Category dict'!$B$1:$B$4,'Category dict'!$A$1:$A$4,0,0,1)</f>
        <v>Business</v>
      </c>
      <c r="N506" s="39" t="str">
        <f>VLOOKUP(H506,'Purpose dict'!$A$1:$B$12,2,0)</f>
        <v>Meeting</v>
      </c>
    </row>
    <row r="507" hidden="1">
      <c r="A507" s="3" t="s">
        <v>703</v>
      </c>
      <c r="B507" s="34">
        <v>42553.84583333333</v>
      </c>
      <c r="C507" s="34">
        <v>42553.85833333333</v>
      </c>
      <c r="D507" s="35">
        <v>423.0</v>
      </c>
      <c r="E507" s="3" t="s">
        <v>60</v>
      </c>
      <c r="F507" s="3" t="s">
        <v>101</v>
      </c>
      <c r="G507" s="36">
        <v>10.1</v>
      </c>
      <c r="H507" s="35">
        <v>3.0</v>
      </c>
      <c r="I507" s="37">
        <v>0.8458333333333333</v>
      </c>
      <c r="J507" s="37">
        <v>0.8583333333333333</v>
      </c>
      <c r="K507" s="38">
        <f>J507-I507</f>
        <v>0.0125</v>
      </c>
      <c r="L507" s="39" t="str">
        <f t="shared" si="2"/>
        <v>Evening</v>
      </c>
      <c r="M507" s="39" t="str">
        <f t="array" ref="M507">XLOOKUP(D507,'Category dict'!$B$1:$B$4,'Category dict'!$A$1:$A$4,0,0,1)</f>
        <v>Business</v>
      </c>
      <c r="N507" s="39" t="str">
        <f>VLOOKUP(H507,'Purpose dict'!$A$1:$B$12,2,0)</f>
        <v>Meeting</v>
      </c>
    </row>
    <row r="508" hidden="1">
      <c r="A508" s="3" t="s">
        <v>704</v>
      </c>
      <c r="B508" s="34">
        <v>42553.99166666667</v>
      </c>
      <c r="C508" s="34">
        <v>42554.00833333333</v>
      </c>
      <c r="D508" s="35">
        <v>423.0</v>
      </c>
      <c r="E508" s="3" t="s">
        <v>101</v>
      </c>
      <c r="F508" s="3" t="s">
        <v>60</v>
      </c>
      <c r="G508" s="36">
        <v>9.9</v>
      </c>
      <c r="H508" s="35">
        <v>3.0</v>
      </c>
      <c r="I508" s="37">
        <v>0.9916666666666667</v>
      </c>
      <c r="J508" s="37">
        <v>0.008333333333333333</v>
      </c>
      <c r="K508" s="41">
        <f>C508-B508</f>
        <v>0.01666666666</v>
      </c>
      <c r="L508" s="39" t="str">
        <f t="shared" si="2"/>
        <v>Evening</v>
      </c>
      <c r="M508" s="39" t="str">
        <f t="array" ref="M508">XLOOKUP(D508,'Category dict'!$B$1:$B$4,'Category dict'!$A$1:$A$4,0,0,1)</f>
        <v>Business</v>
      </c>
      <c r="N508" s="39" t="str">
        <f>VLOOKUP(H508,'Purpose dict'!$A$1:$B$12,2,0)</f>
        <v>Meeting</v>
      </c>
    </row>
    <row r="509" hidden="1">
      <c r="A509" s="3" t="s">
        <v>705</v>
      </c>
      <c r="B509" s="34">
        <v>42554.01944444444</v>
      </c>
      <c r="C509" s="34">
        <v>42554.02638888889</v>
      </c>
      <c r="D509" s="35">
        <v>423.0</v>
      </c>
      <c r="E509" s="3" t="s">
        <v>60</v>
      </c>
      <c r="F509" s="3" t="s">
        <v>62</v>
      </c>
      <c r="G509" s="36">
        <v>3.1</v>
      </c>
      <c r="H509" s="35">
        <v>2.0</v>
      </c>
      <c r="I509" s="37">
        <v>0.019444444444444445</v>
      </c>
      <c r="J509" s="37">
        <v>0.02638888888888889</v>
      </c>
      <c r="K509" s="38">
        <f t="shared" ref="K509:K541" si="12">J509-I509</f>
        <v>0.006944444444</v>
      </c>
      <c r="L509" s="39" t="str">
        <f t="shared" si="2"/>
        <v>Night</v>
      </c>
      <c r="M509" s="39" t="str">
        <f t="array" ref="M509">XLOOKUP(D509,'Category dict'!$B$1:$B$4,'Category dict'!$A$1:$A$4,0,0,1)</f>
        <v>Business</v>
      </c>
      <c r="N509" s="39" t="str">
        <f>VLOOKUP(H509,'Purpose dict'!$A$1:$B$12,2,0)</f>
        <v>Errand/Supplies</v>
      </c>
    </row>
    <row r="510" hidden="1">
      <c r="A510" s="3" t="s">
        <v>706</v>
      </c>
      <c r="B510" s="34">
        <v>42554.126388888886</v>
      </c>
      <c r="C510" s="34">
        <v>42554.13055555556</v>
      </c>
      <c r="D510" s="35">
        <v>423.0</v>
      </c>
      <c r="E510" s="3" t="s">
        <v>62</v>
      </c>
      <c r="F510" s="3" t="s">
        <v>60</v>
      </c>
      <c r="G510" s="36">
        <v>3.1</v>
      </c>
      <c r="H510" s="35">
        <v>2.0</v>
      </c>
      <c r="I510" s="37">
        <v>0.12638888888888888</v>
      </c>
      <c r="J510" s="37">
        <v>0.13055555555555556</v>
      </c>
      <c r="K510" s="38">
        <f t="shared" si="12"/>
        <v>0.004166666667</v>
      </c>
      <c r="L510" s="39" t="str">
        <f t="shared" si="2"/>
        <v>Night</v>
      </c>
      <c r="M510" s="39" t="str">
        <f t="array" ref="M510">XLOOKUP(D510,'Category dict'!$B$1:$B$4,'Category dict'!$A$1:$A$4,0,0,1)</f>
        <v>Business</v>
      </c>
      <c r="N510" s="39" t="str">
        <f>VLOOKUP(H510,'Purpose dict'!$A$1:$B$12,2,0)</f>
        <v>Errand/Supplies</v>
      </c>
    </row>
    <row r="511" hidden="1">
      <c r="A511" s="3" t="s">
        <v>707</v>
      </c>
      <c r="B511" s="34">
        <v>42554.833333333336</v>
      </c>
      <c r="C511" s="34">
        <v>42554.84583333333</v>
      </c>
      <c r="D511" s="35">
        <v>423.0</v>
      </c>
      <c r="E511" s="3" t="s">
        <v>60</v>
      </c>
      <c r="F511" s="3" t="s">
        <v>101</v>
      </c>
      <c r="G511" s="36">
        <v>9.9</v>
      </c>
      <c r="H511" s="35">
        <v>3.0</v>
      </c>
      <c r="I511" s="37">
        <v>0.8333333333333334</v>
      </c>
      <c r="J511" s="37">
        <v>0.8458333333333333</v>
      </c>
      <c r="K511" s="38">
        <f t="shared" si="12"/>
        <v>0.0125</v>
      </c>
      <c r="L511" s="39" t="str">
        <f t="shared" si="2"/>
        <v>Evening</v>
      </c>
      <c r="M511" s="39" t="str">
        <f t="array" ref="M511">XLOOKUP(D511,'Category dict'!$B$1:$B$4,'Category dict'!$A$1:$A$4,0,0,1)</f>
        <v>Business</v>
      </c>
      <c r="N511" s="39" t="str">
        <f>VLOOKUP(H511,'Purpose dict'!$A$1:$B$12,2,0)</f>
        <v>Meeting</v>
      </c>
    </row>
    <row r="512" hidden="1">
      <c r="A512" s="3" t="s">
        <v>708</v>
      </c>
      <c r="B512" s="34">
        <v>42555.02222222222</v>
      </c>
      <c r="C512" s="34">
        <v>42555.032638888886</v>
      </c>
      <c r="D512" s="35">
        <v>423.0</v>
      </c>
      <c r="E512" s="3" t="s">
        <v>101</v>
      </c>
      <c r="F512" s="3" t="s">
        <v>60</v>
      </c>
      <c r="G512" s="36">
        <v>9.9</v>
      </c>
      <c r="H512" s="35">
        <v>3.0</v>
      </c>
      <c r="I512" s="37">
        <v>0.022222222222222223</v>
      </c>
      <c r="J512" s="37">
        <v>0.03263888888888889</v>
      </c>
      <c r="K512" s="38">
        <f t="shared" si="12"/>
        <v>0.01041666667</v>
      </c>
      <c r="L512" s="39" t="str">
        <f t="shared" si="2"/>
        <v>Night</v>
      </c>
      <c r="M512" s="39" t="str">
        <f t="array" ref="M512">XLOOKUP(D512,'Category dict'!$B$1:$B$4,'Category dict'!$A$1:$A$4,0,0,1)</f>
        <v>Business</v>
      </c>
      <c r="N512" s="39" t="str">
        <f>VLOOKUP(H512,'Purpose dict'!$A$1:$B$12,2,0)</f>
        <v>Meeting</v>
      </c>
    </row>
    <row r="513" hidden="1">
      <c r="A513" s="3" t="s">
        <v>709</v>
      </c>
      <c r="B513" s="34">
        <v>42555.72986111111</v>
      </c>
      <c r="C513" s="34">
        <v>42555.74236111111</v>
      </c>
      <c r="D513" s="35">
        <v>423.0</v>
      </c>
      <c r="E513" s="3" t="s">
        <v>106</v>
      </c>
      <c r="F513" s="3" t="s">
        <v>710</v>
      </c>
      <c r="G513" s="36">
        <v>8.8</v>
      </c>
      <c r="H513" s="35">
        <v>3.0</v>
      </c>
      <c r="I513" s="37">
        <v>0.7298611111111111</v>
      </c>
      <c r="J513" s="37">
        <v>0.7423611111111111</v>
      </c>
      <c r="K513" s="38">
        <f t="shared" si="12"/>
        <v>0.0125</v>
      </c>
      <c r="L513" s="39" t="str">
        <f t="shared" si="2"/>
        <v>Day</v>
      </c>
      <c r="M513" s="39" t="str">
        <f t="array" ref="M513">XLOOKUP(D513,'Category dict'!$B$1:$B$4,'Category dict'!$A$1:$A$4,0,0,1)</f>
        <v>Business</v>
      </c>
      <c r="N513" s="39" t="str">
        <f>VLOOKUP(H513,'Purpose dict'!$A$1:$B$12,2,0)</f>
        <v>Meeting</v>
      </c>
    </row>
    <row r="514" hidden="1">
      <c r="A514" s="3" t="s">
        <v>711</v>
      </c>
      <c r="B514" s="34">
        <v>42555.76597222222</v>
      </c>
      <c r="C514" s="34">
        <v>42555.78402777778</v>
      </c>
      <c r="D514" s="35">
        <v>423.0</v>
      </c>
      <c r="E514" s="3" t="s">
        <v>710</v>
      </c>
      <c r="F514" s="3" t="s">
        <v>106</v>
      </c>
      <c r="G514" s="36">
        <v>8.7</v>
      </c>
      <c r="H514" s="35">
        <v>5.0</v>
      </c>
      <c r="I514" s="37">
        <v>0.7659722222222223</v>
      </c>
      <c r="J514" s="37">
        <v>0.7840277777777778</v>
      </c>
      <c r="K514" s="38">
        <f t="shared" si="12"/>
        <v>0.01805555556</v>
      </c>
      <c r="L514" s="39" t="str">
        <f t="shared" si="2"/>
        <v>Evening</v>
      </c>
      <c r="M514" s="39" t="str">
        <f t="array" ref="M514">XLOOKUP(D514,'Category dict'!$B$1:$B$4,'Category dict'!$A$1:$A$4,0,0,1)</f>
        <v>Business</v>
      </c>
      <c r="N514" s="39" t="str">
        <f>VLOOKUP(H514,'Purpose dict'!$A$1:$B$12,2,0)</f>
        <v>Temporary Site</v>
      </c>
    </row>
    <row r="515" hidden="1">
      <c r="A515" s="3" t="s">
        <v>712</v>
      </c>
      <c r="B515" s="34">
        <v>42555.833333333336</v>
      </c>
      <c r="C515" s="34">
        <v>42555.845138888886</v>
      </c>
      <c r="D515" s="35">
        <v>423.0</v>
      </c>
      <c r="E515" s="3" t="s">
        <v>60</v>
      </c>
      <c r="F515" s="3" t="s">
        <v>101</v>
      </c>
      <c r="G515" s="36">
        <v>11.8</v>
      </c>
      <c r="H515" s="35">
        <v>3.0</v>
      </c>
      <c r="I515" s="37">
        <v>0.8333333333333334</v>
      </c>
      <c r="J515" s="37">
        <v>0.8451388888888889</v>
      </c>
      <c r="K515" s="38">
        <f t="shared" si="12"/>
        <v>0.01180555556</v>
      </c>
      <c r="L515" s="39" t="str">
        <f t="shared" si="2"/>
        <v>Evening</v>
      </c>
      <c r="M515" s="39" t="str">
        <f t="array" ref="M515">XLOOKUP(D515,'Category dict'!$B$1:$B$4,'Category dict'!$A$1:$A$4,0,0,1)</f>
        <v>Business</v>
      </c>
      <c r="N515" s="39" t="str">
        <f>VLOOKUP(H515,'Purpose dict'!$A$1:$B$12,2,0)</f>
        <v>Meeting</v>
      </c>
    </row>
    <row r="516">
      <c r="A516" s="3" t="s">
        <v>713</v>
      </c>
      <c r="B516" s="34">
        <v>42556.0</v>
      </c>
      <c r="C516" s="34">
        <v>42556.00347222222</v>
      </c>
      <c r="D516" s="35">
        <v>423.0</v>
      </c>
      <c r="E516" s="3" t="s">
        <v>714</v>
      </c>
      <c r="F516" s="3" t="s">
        <v>714</v>
      </c>
      <c r="G516" s="40">
        <v>1.2</v>
      </c>
      <c r="H516" s="35">
        <v>2.0</v>
      </c>
      <c r="I516" s="37">
        <v>0.0</v>
      </c>
      <c r="J516" s="37">
        <v>0.003472222222222222</v>
      </c>
      <c r="K516" s="38">
        <f t="shared" si="12"/>
        <v>0.003472222222</v>
      </c>
      <c r="L516" s="39" t="str">
        <f t="shared" si="2"/>
        <v>Night</v>
      </c>
      <c r="M516" s="39" t="str">
        <f t="array" ref="M516">XLOOKUP(D516,'Category dict'!$B$1:$B$4,'Category dict'!$A$1:$A$4,0,0,1)</f>
        <v>Business</v>
      </c>
      <c r="N516" s="39" t="str">
        <f>VLOOKUP(H516,'Purpose dict'!$A$1:$B$12,2,0)</f>
        <v>Errand/Supplies</v>
      </c>
    </row>
    <row r="517" hidden="1">
      <c r="A517" s="3" t="s">
        <v>715</v>
      </c>
      <c r="B517" s="34">
        <v>42556.00555555556</v>
      </c>
      <c r="C517" s="34">
        <v>42556.01944444444</v>
      </c>
      <c r="D517" s="35">
        <v>423.0</v>
      </c>
      <c r="E517" s="3" t="s">
        <v>101</v>
      </c>
      <c r="F517" s="3" t="s">
        <v>60</v>
      </c>
      <c r="G517" s="36">
        <v>9.9</v>
      </c>
      <c r="H517" s="35">
        <v>3.0</v>
      </c>
      <c r="I517" s="37">
        <v>0.005555555555555556</v>
      </c>
      <c r="J517" s="37">
        <v>0.019444444444444445</v>
      </c>
      <c r="K517" s="38">
        <f t="shared" si="12"/>
        <v>0.01388888889</v>
      </c>
      <c r="L517" s="39" t="str">
        <f t="shared" si="2"/>
        <v>Night</v>
      </c>
      <c r="M517" s="39" t="str">
        <f t="array" ref="M517">XLOOKUP(D517,'Category dict'!$B$1:$B$4,'Category dict'!$A$1:$A$4,0,0,1)</f>
        <v>Business</v>
      </c>
      <c r="N517" s="39" t="str">
        <f>VLOOKUP(H517,'Purpose dict'!$A$1:$B$12,2,0)</f>
        <v>Meeting</v>
      </c>
    </row>
    <row r="518">
      <c r="A518" s="3" t="s">
        <v>716</v>
      </c>
      <c r="B518" s="34">
        <v>42556.7</v>
      </c>
      <c r="C518" s="34">
        <v>42556.70277777778</v>
      </c>
      <c r="D518" s="35">
        <v>423.0</v>
      </c>
      <c r="E518" s="3" t="s">
        <v>106</v>
      </c>
      <c r="F518" s="3" t="s">
        <v>106</v>
      </c>
      <c r="G518" s="40">
        <v>0.6</v>
      </c>
      <c r="H518" s="35">
        <v>2.0</v>
      </c>
      <c r="I518" s="37">
        <v>0.7</v>
      </c>
      <c r="J518" s="37">
        <v>0.7027777777777777</v>
      </c>
      <c r="K518" s="38">
        <f t="shared" si="12"/>
        <v>0.002777777778</v>
      </c>
      <c r="L518" s="39" t="str">
        <f t="shared" si="2"/>
        <v>Day</v>
      </c>
      <c r="M518" s="39" t="str">
        <f t="array" ref="M518">XLOOKUP(D518,'Category dict'!$B$1:$B$4,'Category dict'!$A$1:$A$4,0,0,1)</f>
        <v>Business</v>
      </c>
      <c r="N518" s="39" t="str">
        <f>VLOOKUP(H518,'Purpose dict'!$A$1:$B$12,2,0)</f>
        <v>Errand/Supplies</v>
      </c>
    </row>
    <row r="519" hidden="1">
      <c r="A519" s="3" t="s">
        <v>717</v>
      </c>
      <c r="B519" s="34">
        <v>42556.8375</v>
      </c>
      <c r="C519" s="34">
        <v>42556.85138888889</v>
      </c>
      <c r="D519" s="35">
        <v>423.0</v>
      </c>
      <c r="E519" s="3" t="s">
        <v>60</v>
      </c>
      <c r="F519" s="3" t="s">
        <v>101</v>
      </c>
      <c r="G519" s="36">
        <v>9.9</v>
      </c>
      <c r="H519" s="35">
        <v>123.0</v>
      </c>
      <c r="I519" s="37">
        <v>0.8375</v>
      </c>
      <c r="J519" s="37">
        <v>0.8513888888888889</v>
      </c>
      <c r="K519" s="38">
        <f t="shared" si="12"/>
        <v>0.01388888889</v>
      </c>
      <c r="L519" s="39" t="str">
        <f t="shared" si="2"/>
        <v>Evening</v>
      </c>
      <c r="M519" s="39" t="str">
        <f t="array" ref="M519">XLOOKUP(D519,'Category dict'!$B$1:$B$4,'Category dict'!$A$1:$A$4,0,0,1)</f>
        <v>Business</v>
      </c>
      <c r="N519" s="39" t="str">
        <f>VLOOKUP(H519,'Purpose dict'!$A$1:$B$12,2,0)</f>
        <v>NOT DEFINED</v>
      </c>
    </row>
    <row r="520" hidden="1">
      <c r="A520" s="3" t="s">
        <v>718</v>
      </c>
      <c r="B520" s="34">
        <v>42556.94513888889</v>
      </c>
      <c r="C520" s="34">
        <v>42556.95972222222</v>
      </c>
      <c r="D520" s="35">
        <v>423.0</v>
      </c>
      <c r="E520" s="3" t="s">
        <v>101</v>
      </c>
      <c r="F520" s="3" t="s">
        <v>62</v>
      </c>
      <c r="G520" s="36">
        <v>8.6</v>
      </c>
      <c r="H520" s="35">
        <v>123.0</v>
      </c>
      <c r="I520" s="37">
        <v>0.9451388888888889</v>
      </c>
      <c r="J520" s="37">
        <v>0.9597222222222223</v>
      </c>
      <c r="K520" s="38">
        <f t="shared" si="12"/>
        <v>0.01458333333</v>
      </c>
      <c r="L520" s="39" t="str">
        <f t="shared" si="2"/>
        <v>Evening</v>
      </c>
      <c r="M520" s="39" t="str">
        <f t="array" ref="M520">XLOOKUP(D520,'Category dict'!$B$1:$B$4,'Category dict'!$A$1:$A$4,0,0,1)</f>
        <v>Business</v>
      </c>
      <c r="N520" s="39" t="str">
        <f>VLOOKUP(H520,'Purpose dict'!$A$1:$B$12,2,0)</f>
        <v>NOT DEFINED</v>
      </c>
    </row>
    <row r="521" hidden="1">
      <c r="A521" s="3" t="s">
        <v>719</v>
      </c>
      <c r="B521" s="34">
        <v>42557.02291666667</v>
      </c>
      <c r="C521" s="34">
        <v>42557.03680555556</v>
      </c>
      <c r="D521" s="35">
        <v>423.0</v>
      </c>
      <c r="E521" s="3" t="s">
        <v>62</v>
      </c>
      <c r="F521" s="3" t="s">
        <v>60</v>
      </c>
      <c r="G521" s="36">
        <v>6.3</v>
      </c>
      <c r="H521" s="35">
        <v>1.0</v>
      </c>
      <c r="I521" s="37">
        <v>0.022916666666666665</v>
      </c>
      <c r="J521" s="37">
        <v>0.03680555555555556</v>
      </c>
      <c r="K521" s="38">
        <f t="shared" si="12"/>
        <v>0.01388888889</v>
      </c>
      <c r="L521" s="39" t="str">
        <f t="shared" si="2"/>
        <v>Night</v>
      </c>
      <c r="M521" s="39" t="str">
        <f t="array" ref="M521">XLOOKUP(D521,'Category dict'!$B$1:$B$4,'Category dict'!$A$1:$A$4,0,0,1)</f>
        <v>Business</v>
      </c>
      <c r="N521" s="39" t="str">
        <f>VLOOKUP(H521,'Purpose dict'!$A$1:$B$12,2,0)</f>
        <v>Meal/Entertain</v>
      </c>
    </row>
    <row r="522" hidden="1">
      <c r="A522" s="3" t="s">
        <v>720</v>
      </c>
      <c r="B522" s="34">
        <v>42557.379166666666</v>
      </c>
      <c r="C522" s="34">
        <v>42557.39236111111</v>
      </c>
      <c r="D522" s="35">
        <v>423.0</v>
      </c>
      <c r="E522" s="3" t="s">
        <v>60</v>
      </c>
      <c r="F522" s="3" t="s">
        <v>101</v>
      </c>
      <c r="G522" s="36">
        <v>9.9</v>
      </c>
      <c r="H522" s="35">
        <v>3.0</v>
      </c>
      <c r="I522" s="37">
        <v>0.37916666666666665</v>
      </c>
      <c r="J522" s="37">
        <v>0.3923611111111111</v>
      </c>
      <c r="K522" s="38">
        <f t="shared" si="12"/>
        <v>0.01319444444</v>
      </c>
      <c r="L522" s="39" t="str">
        <f t="shared" si="2"/>
        <v>Morning</v>
      </c>
      <c r="M522" s="39" t="str">
        <f t="array" ref="M522">XLOOKUP(D522,'Category dict'!$B$1:$B$4,'Category dict'!$A$1:$A$4,0,0,1)</f>
        <v>Business</v>
      </c>
      <c r="N522" s="39" t="str">
        <f>VLOOKUP(H522,'Purpose dict'!$A$1:$B$12,2,0)</f>
        <v>Meeting</v>
      </c>
    </row>
    <row r="523" hidden="1">
      <c r="A523" s="3" t="s">
        <v>721</v>
      </c>
      <c r="B523" s="34">
        <v>42557.53333333333</v>
      </c>
      <c r="C523" s="34">
        <v>42557.54722222222</v>
      </c>
      <c r="D523" s="35">
        <v>423.0</v>
      </c>
      <c r="E523" s="3" t="s">
        <v>101</v>
      </c>
      <c r="F523" s="3" t="s">
        <v>60</v>
      </c>
      <c r="G523" s="36">
        <v>9.9</v>
      </c>
      <c r="H523" s="35">
        <v>123.0</v>
      </c>
      <c r="I523" s="37">
        <v>0.5333333333333333</v>
      </c>
      <c r="J523" s="37">
        <v>0.5472222222222223</v>
      </c>
      <c r="K523" s="38">
        <f t="shared" si="12"/>
        <v>0.01388888889</v>
      </c>
      <c r="L523" s="39" t="str">
        <f t="shared" si="2"/>
        <v>Day</v>
      </c>
      <c r="M523" s="39" t="str">
        <f t="array" ref="M523">XLOOKUP(D523,'Category dict'!$B$1:$B$4,'Category dict'!$A$1:$A$4,0,0,1)</f>
        <v>Business</v>
      </c>
      <c r="N523" s="39" t="str">
        <f>VLOOKUP(H523,'Purpose dict'!$A$1:$B$12,2,0)</f>
        <v>NOT DEFINED</v>
      </c>
    </row>
    <row r="524" hidden="1">
      <c r="A524" s="3" t="s">
        <v>722</v>
      </c>
      <c r="B524" s="34">
        <v>42557.83611111111</v>
      </c>
      <c r="C524" s="34">
        <v>42557.84305555555</v>
      </c>
      <c r="D524" s="35">
        <v>423.0</v>
      </c>
      <c r="E524" s="3" t="s">
        <v>60</v>
      </c>
      <c r="F524" s="3" t="s">
        <v>62</v>
      </c>
      <c r="G524" s="36">
        <v>3.3</v>
      </c>
      <c r="H524" s="35">
        <v>1.0</v>
      </c>
      <c r="I524" s="37">
        <v>0.8361111111111111</v>
      </c>
      <c r="J524" s="37">
        <v>0.8430555555555556</v>
      </c>
      <c r="K524" s="38">
        <f t="shared" si="12"/>
        <v>0.006944444444</v>
      </c>
      <c r="L524" s="39" t="str">
        <f t="shared" si="2"/>
        <v>Evening</v>
      </c>
      <c r="M524" s="39" t="str">
        <f t="array" ref="M524">XLOOKUP(D524,'Category dict'!$B$1:$B$4,'Category dict'!$A$1:$A$4,0,0,1)</f>
        <v>Business</v>
      </c>
      <c r="N524" s="39" t="str">
        <f>VLOOKUP(H524,'Purpose dict'!$A$1:$B$12,2,0)</f>
        <v>Meal/Entertain</v>
      </c>
    </row>
    <row r="525" hidden="1">
      <c r="A525" s="3" t="s">
        <v>723</v>
      </c>
      <c r="B525" s="34">
        <v>42557.990277777775</v>
      </c>
      <c r="C525" s="34">
        <v>42557.99930555555</v>
      </c>
      <c r="D525" s="35">
        <v>423.0</v>
      </c>
      <c r="E525" s="3" t="s">
        <v>62</v>
      </c>
      <c r="F525" s="3" t="s">
        <v>60</v>
      </c>
      <c r="G525" s="36">
        <v>3.1</v>
      </c>
      <c r="H525" s="35">
        <v>4.0</v>
      </c>
      <c r="I525" s="37">
        <v>0.9902777777777778</v>
      </c>
      <c r="J525" s="37">
        <v>0.9993055555555556</v>
      </c>
      <c r="K525" s="38">
        <f t="shared" si="12"/>
        <v>0.009027777778</v>
      </c>
      <c r="L525" s="39" t="str">
        <f t="shared" si="2"/>
        <v>Evening</v>
      </c>
      <c r="M525" s="39" t="str">
        <f t="array" ref="M525">XLOOKUP(D525,'Category dict'!$B$1:$B$4,'Category dict'!$A$1:$A$4,0,0,1)</f>
        <v>Business</v>
      </c>
      <c r="N525" s="39" t="str">
        <f>VLOOKUP(H525,'Purpose dict'!$A$1:$B$12,2,0)</f>
        <v>Customer Visit</v>
      </c>
    </row>
    <row r="526" hidden="1">
      <c r="A526" s="3" t="s">
        <v>724</v>
      </c>
      <c r="B526" s="34">
        <v>42558.34861111111</v>
      </c>
      <c r="C526" s="34">
        <v>42558.368055555555</v>
      </c>
      <c r="D526" s="35">
        <v>423.0</v>
      </c>
      <c r="E526" s="3" t="s">
        <v>60</v>
      </c>
      <c r="F526" s="3" t="s">
        <v>62</v>
      </c>
      <c r="G526" s="36">
        <v>7.9</v>
      </c>
      <c r="H526" s="35">
        <v>5.0</v>
      </c>
      <c r="I526" s="37">
        <v>0.3486111111111111</v>
      </c>
      <c r="J526" s="37">
        <v>0.3680555555555556</v>
      </c>
      <c r="K526" s="38">
        <f t="shared" si="12"/>
        <v>0.01944444444</v>
      </c>
      <c r="L526" s="39" t="str">
        <f t="shared" si="2"/>
        <v>Morning</v>
      </c>
      <c r="M526" s="39" t="str">
        <f t="array" ref="M526">XLOOKUP(D526,'Category dict'!$B$1:$B$4,'Category dict'!$A$1:$A$4,0,0,1)</f>
        <v>Business</v>
      </c>
      <c r="N526" s="39" t="str">
        <f>VLOOKUP(H526,'Purpose dict'!$A$1:$B$12,2,0)</f>
        <v>Temporary Site</v>
      </c>
    </row>
    <row r="527" hidden="1">
      <c r="A527" s="3" t="s">
        <v>725</v>
      </c>
      <c r="B527" s="34">
        <v>42558.43541666667</v>
      </c>
      <c r="C527" s="34">
        <v>42558.43958333333</v>
      </c>
      <c r="D527" s="35">
        <v>423.0</v>
      </c>
      <c r="E527" s="3" t="s">
        <v>62</v>
      </c>
      <c r="F527" s="3" t="s">
        <v>60</v>
      </c>
      <c r="G527" s="36">
        <v>8.9</v>
      </c>
      <c r="H527" s="35">
        <v>123.0</v>
      </c>
      <c r="I527" s="37">
        <v>0.4354166666666667</v>
      </c>
      <c r="J527" s="37">
        <v>0.4395833333333333</v>
      </c>
      <c r="K527" s="38">
        <f t="shared" si="12"/>
        <v>0.004166666667</v>
      </c>
      <c r="L527" s="39" t="str">
        <f t="shared" si="2"/>
        <v>Morning</v>
      </c>
      <c r="M527" s="39" t="str">
        <f t="array" ref="M527">XLOOKUP(D527,'Category dict'!$B$1:$B$4,'Category dict'!$A$1:$A$4,0,0,1)</f>
        <v>Business</v>
      </c>
      <c r="N527" s="39" t="str">
        <f>VLOOKUP(H527,'Purpose dict'!$A$1:$B$12,2,0)</f>
        <v>NOT DEFINED</v>
      </c>
    </row>
    <row r="528" hidden="1">
      <c r="A528" s="3" t="s">
        <v>726</v>
      </c>
      <c r="B528" s="34">
        <v>42558.540972222225</v>
      </c>
      <c r="C528" s="34">
        <v>42558.56597222222</v>
      </c>
      <c r="D528" s="35">
        <v>423.0</v>
      </c>
      <c r="E528" s="3" t="s">
        <v>627</v>
      </c>
      <c r="F528" s="3" t="s">
        <v>628</v>
      </c>
      <c r="G528" s="36">
        <v>12.8</v>
      </c>
      <c r="H528" s="35">
        <v>123.0</v>
      </c>
      <c r="I528" s="37">
        <v>0.5409722222222222</v>
      </c>
      <c r="J528" s="37">
        <v>0.5659722222222222</v>
      </c>
      <c r="K528" s="38">
        <f t="shared" si="12"/>
        <v>0.025</v>
      </c>
      <c r="L528" s="39" t="str">
        <f t="shared" si="2"/>
        <v>Day</v>
      </c>
      <c r="M528" s="39" t="str">
        <f t="array" ref="M528">XLOOKUP(D528,'Category dict'!$B$1:$B$4,'Category dict'!$A$1:$A$4,0,0,1)</f>
        <v>Business</v>
      </c>
      <c r="N528" s="39" t="str">
        <f>VLOOKUP(H528,'Purpose dict'!$A$1:$B$12,2,0)</f>
        <v>NOT DEFINED</v>
      </c>
    </row>
    <row r="529" hidden="1">
      <c r="A529" s="3" t="s">
        <v>727</v>
      </c>
      <c r="B529" s="34">
        <v>42559.40972222222</v>
      </c>
      <c r="C529" s="34">
        <v>42559.42569444444</v>
      </c>
      <c r="D529" s="35">
        <v>423.0</v>
      </c>
      <c r="E529" s="3" t="s">
        <v>630</v>
      </c>
      <c r="F529" s="3" t="s">
        <v>728</v>
      </c>
      <c r="G529" s="36">
        <v>7.7</v>
      </c>
      <c r="H529" s="35">
        <v>123.0</v>
      </c>
      <c r="I529" s="37">
        <v>0.4097222222222222</v>
      </c>
      <c r="J529" s="37">
        <v>0.42569444444444443</v>
      </c>
      <c r="K529" s="38">
        <f t="shared" si="12"/>
        <v>0.01597222222</v>
      </c>
      <c r="L529" s="39" t="str">
        <f t="shared" si="2"/>
        <v>Morning</v>
      </c>
      <c r="M529" s="39" t="str">
        <f t="array" ref="M529">XLOOKUP(D529,'Category dict'!$B$1:$B$4,'Category dict'!$A$1:$A$4,0,0,1)</f>
        <v>Business</v>
      </c>
      <c r="N529" s="39" t="str">
        <f>VLOOKUP(H529,'Purpose dict'!$A$1:$B$12,2,0)</f>
        <v>NOT DEFINED</v>
      </c>
    </row>
    <row r="530" hidden="1">
      <c r="A530" s="3" t="s">
        <v>729</v>
      </c>
      <c r="B530" s="34">
        <v>42559.45208333333</v>
      </c>
      <c r="C530" s="34">
        <v>42559.46666666667</v>
      </c>
      <c r="D530" s="35">
        <v>423.0</v>
      </c>
      <c r="E530" s="3" t="s">
        <v>728</v>
      </c>
      <c r="F530" s="3" t="s">
        <v>630</v>
      </c>
      <c r="G530" s="36">
        <v>7.0</v>
      </c>
      <c r="H530" s="35">
        <v>123.0</v>
      </c>
      <c r="I530" s="37">
        <v>0.45208333333333334</v>
      </c>
      <c r="J530" s="37">
        <v>0.4666666666666667</v>
      </c>
      <c r="K530" s="38">
        <f t="shared" si="12"/>
        <v>0.01458333333</v>
      </c>
      <c r="L530" s="39" t="str">
        <f t="shared" si="2"/>
        <v>Morning</v>
      </c>
      <c r="M530" s="39" t="str">
        <f t="array" ref="M530">XLOOKUP(D530,'Category dict'!$B$1:$B$4,'Category dict'!$A$1:$A$4,0,0,1)</f>
        <v>Business</v>
      </c>
      <c r="N530" s="39" t="str">
        <f>VLOOKUP(H530,'Purpose dict'!$A$1:$B$12,2,0)</f>
        <v>NOT DEFINED</v>
      </c>
    </row>
    <row r="531" hidden="1">
      <c r="A531" s="3" t="s">
        <v>730</v>
      </c>
      <c r="B531" s="34">
        <v>42559.575</v>
      </c>
      <c r="C531" s="34">
        <v>42559.59097222222</v>
      </c>
      <c r="D531" s="35">
        <v>423.0</v>
      </c>
      <c r="E531" s="3" t="s">
        <v>628</v>
      </c>
      <c r="F531" s="3" t="s">
        <v>639</v>
      </c>
      <c r="G531" s="36">
        <v>12.5</v>
      </c>
      <c r="H531" s="35">
        <v>123.0</v>
      </c>
      <c r="I531" s="37">
        <v>0.575</v>
      </c>
      <c r="J531" s="37">
        <v>0.5909722222222222</v>
      </c>
      <c r="K531" s="38">
        <f t="shared" si="12"/>
        <v>0.01597222222</v>
      </c>
      <c r="L531" s="39" t="str">
        <f t="shared" si="2"/>
        <v>Day</v>
      </c>
      <c r="M531" s="39" t="str">
        <f t="array" ref="M531">XLOOKUP(D531,'Category dict'!$B$1:$B$4,'Category dict'!$A$1:$A$4,0,0,1)</f>
        <v>Business</v>
      </c>
      <c r="N531" s="39" t="str">
        <f>VLOOKUP(H531,'Purpose dict'!$A$1:$B$12,2,0)</f>
        <v>NOT DEFINED</v>
      </c>
    </row>
    <row r="532" hidden="1">
      <c r="A532" s="3" t="s">
        <v>731</v>
      </c>
      <c r="B532" s="34">
        <v>42559.71597222222</v>
      </c>
      <c r="C532" s="34">
        <v>42559.729166666664</v>
      </c>
      <c r="D532" s="35">
        <v>423.0</v>
      </c>
      <c r="E532" s="3" t="s">
        <v>627</v>
      </c>
      <c r="F532" s="3" t="s">
        <v>628</v>
      </c>
      <c r="G532" s="36">
        <v>13.2</v>
      </c>
      <c r="H532" s="35">
        <v>123.0</v>
      </c>
      <c r="I532" s="37">
        <v>0.7159722222222222</v>
      </c>
      <c r="J532" s="37">
        <v>0.7291666666666666</v>
      </c>
      <c r="K532" s="38">
        <f t="shared" si="12"/>
        <v>0.01319444444</v>
      </c>
      <c r="L532" s="39" t="str">
        <f t="shared" si="2"/>
        <v>Day</v>
      </c>
      <c r="M532" s="39" t="str">
        <f t="array" ref="M532">XLOOKUP(D532,'Category dict'!$B$1:$B$4,'Category dict'!$A$1:$A$4,0,0,1)</f>
        <v>Business</v>
      </c>
      <c r="N532" s="39" t="str">
        <f>VLOOKUP(H532,'Purpose dict'!$A$1:$B$12,2,0)</f>
        <v>NOT DEFINED</v>
      </c>
    </row>
    <row r="533" hidden="1">
      <c r="A533" s="3" t="s">
        <v>732</v>
      </c>
      <c r="B533" s="34">
        <v>42560.37708333333</v>
      </c>
      <c r="C533" s="34">
        <v>42560.40694444445</v>
      </c>
      <c r="D533" s="35">
        <v>423.0</v>
      </c>
      <c r="E533" s="3" t="s">
        <v>628</v>
      </c>
      <c r="F533" s="3" t="s">
        <v>627</v>
      </c>
      <c r="G533" s="36">
        <v>13.0</v>
      </c>
      <c r="H533" s="35">
        <v>123.0</v>
      </c>
      <c r="I533" s="37">
        <v>0.3770833333333333</v>
      </c>
      <c r="J533" s="37">
        <v>0.40694444444444444</v>
      </c>
      <c r="K533" s="38">
        <f t="shared" si="12"/>
        <v>0.02986111111</v>
      </c>
      <c r="L533" s="39" t="str">
        <f t="shared" si="2"/>
        <v>Morning</v>
      </c>
      <c r="M533" s="39" t="str">
        <f t="array" ref="M533">XLOOKUP(D533,'Category dict'!$B$1:$B$4,'Category dict'!$A$1:$A$4,0,0,1)</f>
        <v>Business</v>
      </c>
      <c r="N533" s="39" t="str">
        <f>VLOOKUP(H533,'Purpose dict'!$A$1:$B$12,2,0)</f>
        <v>NOT DEFINED</v>
      </c>
    </row>
    <row r="534" hidden="1">
      <c r="A534" s="3" t="s">
        <v>733</v>
      </c>
      <c r="B534" s="34">
        <v>42560.41111111111</v>
      </c>
      <c r="C534" s="34">
        <v>42560.42083333333</v>
      </c>
      <c r="D534" s="35">
        <v>423.0</v>
      </c>
      <c r="E534" s="3" t="s">
        <v>627</v>
      </c>
      <c r="F534" s="3" t="s">
        <v>639</v>
      </c>
      <c r="G534" s="36">
        <v>4.9</v>
      </c>
      <c r="H534" s="35">
        <v>123.0</v>
      </c>
      <c r="I534" s="37">
        <v>0.4111111111111111</v>
      </c>
      <c r="J534" s="37">
        <v>0.42083333333333334</v>
      </c>
      <c r="K534" s="38">
        <f t="shared" si="12"/>
        <v>0.009722222222</v>
      </c>
      <c r="L534" s="39" t="str">
        <f t="shared" si="2"/>
        <v>Morning</v>
      </c>
      <c r="M534" s="39" t="str">
        <f t="array" ref="M534">XLOOKUP(D534,'Category dict'!$B$1:$B$4,'Category dict'!$A$1:$A$4,0,0,1)</f>
        <v>Business</v>
      </c>
      <c r="N534" s="39" t="str">
        <f>VLOOKUP(H534,'Purpose dict'!$A$1:$B$12,2,0)</f>
        <v>NOT DEFINED</v>
      </c>
    </row>
    <row r="535" hidden="1">
      <c r="A535" s="3" t="s">
        <v>734</v>
      </c>
      <c r="B535" s="34">
        <v>42560.427083333336</v>
      </c>
      <c r="C535" s="34">
        <v>42560.43958333333</v>
      </c>
      <c r="D535" s="35">
        <v>423.0</v>
      </c>
      <c r="E535" s="3" t="s">
        <v>639</v>
      </c>
      <c r="F535" s="3" t="s">
        <v>628</v>
      </c>
      <c r="G535" s="36">
        <v>8.5</v>
      </c>
      <c r="H535" s="35">
        <v>123.0</v>
      </c>
      <c r="I535" s="37">
        <v>0.4270833333333333</v>
      </c>
      <c r="J535" s="37">
        <v>0.4395833333333333</v>
      </c>
      <c r="K535" s="38">
        <f t="shared" si="12"/>
        <v>0.0125</v>
      </c>
      <c r="L535" s="39" t="str">
        <f t="shared" si="2"/>
        <v>Morning</v>
      </c>
      <c r="M535" s="39" t="str">
        <f t="array" ref="M535">XLOOKUP(D535,'Category dict'!$B$1:$B$4,'Category dict'!$A$1:$A$4,0,0,1)</f>
        <v>Business</v>
      </c>
      <c r="N535" s="39" t="str">
        <f>VLOOKUP(H535,'Purpose dict'!$A$1:$B$12,2,0)</f>
        <v>NOT DEFINED</v>
      </c>
    </row>
    <row r="536">
      <c r="A536" s="3" t="s">
        <v>735</v>
      </c>
      <c r="B536" s="34">
        <v>42561.59027777778</v>
      </c>
      <c r="C536" s="34">
        <v>42561.595138888886</v>
      </c>
      <c r="D536" s="35">
        <v>423.0</v>
      </c>
      <c r="E536" s="3" t="s">
        <v>630</v>
      </c>
      <c r="F536" s="3" t="s">
        <v>736</v>
      </c>
      <c r="G536" s="40">
        <v>1.3</v>
      </c>
      <c r="H536" s="35">
        <v>123.0</v>
      </c>
      <c r="I536" s="37">
        <v>0.5902777777777778</v>
      </c>
      <c r="J536" s="37">
        <v>0.5951388888888889</v>
      </c>
      <c r="K536" s="38">
        <f t="shared" si="12"/>
        <v>0.004861111111</v>
      </c>
      <c r="L536" s="39" t="str">
        <f t="shared" si="2"/>
        <v>Day</v>
      </c>
      <c r="M536" s="39" t="str">
        <f t="array" ref="M536">XLOOKUP(D536,'Category dict'!$B$1:$B$4,'Category dict'!$A$1:$A$4,0,0,1)</f>
        <v>Business</v>
      </c>
      <c r="N536" s="39" t="str">
        <f>VLOOKUP(H536,'Purpose dict'!$A$1:$B$12,2,0)</f>
        <v>NOT DEFINED</v>
      </c>
    </row>
    <row r="537" hidden="1">
      <c r="A537" s="3" t="s">
        <v>737</v>
      </c>
      <c r="B537" s="34">
        <v>42561.669444444444</v>
      </c>
      <c r="C537" s="34">
        <v>42561.677083333336</v>
      </c>
      <c r="D537" s="35">
        <v>423.0</v>
      </c>
      <c r="E537" s="3" t="s">
        <v>736</v>
      </c>
      <c r="F537" s="3" t="s">
        <v>630</v>
      </c>
      <c r="G537" s="36">
        <v>1.8</v>
      </c>
      <c r="H537" s="35">
        <v>123.0</v>
      </c>
      <c r="I537" s="37">
        <v>0.6694444444444444</v>
      </c>
      <c r="J537" s="37">
        <v>0.6770833333333334</v>
      </c>
      <c r="K537" s="38">
        <f t="shared" si="12"/>
        <v>0.007638888889</v>
      </c>
      <c r="L537" s="39" t="str">
        <f t="shared" si="2"/>
        <v>Day</v>
      </c>
      <c r="M537" s="39" t="str">
        <f t="array" ref="M537">XLOOKUP(D537,'Category dict'!$B$1:$B$4,'Category dict'!$A$1:$A$4,0,0,1)</f>
        <v>Business</v>
      </c>
      <c r="N537" s="39" t="str">
        <f>VLOOKUP(H537,'Purpose dict'!$A$1:$B$12,2,0)</f>
        <v>NOT DEFINED</v>
      </c>
    </row>
    <row r="538" hidden="1">
      <c r="A538" s="3" t="s">
        <v>738</v>
      </c>
      <c r="B538" s="34">
        <v>42561.75347222222</v>
      </c>
      <c r="C538" s="34">
        <v>42561.76458333333</v>
      </c>
      <c r="D538" s="35">
        <v>423.0</v>
      </c>
      <c r="E538" s="3" t="s">
        <v>628</v>
      </c>
      <c r="F538" s="3" t="s">
        <v>627</v>
      </c>
      <c r="G538" s="36">
        <v>13.6</v>
      </c>
      <c r="H538" s="35">
        <v>123.0</v>
      </c>
      <c r="I538" s="37">
        <v>0.7534722222222222</v>
      </c>
      <c r="J538" s="37">
        <v>0.7645833333333333</v>
      </c>
      <c r="K538" s="38">
        <f t="shared" si="12"/>
        <v>0.01111111111</v>
      </c>
      <c r="L538" s="39" t="str">
        <f t="shared" si="2"/>
        <v>Evening</v>
      </c>
      <c r="M538" s="39" t="str">
        <f t="array" ref="M538">XLOOKUP(D538,'Category dict'!$B$1:$B$4,'Category dict'!$A$1:$A$4,0,0,1)</f>
        <v>Business</v>
      </c>
      <c r="N538" s="39" t="str">
        <f>VLOOKUP(H538,'Purpose dict'!$A$1:$B$12,2,0)</f>
        <v>NOT DEFINED</v>
      </c>
    </row>
    <row r="539" hidden="1">
      <c r="A539" s="3" t="s">
        <v>739</v>
      </c>
      <c r="B539" s="34">
        <v>42561.82708333333</v>
      </c>
      <c r="C539" s="34">
        <v>42561.83888888889</v>
      </c>
      <c r="D539" s="35">
        <v>423.0</v>
      </c>
      <c r="E539" s="3" t="s">
        <v>627</v>
      </c>
      <c r="F539" s="3" t="s">
        <v>628</v>
      </c>
      <c r="G539" s="36">
        <v>13.4</v>
      </c>
      <c r="H539" s="35">
        <v>123.0</v>
      </c>
      <c r="I539" s="37">
        <v>0.8270833333333333</v>
      </c>
      <c r="J539" s="37">
        <v>0.8388888888888889</v>
      </c>
      <c r="K539" s="38">
        <f t="shared" si="12"/>
        <v>0.01180555556</v>
      </c>
      <c r="L539" s="39" t="str">
        <f t="shared" si="2"/>
        <v>Evening</v>
      </c>
      <c r="M539" s="39" t="str">
        <f t="array" ref="M539">XLOOKUP(D539,'Category dict'!$B$1:$B$4,'Category dict'!$A$1:$A$4,0,0,1)</f>
        <v>Business</v>
      </c>
      <c r="N539" s="39" t="str">
        <f>VLOOKUP(H539,'Purpose dict'!$A$1:$B$12,2,0)</f>
        <v>NOT DEFINED</v>
      </c>
    </row>
    <row r="540" hidden="1">
      <c r="A540" s="3" t="s">
        <v>740</v>
      </c>
      <c r="B540" s="34">
        <v>42563.67361111111</v>
      </c>
      <c r="C540" s="34">
        <v>42563.697916666664</v>
      </c>
      <c r="D540" s="35">
        <v>423.0</v>
      </c>
      <c r="E540" s="3" t="s">
        <v>628</v>
      </c>
      <c r="F540" s="3" t="s">
        <v>627</v>
      </c>
      <c r="G540" s="36">
        <v>12.3</v>
      </c>
      <c r="H540" s="35">
        <v>123.0</v>
      </c>
      <c r="I540" s="37">
        <v>0.6736111111111112</v>
      </c>
      <c r="J540" s="37">
        <v>0.6979166666666666</v>
      </c>
      <c r="K540" s="38">
        <f t="shared" si="12"/>
        <v>0.02430555556</v>
      </c>
      <c r="L540" s="39" t="str">
        <f t="shared" si="2"/>
        <v>Day</v>
      </c>
      <c r="M540" s="39" t="str">
        <f t="array" ref="M540">XLOOKUP(D540,'Category dict'!$B$1:$B$4,'Category dict'!$A$1:$A$4,0,0,1)</f>
        <v>Business</v>
      </c>
      <c r="N540" s="39" t="str">
        <f>VLOOKUP(H540,'Purpose dict'!$A$1:$B$12,2,0)</f>
        <v>NOT DEFINED</v>
      </c>
    </row>
    <row r="541">
      <c r="A541" s="3" t="s">
        <v>741</v>
      </c>
      <c r="B541" s="34">
        <v>42563.80625</v>
      </c>
      <c r="C541" s="34">
        <v>42563.80972222222</v>
      </c>
      <c r="D541" s="35">
        <v>527.0</v>
      </c>
      <c r="E541" s="3" t="s">
        <v>627</v>
      </c>
      <c r="F541" s="3" t="s">
        <v>627</v>
      </c>
      <c r="G541" s="40">
        <v>1.4</v>
      </c>
      <c r="H541" s="35">
        <v>123.0</v>
      </c>
      <c r="I541" s="37">
        <v>0.80625</v>
      </c>
      <c r="J541" s="37">
        <v>0.8097222222222222</v>
      </c>
      <c r="K541" s="38">
        <f t="shared" si="12"/>
        <v>0.003472222222</v>
      </c>
      <c r="L541" s="39" t="str">
        <f t="shared" si="2"/>
        <v>Evening</v>
      </c>
      <c r="M541" s="39" t="str">
        <f t="array" ref="M541">XLOOKUP(D541,'Category dict'!$B$1:$B$4,'Category dict'!$A$1:$A$4,0,0,1)</f>
        <v>Personal</v>
      </c>
      <c r="N541" s="39" t="str">
        <f>VLOOKUP(H541,'Purpose dict'!$A$1:$B$12,2,0)</f>
        <v>NOT DEFINED</v>
      </c>
    </row>
    <row r="542" hidden="1">
      <c r="A542" s="3" t="s">
        <v>742</v>
      </c>
      <c r="B542" s="34">
        <v>42563.99097222222</v>
      </c>
      <c r="C542" s="34">
        <v>42564.00763888889</v>
      </c>
      <c r="D542" s="35">
        <v>527.0</v>
      </c>
      <c r="E542" s="3" t="s">
        <v>62</v>
      </c>
      <c r="F542" s="3" t="s">
        <v>60</v>
      </c>
      <c r="G542" s="36">
        <v>8.7</v>
      </c>
      <c r="H542" s="35">
        <v>123.0</v>
      </c>
      <c r="I542" s="37">
        <v>0.9909722222222223</v>
      </c>
      <c r="J542" s="37">
        <v>0.007638888888888889</v>
      </c>
      <c r="K542" s="41">
        <f>C542-B542</f>
        <v>0.01666666667</v>
      </c>
      <c r="L542" s="39" t="str">
        <f t="shared" si="2"/>
        <v>Evening</v>
      </c>
      <c r="M542" s="39" t="str">
        <f t="array" ref="M542">XLOOKUP(D542,'Category dict'!$B$1:$B$4,'Category dict'!$A$1:$A$4,0,0,1)</f>
        <v>Personal</v>
      </c>
      <c r="N542" s="39" t="str">
        <f>VLOOKUP(H542,'Purpose dict'!$A$1:$B$12,2,0)</f>
        <v>NOT DEFINED</v>
      </c>
    </row>
    <row r="543" hidden="1">
      <c r="A543" s="3" t="s">
        <v>743</v>
      </c>
      <c r="B543" s="34">
        <v>42564.527083333334</v>
      </c>
      <c r="C543" s="34">
        <v>42564.555555555555</v>
      </c>
      <c r="D543" s="35">
        <v>527.0</v>
      </c>
      <c r="E543" s="3" t="s">
        <v>60</v>
      </c>
      <c r="F543" s="3" t="s">
        <v>62</v>
      </c>
      <c r="G543" s="36">
        <v>23.5</v>
      </c>
      <c r="H543" s="35">
        <v>123.0</v>
      </c>
      <c r="I543" s="37">
        <v>0.5270833333333333</v>
      </c>
      <c r="J543" s="37">
        <v>0.5555555555555556</v>
      </c>
      <c r="K543" s="38">
        <f t="shared" ref="K543:K775" si="13">J543-I543</f>
        <v>0.02847222222</v>
      </c>
      <c r="L543" s="39" t="str">
        <f t="shared" si="2"/>
        <v>Day</v>
      </c>
      <c r="M543" s="39" t="str">
        <f t="array" ref="M543">XLOOKUP(D543,'Category dict'!$B$1:$B$4,'Category dict'!$A$1:$A$4,0,0,1)</f>
        <v>Personal</v>
      </c>
      <c r="N543" s="39" t="str">
        <f>VLOOKUP(H543,'Purpose dict'!$A$1:$B$12,2,0)</f>
        <v>NOT DEFINED</v>
      </c>
    </row>
    <row r="544" hidden="1">
      <c r="A544" s="3" t="s">
        <v>744</v>
      </c>
      <c r="B544" s="34">
        <v>42564.55902777778</v>
      </c>
      <c r="C544" s="34">
        <v>42564.56875</v>
      </c>
      <c r="D544" s="35">
        <v>527.0</v>
      </c>
      <c r="E544" s="3" t="s">
        <v>62</v>
      </c>
      <c r="F544" s="3" t="s">
        <v>62</v>
      </c>
      <c r="G544" s="36">
        <v>2.2</v>
      </c>
      <c r="H544" s="35">
        <v>123.0</v>
      </c>
      <c r="I544" s="37">
        <v>0.5590277777777778</v>
      </c>
      <c r="J544" s="37">
        <v>0.56875</v>
      </c>
      <c r="K544" s="38">
        <f t="shared" si="13"/>
        <v>0.009722222222</v>
      </c>
      <c r="L544" s="39" t="str">
        <f t="shared" si="2"/>
        <v>Day</v>
      </c>
      <c r="M544" s="39" t="str">
        <f t="array" ref="M544">XLOOKUP(D544,'Category dict'!$B$1:$B$4,'Category dict'!$A$1:$A$4,0,0,1)</f>
        <v>Personal</v>
      </c>
      <c r="N544" s="39" t="str">
        <f>VLOOKUP(H544,'Purpose dict'!$A$1:$B$12,2,0)</f>
        <v>NOT DEFINED</v>
      </c>
    </row>
    <row r="545" hidden="1">
      <c r="A545" s="3" t="s">
        <v>745</v>
      </c>
      <c r="B545" s="34">
        <v>42564.57083333333</v>
      </c>
      <c r="C545" s="34">
        <v>42564.57916666667</v>
      </c>
      <c r="D545" s="35">
        <v>527.0</v>
      </c>
      <c r="E545" s="3" t="s">
        <v>62</v>
      </c>
      <c r="F545" s="3" t="s">
        <v>60</v>
      </c>
      <c r="G545" s="36">
        <v>4.4</v>
      </c>
      <c r="H545" s="35">
        <v>123.0</v>
      </c>
      <c r="I545" s="37">
        <v>0.5708333333333333</v>
      </c>
      <c r="J545" s="37">
        <v>0.5791666666666667</v>
      </c>
      <c r="K545" s="38">
        <f t="shared" si="13"/>
        <v>0.008333333333</v>
      </c>
      <c r="L545" s="39" t="str">
        <f t="shared" si="2"/>
        <v>Day</v>
      </c>
      <c r="M545" s="39" t="str">
        <f t="array" ref="M545">XLOOKUP(D545,'Category dict'!$B$1:$B$4,'Category dict'!$A$1:$A$4,0,0,1)</f>
        <v>Personal</v>
      </c>
      <c r="N545" s="39" t="str">
        <f>VLOOKUP(H545,'Purpose dict'!$A$1:$B$12,2,0)</f>
        <v>NOT DEFINED</v>
      </c>
    </row>
    <row r="546" hidden="1">
      <c r="A546" s="3" t="s">
        <v>746</v>
      </c>
      <c r="B546" s="34">
        <v>42565.660416666666</v>
      </c>
      <c r="C546" s="34">
        <v>42565.665972222225</v>
      </c>
      <c r="D546" s="35">
        <v>527.0</v>
      </c>
      <c r="E546" s="3" t="s">
        <v>60</v>
      </c>
      <c r="F546" s="3" t="s">
        <v>62</v>
      </c>
      <c r="G546" s="36">
        <v>3.3</v>
      </c>
      <c r="H546" s="35">
        <v>123.0</v>
      </c>
      <c r="I546" s="37">
        <v>0.6604166666666667</v>
      </c>
      <c r="J546" s="37">
        <v>0.6659722222222222</v>
      </c>
      <c r="K546" s="38">
        <f t="shared" si="13"/>
        <v>0.005555555556</v>
      </c>
      <c r="L546" s="39" t="str">
        <f t="shared" si="2"/>
        <v>Day</v>
      </c>
      <c r="M546" s="39" t="str">
        <f t="array" ref="M546">XLOOKUP(D546,'Category dict'!$B$1:$B$4,'Category dict'!$A$1:$A$4,0,0,1)</f>
        <v>Personal</v>
      </c>
      <c r="N546" s="39" t="str">
        <f>VLOOKUP(H546,'Purpose dict'!$A$1:$B$12,2,0)</f>
        <v>NOT DEFINED</v>
      </c>
    </row>
    <row r="547" hidden="1">
      <c r="A547" s="3" t="s">
        <v>747</v>
      </c>
      <c r="B547" s="34">
        <v>42565.66875</v>
      </c>
      <c r="C547" s="34">
        <v>42565.69027777778</v>
      </c>
      <c r="D547" s="35">
        <v>423.0</v>
      </c>
      <c r="E547" s="3" t="s">
        <v>62</v>
      </c>
      <c r="F547" s="3" t="s">
        <v>62</v>
      </c>
      <c r="G547" s="36">
        <v>11.8</v>
      </c>
      <c r="H547" s="35">
        <v>2.0</v>
      </c>
      <c r="I547" s="37">
        <v>0.66875</v>
      </c>
      <c r="J547" s="37">
        <v>0.6902777777777778</v>
      </c>
      <c r="K547" s="38">
        <f t="shared" si="13"/>
        <v>0.02152777778</v>
      </c>
      <c r="L547" s="39" t="str">
        <f t="shared" si="2"/>
        <v>Day</v>
      </c>
      <c r="M547" s="39" t="str">
        <f t="array" ref="M547">XLOOKUP(D547,'Category dict'!$B$1:$B$4,'Category dict'!$A$1:$A$4,0,0,1)</f>
        <v>Business</v>
      </c>
      <c r="N547" s="39" t="str">
        <f>VLOOKUP(H547,'Purpose dict'!$A$1:$B$12,2,0)</f>
        <v>Errand/Supplies</v>
      </c>
    </row>
    <row r="548">
      <c r="A548" s="3" t="s">
        <v>748</v>
      </c>
      <c r="B548" s="34">
        <v>42565.69375</v>
      </c>
      <c r="C548" s="34">
        <v>42565.836805555555</v>
      </c>
      <c r="D548" s="35">
        <v>423.0</v>
      </c>
      <c r="E548" s="3" t="s">
        <v>62</v>
      </c>
      <c r="F548" s="3" t="s">
        <v>749</v>
      </c>
      <c r="G548" s="40">
        <v>195.3</v>
      </c>
      <c r="H548" s="35">
        <v>123.0</v>
      </c>
      <c r="I548" s="37">
        <v>0.69375</v>
      </c>
      <c r="J548" s="37">
        <v>0.8368055555555556</v>
      </c>
      <c r="K548" s="38">
        <f t="shared" si="13"/>
        <v>0.1430555556</v>
      </c>
      <c r="L548" s="39" t="str">
        <f t="shared" si="2"/>
        <v>Day</v>
      </c>
      <c r="M548" s="39" t="str">
        <f t="array" ref="M548">XLOOKUP(D548,'Category dict'!$B$1:$B$4,'Category dict'!$A$1:$A$4,0,0,1)</f>
        <v>Business</v>
      </c>
      <c r="N548" s="39" t="str">
        <f>VLOOKUP(H548,'Purpose dict'!$A$1:$B$12,2,0)</f>
        <v>NOT DEFINED</v>
      </c>
    </row>
    <row r="549" hidden="1">
      <c r="A549" s="3" t="s">
        <v>750</v>
      </c>
      <c r="B549" s="34">
        <v>42566.48055555556</v>
      </c>
      <c r="C549" s="34">
        <v>42566.49513888889</v>
      </c>
      <c r="D549" s="35">
        <v>527.0</v>
      </c>
      <c r="E549" s="3" t="s">
        <v>749</v>
      </c>
      <c r="F549" s="3" t="s">
        <v>749</v>
      </c>
      <c r="G549" s="36">
        <v>8.3</v>
      </c>
      <c r="H549" s="35">
        <v>123.0</v>
      </c>
      <c r="I549" s="37">
        <v>0.48055555555555557</v>
      </c>
      <c r="J549" s="37">
        <v>0.4951388888888889</v>
      </c>
      <c r="K549" s="38">
        <f t="shared" si="13"/>
        <v>0.01458333333</v>
      </c>
      <c r="L549" s="39" t="str">
        <f t="shared" si="2"/>
        <v>Morning</v>
      </c>
      <c r="M549" s="39" t="str">
        <f t="array" ref="M549">XLOOKUP(D549,'Category dict'!$B$1:$B$4,'Category dict'!$A$1:$A$4,0,0,1)</f>
        <v>Personal</v>
      </c>
      <c r="N549" s="39" t="str">
        <f>VLOOKUP(H549,'Purpose dict'!$A$1:$B$12,2,0)</f>
        <v>NOT DEFINED</v>
      </c>
    </row>
    <row r="550" hidden="1">
      <c r="A550" s="3" t="s">
        <v>751</v>
      </c>
      <c r="B550" s="34">
        <v>42566.50625</v>
      </c>
      <c r="C550" s="34">
        <v>42566.513194444444</v>
      </c>
      <c r="D550" s="35">
        <v>527.0</v>
      </c>
      <c r="E550" s="3" t="s">
        <v>749</v>
      </c>
      <c r="F550" s="3" t="s">
        <v>749</v>
      </c>
      <c r="G550" s="36">
        <v>3.2</v>
      </c>
      <c r="H550" s="35">
        <v>123.0</v>
      </c>
      <c r="I550" s="37">
        <v>0.50625</v>
      </c>
      <c r="J550" s="37">
        <v>0.5131944444444444</v>
      </c>
      <c r="K550" s="38">
        <f t="shared" si="13"/>
        <v>0.006944444444</v>
      </c>
      <c r="L550" s="39" t="str">
        <f t="shared" si="2"/>
        <v>Day</v>
      </c>
      <c r="M550" s="39" t="str">
        <f t="array" ref="M550">XLOOKUP(D550,'Category dict'!$B$1:$B$4,'Category dict'!$A$1:$A$4,0,0,1)</f>
        <v>Personal</v>
      </c>
      <c r="N550" s="39" t="str">
        <f>VLOOKUP(H550,'Purpose dict'!$A$1:$B$12,2,0)</f>
        <v>NOT DEFINED</v>
      </c>
    </row>
    <row r="551" hidden="1">
      <c r="A551" s="3" t="s">
        <v>752</v>
      </c>
      <c r="B551" s="34">
        <v>42566.524305555555</v>
      </c>
      <c r="C551" s="34">
        <v>42566.552083333336</v>
      </c>
      <c r="D551" s="35">
        <v>527.0</v>
      </c>
      <c r="E551" s="3" t="s">
        <v>749</v>
      </c>
      <c r="F551" s="3" t="s">
        <v>753</v>
      </c>
      <c r="G551" s="36">
        <v>22.4</v>
      </c>
      <c r="H551" s="35">
        <v>123.0</v>
      </c>
      <c r="I551" s="37">
        <v>0.5243055555555556</v>
      </c>
      <c r="J551" s="37">
        <v>0.5520833333333334</v>
      </c>
      <c r="K551" s="38">
        <f t="shared" si="13"/>
        <v>0.02777777778</v>
      </c>
      <c r="L551" s="39" t="str">
        <f t="shared" si="2"/>
        <v>Day</v>
      </c>
      <c r="M551" s="39" t="str">
        <f t="array" ref="M551">XLOOKUP(D551,'Category dict'!$B$1:$B$4,'Category dict'!$A$1:$A$4,0,0,1)</f>
        <v>Personal</v>
      </c>
      <c r="N551" s="39" t="str">
        <f>VLOOKUP(H551,'Purpose dict'!$A$1:$B$12,2,0)</f>
        <v>NOT DEFINED</v>
      </c>
    </row>
    <row r="552" hidden="1">
      <c r="A552" s="3" t="s">
        <v>754</v>
      </c>
      <c r="B552" s="34">
        <v>42566.62708333333</v>
      </c>
      <c r="C552" s="34">
        <v>42566.64791666667</v>
      </c>
      <c r="D552" s="35">
        <v>527.0</v>
      </c>
      <c r="E552" s="3" t="s">
        <v>753</v>
      </c>
      <c r="F552" s="3" t="s">
        <v>749</v>
      </c>
      <c r="G552" s="36">
        <v>12.2</v>
      </c>
      <c r="H552" s="35">
        <v>123.0</v>
      </c>
      <c r="I552" s="37">
        <v>0.6270833333333333</v>
      </c>
      <c r="J552" s="37">
        <v>0.6479166666666667</v>
      </c>
      <c r="K552" s="38">
        <f t="shared" si="13"/>
        <v>0.02083333333</v>
      </c>
      <c r="L552" s="39" t="str">
        <f t="shared" si="2"/>
        <v>Day</v>
      </c>
      <c r="M552" s="39" t="str">
        <f t="array" ref="M552">XLOOKUP(D552,'Category dict'!$B$1:$B$4,'Category dict'!$A$1:$A$4,0,0,1)</f>
        <v>Personal</v>
      </c>
      <c r="N552" s="39" t="str">
        <f>VLOOKUP(H552,'Purpose dict'!$A$1:$B$12,2,0)</f>
        <v>NOT DEFINED</v>
      </c>
    </row>
    <row r="553" hidden="1">
      <c r="A553" s="3" t="s">
        <v>755</v>
      </c>
      <c r="B553" s="34">
        <v>42566.65277777778</v>
      </c>
      <c r="C553" s="34">
        <v>42566.66111111111</v>
      </c>
      <c r="D553" s="35">
        <v>527.0</v>
      </c>
      <c r="E553" s="3" t="s">
        <v>749</v>
      </c>
      <c r="F553" s="3" t="s">
        <v>749</v>
      </c>
      <c r="G553" s="36">
        <v>4.5</v>
      </c>
      <c r="H553" s="35">
        <v>123.0</v>
      </c>
      <c r="I553" s="37">
        <v>0.6527777777777778</v>
      </c>
      <c r="J553" s="37">
        <v>0.6611111111111111</v>
      </c>
      <c r="K553" s="38">
        <f t="shared" si="13"/>
        <v>0.008333333333</v>
      </c>
      <c r="L553" s="39" t="str">
        <f t="shared" si="2"/>
        <v>Day</v>
      </c>
      <c r="M553" s="39" t="str">
        <f t="array" ref="M553">XLOOKUP(D553,'Category dict'!$B$1:$B$4,'Category dict'!$A$1:$A$4,0,0,1)</f>
        <v>Personal</v>
      </c>
      <c r="N553" s="39" t="str">
        <f>VLOOKUP(H553,'Purpose dict'!$A$1:$B$12,2,0)</f>
        <v>NOT DEFINED</v>
      </c>
    </row>
    <row r="554" hidden="1">
      <c r="A554" s="3" t="s">
        <v>756</v>
      </c>
      <c r="B554" s="34">
        <v>42567.55138888889</v>
      </c>
      <c r="C554" s="34">
        <v>42567.59027777778</v>
      </c>
      <c r="D554" s="35">
        <v>527.0</v>
      </c>
      <c r="E554" s="3" t="s">
        <v>749</v>
      </c>
      <c r="F554" s="3" t="s">
        <v>757</v>
      </c>
      <c r="G554" s="36">
        <v>28.1</v>
      </c>
      <c r="H554" s="35">
        <v>123.0</v>
      </c>
      <c r="I554" s="37">
        <v>0.5513888888888889</v>
      </c>
      <c r="J554" s="37">
        <v>0.5902777777777778</v>
      </c>
      <c r="K554" s="38">
        <f t="shared" si="13"/>
        <v>0.03888888889</v>
      </c>
      <c r="L554" s="39" t="str">
        <f t="shared" si="2"/>
        <v>Day</v>
      </c>
      <c r="M554" s="39" t="str">
        <f t="array" ref="M554">XLOOKUP(D554,'Category dict'!$B$1:$B$4,'Category dict'!$A$1:$A$4,0,0,1)</f>
        <v>Personal</v>
      </c>
      <c r="N554" s="39" t="str">
        <f>VLOOKUP(H554,'Purpose dict'!$A$1:$B$12,2,0)</f>
        <v>NOT DEFINED</v>
      </c>
    </row>
    <row r="555" hidden="1">
      <c r="A555" s="3" t="s">
        <v>758</v>
      </c>
      <c r="B555" s="34">
        <v>42567.59305555555</v>
      </c>
      <c r="C555" s="34">
        <v>42567.604166666664</v>
      </c>
      <c r="D555" s="35">
        <v>527.0</v>
      </c>
      <c r="E555" s="3" t="s">
        <v>757</v>
      </c>
      <c r="F555" s="3" t="s">
        <v>757</v>
      </c>
      <c r="G555" s="36">
        <v>3.8</v>
      </c>
      <c r="H555" s="35">
        <v>123.0</v>
      </c>
      <c r="I555" s="37">
        <v>0.5930555555555556</v>
      </c>
      <c r="J555" s="37">
        <v>0.6041666666666666</v>
      </c>
      <c r="K555" s="38">
        <f t="shared" si="13"/>
        <v>0.01111111111</v>
      </c>
      <c r="L555" s="39" t="str">
        <f t="shared" si="2"/>
        <v>Day</v>
      </c>
      <c r="M555" s="39" t="str">
        <f t="array" ref="M555">XLOOKUP(D555,'Category dict'!$B$1:$B$4,'Category dict'!$A$1:$A$4,0,0,1)</f>
        <v>Personal</v>
      </c>
      <c r="N555" s="39" t="str">
        <f>VLOOKUP(H555,'Purpose dict'!$A$1:$B$12,2,0)</f>
        <v>NOT DEFINED</v>
      </c>
    </row>
    <row r="556" hidden="1">
      <c r="A556" s="3" t="s">
        <v>759</v>
      </c>
      <c r="B556" s="34">
        <v>42567.64513888889</v>
      </c>
      <c r="C556" s="34">
        <v>42567.70625</v>
      </c>
      <c r="D556" s="35">
        <v>527.0</v>
      </c>
      <c r="E556" s="3" t="s">
        <v>757</v>
      </c>
      <c r="F556" s="3" t="s">
        <v>760</v>
      </c>
      <c r="G556" s="36">
        <v>41.9</v>
      </c>
      <c r="H556" s="35">
        <v>123.0</v>
      </c>
      <c r="I556" s="37">
        <v>0.6451388888888889</v>
      </c>
      <c r="J556" s="37">
        <v>0.70625</v>
      </c>
      <c r="K556" s="38">
        <f t="shared" si="13"/>
        <v>0.06111111111</v>
      </c>
      <c r="L556" s="39" t="str">
        <f t="shared" si="2"/>
        <v>Day</v>
      </c>
      <c r="M556" s="39" t="str">
        <f t="array" ref="M556">XLOOKUP(D556,'Category dict'!$B$1:$B$4,'Category dict'!$A$1:$A$4,0,0,1)</f>
        <v>Personal</v>
      </c>
      <c r="N556" s="39" t="str">
        <f>VLOOKUP(H556,'Purpose dict'!$A$1:$B$12,2,0)</f>
        <v>NOT DEFINED</v>
      </c>
    </row>
    <row r="557" hidden="1">
      <c r="A557" s="3" t="s">
        <v>761</v>
      </c>
      <c r="B557" s="34">
        <v>42567.82083333333</v>
      </c>
      <c r="C557" s="34">
        <v>42567.85763888889</v>
      </c>
      <c r="D557" s="35">
        <v>527.0</v>
      </c>
      <c r="E557" s="3" t="s">
        <v>760</v>
      </c>
      <c r="F557" s="3" t="s">
        <v>749</v>
      </c>
      <c r="G557" s="36">
        <v>23.8</v>
      </c>
      <c r="H557" s="35">
        <v>123.0</v>
      </c>
      <c r="I557" s="37">
        <v>0.8208333333333333</v>
      </c>
      <c r="J557" s="37">
        <v>0.8576388888888888</v>
      </c>
      <c r="K557" s="38">
        <f t="shared" si="13"/>
        <v>0.03680555556</v>
      </c>
      <c r="L557" s="39" t="str">
        <f t="shared" si="2"/>
        <v>Evening</v>
      </c>
      <c r="M557" s="39" t="str">
        <f t="array" ref="M557">XLOOKUP(D557,'Category dict'!$B$1:$B$4,'Category dict'!$A$1:$A$4,0,0,1)</f>
        <v>Personal</v>
      </c>
      <c r="N557" s="39" t="str">
        <f>VLOOKUP(H557,'Purpose dict'!$A$1:$B$12,2,0)</f>
        <v>NOT DEFINED</v>
      </c>
    </row>
    <row r="558" hidden="1">
      <c r="A558" s="3" t="s">
        <v>762</v>
      </c>
      <c r="B558" s="34">
        <v>42567.90625</v>
      </c>
      <c r="C558" s="34">
        <v>42567.92916666667</v>
      </c>
      <c r="D558" s="35">
        <v>527.0</v>
      </c>
      <c r="E558" s="3" t="s">
        <v>749</v>
      </c>
      <c r="F558" s="3" t="s">
        <v>749</v>
      </c>
      <c r="G558" s="36">
        <v>13.0</v>
      </c>
      <c r="H558" s="35">
        <v>123.0</v>
      </c>
      <c r="I558" s="37">
        <v>0.90625</v>
      </c>
      <c r="J558" s="37">
        <v>0.9291666666666667</v>
      </c>
      <c r="K558" s="38">
        <f t="shared" si="13"/>
        <v>0.02291666667</v>
      </c>
      <c r="L558" s="39" t="str">
        <f t="shared" si="2"/>
        <v>Evening</v>
      </c>
      <c r="M558" s="39" t="str">
        <f t="array" ref="M558">XLOOKUP(D558,'Category dict'!$B$1:$B$4,'Category dict'!$A$1:$A$4,0,0,1)</f>
        <v>Personal</v>
      </c>
      <c r="N558" s="39" t="str">
        <f>VLOOKUP(H558,'Purpose dict'!$A$1:$B$12,2,0)</f>
        <v>NOT DEFINED</v>
      </c>
    </row>
    <row r="559" hidden="1">
      <c r="A559" s="3" t="s">
        <v>763</v>
      </c>
      <c r="B559" s="34">
        <v>42567.95138888889</v>
      </c>
      <c r="C559" s="34">
        <v>42567.96041666667</v>
      </c>
      <c r="D559" s="35">
        <v>423.0</v>
      </c>
      <c r="E559" s="3" t="s">
        <v>749</v>
      </c>
      <c r="F559" s="3" t="s">
        <v>749</v>
      </c>
      <c r="G559" s="36">
        <v>4.4</v>
      </c>
      <c r="H559" s="35">
        <v>2.0</v>
      </c>
      <c r="I559" s="37">
        <v>0.9513888888888888</v>
      </c>
      <c r="J559" s="37">
        <v>0.9604166666666667</v>
      </c>
      <c r="K559" s="38">
        <f t="shared" si="13"/>
        <v>0.009027777778</v>
      </c>
      <c r="L559" s="39" t="str">
        <f t="shared" si="2"/>
        <v>Evening</v>
      </c>
      <c r="M559" s="39" t="str">
        <f t="array" ref="M559">XLOOKUP(D559,'Category dict'!$B$1:$B$4,'Category dict'!$A$1:$A$4,0,0,1)</f>
        <v>Business</v>
      </c>
      <c r="N559" s="39" t="str">
        <f>VLOOKUP(H559,'Purpose dict'!$A$1:$B$12,2,0)</f>
        <v>Errand/Supplies</v>
      </c>
    </row>
    <row r="560" hidden="1">
      <c r="A560" s="3" t="s">
        <v>764</v>
      </c>
      <c r="B560" s="34">
        <v>42568.47430555556</v>
      </c>
      <c r="C560" s="34">
        <v>42568.493055555555</v>
      </c>
      <c r="D560" s="35">
        <v>527.0</v>
      </c>
      <c r="E560" s="3" t="s">
        <v>749</v>
      </c>
      <c r="F560" s="3" t="s">
        <v>760</v>
      </c>
      <c r="G560" s="36">
        <v>15.1</v>
      </c>
      <c r="H560" s="35">
        <v>7.0</v>
      </c>
      <c r="I560" s="37">
        <v>0.47430555555555554</v>
      </c>
      <c r="J560" s="37">
        <v>0.4930555555555556</v>
      </c>
      <c r="K560" s="38">
        <f t="shared" si="13"/>
        <v>0.01875</v>
      </c>
      <c r="L560" s="39" t="str">
        <f t="shared" si="2"/>
        <v>Morning</v>
      </c>
      <c r="M560" s="39" t="str">
        <f t="array" ref="M560">XLOOKUP(D560,'Category dict'!$B$1:$B$4,'Category dict'!$A$1:$A$4,0,0,1)</f>
        <v>Personal</v>
      </c>
      <c r="N560" s="39" t="str">
        <f>VLOOKUP(H560,'Purpose dict'!$A$1:$B$12,2,0)</f>
        <v>Charity ($)</v>
      </c>
    </row>
    <row r="561">
      <c r="A561" s="3" t="s">
        <v>765</v>
      </c>
      <c r="B561" s="34">
        <v>42568.51388888889</v>
      </c>
      <c r="C561" s="34">
        <v>42568.64236111111</v>
      </c>
      <c r="D561" s="35">
        <v>527.0</v>
      </c>
      <c r="E561" s="3" t="s">
        <v>760</v>
      </c>
      <c r="F561" s="3" t="s">
        <v>60</v>
      </c>
      <c r="G561" s="40">
        <v>180.2</v>
      </c>
      <c r="H561" s="35">
        <v>8.0</v>
      </c>
      <c r="I561" s="37">
        <v>0.5138888888888888</v>
      </c>
      <c r="J561" s="37">
        <v>0.6423611111111112</v>
      </c>
      <c r="K561" s="38">
        <f t="shared" si="13"/>
        <v>0.1284722222</v>
      </c>
      <c r="L561" s="39" t="str">
        <f t="shared" si="2"/>
        <v>Day</v>
      </c>
      <c r="M561" s="39" t="str">
        <f t="array" ref="M561">XLOOKUP(D561,'Category dict'!$B$1:$B$4,'Category dict'!$A$1:$A$4,0,0,1)</f>
        <v>Personal</v>
      </c>
      <c r="N561" s="39" t="str">
        <f>VLOOKUP(H561,'Purpose dict'!$A$1:$B$12,2,0)</f>
        <v>Commute</v>
      </c>
    </row>
    <row r="562" hidden="1">
      <c r="A562" s="3" t="s">
        <v>766</v>
      </c>
      <c r="B562" s="34">
        <v>42569.44236111111</v>
      </c>
      <c r="C562" s="34">
        <v>42569.450694444444</v>
      </c>
      <c r="D562" s="35">
        <v>527.0</v>
      </c>
      <c r="E562" s="3" t="s">
        <v>60</v>
      </c>
      <c r="F562" s="3" t="s">
        <v>62</v>
      </c>
      <c r="G562" s="36">
        <v>4.1</v>
      </c>
      <c r="H562" s="35">
        <v>9.0</v>
      </c>
      <c r="I562" s="37">
        <v>0.4423611111111111</v>
      </c>
      <c r="J562" s="37">
        <v>0.45069444444444445</v>
      </c>
      <c r="K562" s="38">
        <f t="shared" si="13"/>
        <v>0.008333333333</v>
      </c>
      <c r="L562" s="39" t="str">
        <f t="shared" si="2"/>
        <v>Morning</v>
      </c>
      <c r="M562" s="39" t="str">
        <f t="array" ref="M562">XLOOKUP(D562,'Category dict'!$B$1:$B$4,'Category dict'!$A$1:$A$4,0,0,1)</f>
        <v>Personal</v>
      </c>
      <c r="N562" s="39" t="str">
        <f>VLOOKUP(H562,'Purpose dict'!$A$1:$B$12,2,0)</f>
        <v>Moving</v>
      </c>
    </row>
    <row r="563" hidden="1">
      <c r="A563" s="3" t="s">
        <v>767</v>
      </c>
      <c r="B563" s="34">
        <v>42569.45416666667</v>
      </c>
      <c r="C563" s="34">
        <v>42569.46875</v>
      </c>
      <c r="D563" s="35">
        <v>527.0</v>
      </c>
      <c r="E563" s="3" t="s">
        <v>62</v>
      </c>
      <c r="F563" s="3" t="s">
        <v>60</v>
      </c>
      <c r="G563" s="36">
        <v>6.1</v>
      </c>
      <c r="H563" s="35">
        <v>9.0</v>
      </c>
      <c r="I563" s="37">
        <v>0.45416666666666666</v>
      </c>
      <c r="J563" s="37">
        <v>0.46875</v>
      </c>
      <c r="K563" s="38">
        <f t="shared" si="13"/>
        <v>0.01458333333</v>
      </c>
      <c r="L563" s="39" t="str">
        <f t="shared" si="2"/>
        <v>Morning</v>
      </c>
      <c r="M563" s="39" t="str">
        <f t="array" ref="M563">XLOOKUP(D563,'Category dict'!$B$1:$B$4,'Category dict'!$A$1:$A$4,0,0,1)</f>
        <v>Personal</v>
      </c>
      <c r="N563" s="39" t="str">
        <f>VLOOKUP(H563,'Purpose dict'!$A$1:$B$12,2,0)</f>
        <v>Moving</v>
      </c>
    </row>
    <row r="564" hidden="1">
      <c r="A564" s="3" t="s">
        <v>768</v>
      </c>
      <c r="B564" s="34">
        <v>42569.475694444445</v>
      </c>
      <c r="C564" s="34">
        <v>42569.48333333333</v>
      </c>
      <c r="D564" s="35">
        <v>527.0</v>
      </c>
      <c r="E564" s="3" t="s">
        <v>150</v>
      </c>
      <c r="F564" s="3" t="s">
        <v>179</v>
      </c>
      <c r="G564" s="36">
        <v>3.3</v>
      </c>
      <c r="H564" s="35">
        <v>9.0</v>
      </c>
      <c r="I564" s="37">
        <v>0.4756944444444444</v>
      </c>
      <c r="J564" s="37">
        <v>0.48333333333333334</v>
      </c>
      <c r="K564" s="38">
        <f t="shared" si="13"/>
        <v>0.007638888889</v>
      </c>
      <c r="L564" s="39" t="str">
        <f t="shared" si="2"/>
        <v>Morning</v>
      </c>
      <c r="M564" s="39" t="str">
        <f t="array" ref="M564">XLOOKUP(D564,'Category dict'!$B$1:$B$4,'Category dict'!$A$1:$A$4,0,0,1)</f>
        <v>Personal</v>
      </c>
      <c r="N564" s="39" t="str">
        <f>VLOOKUP(H564,'Purpose dict'!$A$1:$B$12,2,0)</f>
        <v>Moving</v>
      </c>
    </row>
    <row r="565" hidden="1">
      <c r="A565" s="3" t="s">
        <v>769</v>
      </c>
      <c r="B565" s="34">
        <v>42569.48611111111</v>
      </c>
      <c r="C565" s="34">
        <v>42569.49722222222</v>
      </c>
      <c r="D565" s="35">
        <v>527.0</v>
      </c>
      <c r="E565" s="3" t="s">
        <v>179</v>
      </c>
      <c r="F565" s="3" t="s">
        <v>106</v>
      </c>
      <c r="G565" s="36">
        <v>4.7</v>
      </c>
      <c r="H565" s="35">
        <v>9.0</v>
      </c>
      <c r="I565" s="37">
        <v>0.4861111111111111</v>
      </c>
      <c r="J565" s="37">
        <v>0.49722222222222223</v>
      </c>
      <c r="K565" s="38">
        <f t="shared" si="13"/>
        <v>0.01111111111</v>
      </c>
      <c r="L565" s="39" t="str">
        <f t="shared" si="2"/>
        <v>Morning</v>
      </c>
      <c r="M565" s="39" t="str">
        <f t="array" ref="M565">XLOOKUP(D565,'Category dict'!$B$1:$B$4,'Category dict'!$A$1:$A$4,0,0,1)</f>
        <v>Personal</v>
      </c>
      <c r="N565" s="39" t="str">
        <f>VLOOKUP(H565,'Purpose dict'!$A$1:$B$12,2,0)</f>
        <v>Moving</v>
      </c>
    </row>
    <row r="566" hidden="1">
      <c r="A566" s="3" t="s">
        <v>770</v>
      </c>
      <c r="B566" s="34">
        <v>42569.71666666667</v>
      </c>
      <c r="C566" s="34">
        <v>42569.73125</v>
      </c>
      <c r="D566" s="35">
        <v>423.0</v>
      </c>
      <c r="E566" s="3" t="s">
        <v>60</v>
      </c>
      <c r="F566" s="3" t="s">
        <v>142</v>
      </c>
      <c r="G566" s="36">
        <v>7.2</v>
      </c>
      <c r="H566" s="35">
        <v>3.0</v>
      </c>
      <c r="I566" s="37">
        <v>0.7166666666666667</v>
      </c>
      <c r="J566" s="37">
        <v>0.73125</v>
      </c>
      <c r="K566" s="38">
        <f t="shared" si="13"/>
        <v>0.01458333333</v>
      </c>
      <c r="L566" s="39" t="str">
        <f t="shared" si="2"/>
        <v>Day</v>
      </c>
      <c r="M566" s="39" t="str">
        <f t="array" ref="M566">XLOOKUP(D566,'Category dict'!$B$1:$B$4,'Category dict'!$A$1:$A$4,0,0,1)</f>
        <v>Business</v>
      </c>
      <c r="N566" s="39" t="str">
        <f>VLOOKUP(H566,'Purpose dict'!$A$1:$B$12,2,0)</f>
        <v>Meeting</v>
      </c>
    </row>
    <row r="567" hidden="1">
      <c r="A567" s="3" t="s">
        <v>771</v>
      </c>
      <c r="B567" s="34">
        <v>42569.77222222222</v>
      </c>
      <c r="C567" s="34">
        <v>42569.782638888886</v>
      </c>
      <c r="D567" s="35">
        <v>423.0</v>
      </c>
      <c r="E567" s="3" t="s">
        <v>142</v>
      </c>
      <c r="F567" s="3" t="s">
        <v>60</v>
      </c>
      <c r="G567" s="36">
        <v>5.5</v>
      </c>
      <c r="H567" s="35">
        <v>1.0</v>
      </c>
      <c r="I567" s="37">
        <v>0.7722222222222223</v>
      </c>
      <c r="J567" s="37">
        <v>0.7826388888888889</v>
      </c>
      <c r="K567" s="38">
        <f t="shared" si="13"/>
        <v>0.01041666667</v>
      </c>
      <c r="L567" s="39" t="str">
        <f t="shared" si="2"/>
        <v>Evening</v>
      </c>
      <c r="M567" s="39" t="str">
        <f t="array" ref="M567">XLOOKUP(D567,'Category dict'!$B$1:$B$4,'Category dict'!$A$1:$A$4,0,0,1)</f>
        <v>Business</v>
      </c>
      <c r="N567" s="39" t="str">
        <f>VLOOKUP(H567,'Purpose dict'!$A$1:$B$12,2,0)</f>
        <v>Meal/Entertain</v>
      </c>
    </row>
    <row r="568" hidden="1">
      <c r="A568" s="3" t="s">
        <v>772</v>
      </c>
      <c r="B568" s="34">
        <v>42569.79652777778</v>
      </c>
      <c r="C568" s="34">
        <v>42569.80138888889</v>
      </c>
      <c r="D568" s="35">
        <v>423.0</v>
      </c>
      <c r="E568" s="3" t="s">
        <v>60</v>
      </c>
      <c r="F568" s="3" t="s">
        <v>62</v>
      </c>
      <c r="G568" s="36">
        <v>3.3</v>
      </c>
      <c r="H568" s="35">
        <v>1.0</v>
      </c>
      <c r="I568" s="37">
        <v>0.7965277777777777</v>
      </c>
      <c r="J568" s="37">
        <v>0.8013888888888889</v>
      </c>
      <c r="K568" s="38">
        <f t="shared" si="13"/>
        <v>0.004861111111</v>
      </c>
      <c r="L568" s="39" t="str">
        <f t="shared" si="2"/>
        <v>Evening</v>
      </c>
      <c r="M568" s="39" t="str">
        <f t="array" ref="M568">XLOOKUP(D568,'Category dict'!$B$1:$B$4,'Category dict'!$A$1:$A$4,0,0,1)</f>
        <v>Business</v>
      </c>
      <c r="N568" s="39" t="str">
        <f>VLOOKUP(H568,'Purpose dict'!$A$1:$B$12,2,0)</f>
        <v>Meal/Entertain</v>
      </c>
    </row>
    <row r="569">
      <c r="A569" s="3" t="s">
        <v>773</v>
      </c>
      <c r="B569" s="34">
        <v>42569.85277777778</v>
      </c>
      <c r="C569" s="34">
        <v>42569.85555555556</v>
      </c>
      <c r="D569" s="35">
        <v>423.0</v>
      </c>
      <c r="E569" s="3" t="s">
        <v>120</v>
      </c>
      <c r="F569" s="3" t="s">
        <v>304</v>
      </c>
      <c r="G569" s="40">
        <v>0.9</v>
      </c>
      <c r="H569" s="35">
        <v>2.0</v>
      </c>
      <c r="I569" s="37">
        <v>0.8527777777777777</v>
      </c>
      <c r="J569" s="37">
        <v>0.8555555555555555</v>
      </c>
      <c r="K569" s="38">
        <f t="shared" si="13"/>
        <v>0.002777777778</v>
      </c>
      <c r="L569" s="39" t="str">
        <f t="shared" si="2"/>
        <v>Evening</v>
      </c>
      <c r="M569" s="39" t="str">
        <f t="array" ref="M569">XLOOKUP(D569,'Category dict'!$B$1:$B$4,'Category dict'!$A$1:$A$4,0,0,1)</f>
        <v>Business</v>
      </c>
      <c r="N569" s="39" t="str">
        <f>VLOOKUP(H569,'Purpose dict'!$A$1:$B$12,2,0)</f>
        <v>Errand/Supplies</v>
      </c>
    </row>
    <row r="570" hidden="1">
      <c r="A570" s="3" t="s">
        <v>774</v>
      </c>
      <c r="B570" s="34">
        <v>42569.88263888889</v>
      </c>
      <c r="C570" s="34">
        <v>42569.888194444444</v>
      </c>
      <c r="D570" s="35">
        <v>423.0</v>
      </c>
      <c r="E570" s="3" t="s">
        <v>62</v>
      </c>
      <c r="F570" s="3" t="s">
        <v>60</v>
      </c>
      <c r="G570" s="36">
        <v>3.8</v>
      </c>
      <c r="H570" s="35">
        <v>1.0</v>
      </c>
      <c r="I570" s="37">
        <v>0.8826388888888889</v>
      </c>
      <c r="J570" s="37">
        <v>0.8881944444444444</v>
      </c>
      <c r="K570" s="38">
        <f t="shared" si="13"/>
        <v>0.005555555556</v>
      </c>
      <c r="L570" s="39" t="str">
        <f t="shared" si="2"/>
        <v>Evening</v>
      </c>
      <c r="M570" s="39" t="str">
        <f t="array" ref="M570">XLOOKUP(D570,'Category dict'!$B$1:$B$4,'Category dict'!$A$1:$A$4,0,0,1)</f>
        <v>Business</v>
      </c>
      <c r="N570" s="39" t="str">
        <f>VLOOKUP(H570,'Purpose dict'!$A$1:$B$12,2,0)</f>
        <v>Meal/Entertain</v>
      </c>
    </row>
    <row r="571" hidden="1">
      <c r="A571" s="3" t="s">
        <v>775</v>
      </c>
      <c r="B571" s="34">
        <v>42570.44097222222</v>
      </c>
      <c r="C571" s="34">
        <v>42570.45208333333</v>
      </c>
      <c r="D571" s="35">
        <v>423.0</v>
      </c>
      <c r="E571" s="3" t="s">
        <v>106</v>
      </c>
      <c r="F571" s="3" t="s">
        <v>776</v>
      </c>
      <c r="G571" s="36">
        <v>6.4</v>
      </c>
      <c r="H571" s="35">
        <v>4.0</v>
      </c>
      <c r="I571" s="37">
        <v>0.4409722222222222</v>
      </c>
      <c r="J571" s="37">
        <v>0.45208333333333334</v>
      </c>
      <c r="K571" s="38">
        <f t="shared" si="13"/>
        <v>0.01111111111</v>
      </c>
      <c r="L571" s="39" t="str">
        <f t="shared" si="2"/>
        <v>Morning</v>
      </c>
      <c r="M571" s="39" t="str">
        <f t="array" ref="M571">XLOOKUP(D571,'Category dict'!$B$1:$B$4,'Category dict'!$A$1:$A$4,0,0,1)</f>
        <v>Business</v>
      </c>
      <c r="N571" s="39" t="str">
        <f>VLOOKUP(H571,'Purpose dict'!$A$1:$B$12,2,0)</f>
        <v>Customer Visit</v>
      </c>
    </row>
    <row r="572" hidden="1">
      <c r="A572" s="3" t="s">
        <v>777</v>
      </c>
      <c r="B572" s="34">
        <v>42570.455555555556</v>
      </c>
      <c r="C572" s="34">
        <v>42570.46597222222</v>
      </c>
      <c r="D572" s="35">
        <v>423.0</v>
      </c>
      <c r="E572" s="3" t="s">
        <v>776</v>
      </c>
      <c r="F572" s="3" t="s">
        <v>778</v>
      </c>
      <c r="G572" s="36">
        <v>3.0</v>
      </c>
      <c r="H572" s="35">
        <v>3.0</v>
      </c>
      <c r="I572" s="37">
        <v>0.45555555555555555</v>
      </c>
      <c r="J572" s="37">
        <v>0.46597222222222223</v>
      </c>
      <c r="K572" s="38">
        <f t="shared" si="13"/>
        <v>0.01041666667</v>
      </c>
      <c r="L572" s="39" t="str">
        <f t="shared" si="2"/>
        <v>Morning</v>
      </c>
      <c r="M572" s="39" t="str">
        <f t="array" ref="M572">XLOOKUP(D572,'Category dict'!$B$1:$B$4,'Category dict'!$A$1:$A$4,0,0,1)</f>
        <v>Business</v>
      </c>
      <c r="N572" s="39" t="str">
        <f>VLOOKUP(H572,'Purpose dict'!$A$1:$B$12,2,0)</f>
        <v>Meeting</v>
      </c>
    </row>
    <row r="573" hidden="1">
      <c r="A573" s="3" t="s">
        <v>779</v>
      </c>
      <c r="B573" s="34">
        <v>42570.479166666664</v>
      </c>
      <c r="C573" s="34">
        <v>42570.5</v>
      </c>
      <c r="D573" s="35">
        <v>423.0</v>
      </c>
      <c r="E573" s="3" t="s">
        <v>778</v>
      </c>
      <c r="F573" s="3" t="s">
        <v>106</v>
      </c>
      <c r="G573" s="36">
        <v>8.7</v>
      </c>
      <c r="H573" s="35">
        <v>1.0</v>
      </c>
      <c r="I573" s="37">
        <v>0.4791666666666667</v>
      </c>
      <c r="J573" s="37">
        <v>0.5</v>
      </c>
      <c r="K573" s="38">
        <f t="shared" si="13"/>
        <v>0.02083333333</v>
      </c>
      <c r="L573" s="39" t="str">
        <f t="shared" si="2"/>
        <v>Morning</v>
      </c>
      <c r="M573" s="39" t="str">
        <f t="array" ref="M573">XLOOKUP(D573,'Category dict'!$B$1:$B$4,'Category dict'!$A$1:$A$4,0,0,1)</f>
        <v>Business</v>
      </c>
      <c r="N573" s="39" t="str">
        <f>VLOOKUP(H573,'Purpose dict'!$A$1:$B$12,2,0)</f>
        <v>Meal/Entertain</v>
      </c>
    </row>
    <row r="574" hidden="1">
      <c r="A574" s="3" t="s">
        <v>780</v>
      </c>
      <c r="B574" s="34">
        <v>42570.71805555555</v>
      </c>
      <c r="C574" s="34">
        <v>42570.725</v>
      </c>
      <c r="D574" s="35">
        <v>423.0</v>
      </c>
      <c r="E574" s="3" t="s">
        <v>106</v>
      </c>
      <c r="F574" s="3" t="s">
        <v>479</v>
      </c>
      <c r="G574" s="36">
        <v>3.9</v>
      </c>
      <c r="H574" s="35">
        <v>2.0</v>
      </c>
      <c r="I574" s="37">
        <v>0.7180555555555556</v>
      </c>
      <c r="J574" s="37">
        <v>0.725</v>
      </c>
      <c r="K574" s="38">
        <f t="shared" si="13"/>
        <v>0.006944444444</v>
      </c>
      <c r="L574" s="39" t="str">
        <f t="shared" si="2"/>
        <v>Day</v>
      </c>
      <c r="M574" s="39" t="str">
        <f t="array" ref="M574">XLOOKUP(D574,'Category dict'!$B$1:$B$4,'Category dict'!$A$1:$A$4,0,0,1)</f>
        <v>Business</v>
      </c>
      <c r="N574" s="39" t="str">
        <f>VLOOKUP(H574,'Purpose dict'!$A$1:$B$12,2,0)</f>
        <v>Errand/Supplies</v>
      </c>
    </row>
    <row r="575" hidden="1">
      <c r="A575" s="3" t="s">
        <v>781</v>
      </c>
      <c r="B575" s="34">
        <v>42570.743055555555</v>
      </c>
      <c r="C575" s="34">
        <v>42570.75555555556</v>
      </c>
      <c r="D575" s="35">
        <v>527.0</v>
      </c>
      <c r="E575" s="3" t="s">
        <v>479</v>
      </c>
      <c r="F575" s="3" t="s">
        <v>106</v>
      </c>
      <c r="G575" s="36">
        <v>4.8</v>
      </c>
      <c r="H575" s="35">
        <v>123.0</v>
      </c>
      <c r="I575" s="37">
        <v>0.7430555555555556</v>
      </c>
      <c r="J575" s="37">
        <v>0.7555555555555555</v>
      </c>
      <c r="K575" s="38">
        <f t="shared" si="13"/>
        <v>0.0125</v>
      </c>
      <c r="L575" s="39" t="str">
        <f t="shared" si="2"/>
        <v>Day</v>
      </c>
      <c r="M575" s="39" t="str">
        <f t="array" ref="M575">XLOOKUP(D575,'Category dict'!$B$1:$B$4,'Category dict'!$A$1:$A$4,0,0,1)</f>
        <v>Personal</v>
      </c>
      <c r="N575" s="39" t="str">
        <f>VLOOKUP(H575,'Purpose dict'!$A$1:$B$12,2,0)</f>
        <v>NOT DEFINED</v>
      </c>
    </row>
    <row r="576" hidden="1">
      <c r="A576" s="3" t="s">
        <v>782</v>
      </c>
      <c r="B576" s="34">
        <v>42571.71666666667</v>
      </c>
      <c r="C576" s="34">
        <v>42571.725</v>
      </c>
      <c r="D576" s="35">
        <v>527.0</v>
      </c>
      <c r="E576" s="3" t="s">
        <v>106</v>
      </c>
      <c r="F576" s="3" t="s">
        <v>168</v>
      </c>
      <c r="G576" s="36">
        <v>2.8</v>
      </c>
      <c r="H576" s="35">
        <v>123.0</v>
      </c>
      <c r="I576" s="37">
        <v>0.7166666666666667</v>
      </c>
      <c r="J576" s="37">
        <v>0.725</v>
      </c>
      <c r="K576" s="38">
        <f t="shared" si="13"/>
        <v>0.008333333333</v>
      </c>
      <c r="L576" s="39" t="str">
        <f t="shared" si="2"/>
        <v>Day</v>
      </c>
      <c r="M576" s="39" t="str">
        <f t="array" ref="M576">XLOOKUP(D576,'Category dict'!$B$1:$B$4,'Category dict'!$A$1:$A$4,0,0,1)</f>
        <v>Personal</v>
      </c>
      <c r="N576" s="39" t="str">
        <f>VLOOKUP(H576,'Purpose dict'!$A$1:$B$12,2,0)</f>
        <v>NOT DEFINED</v>
      </c>
    </row>
    <row r="577">
      <c r="A577" s="3" t="s">
        <v>783</v>
      </c>
      <c r="B577" s="34">
        <v>42571.743055555555</v>
      </c>
      <c r="C577" s="34">
        <v>42571.74791666667</v>
      </c>
      <c r="D577" s="35">
        <v>527.0</v>
      </c>
      <c r="E577" s="3" t="s">
        <v>168</v>
      </c>
      <c r="F577" s="3" t="s">
        <v>179</v>
      </c>
      <c r="G577" s="40">
        <v>1.4</v>
      </c>
      <c r="H577" s="35">
        <v>123.0</v>
      </c>
      <c r="I577" s="37">
        <v>0.7430555555555556</v>
      </c>
      <c r="J577" s="37">
        <v>0.7479166666666667</v>
      </c>
      <c r="K577" s="38">
        <f t="shared" si="13"/>
        <v>0.004861111111</v>
      </c>
      <c r="L577" s="39" t="str">
        <f t="shared" si="2"/>
        <v>Day</v>
      </c>
      <c r="M577" s="39" t="str">
        <f t="array" ref="M577">XLOOKUP(D577,'Category dict'!$B$1:$B$4,'Category dict'!$A$1:$A$4,0,0,1)</f>
        <v>Personal</v>
      </c>
      <c r="N577" s="39" t="str">
        <f>VLOOKUP(H577,'Purpose dict'!$A$1:$B$12,2,0)</f>
        <v>NOT DEFINED</v>
      </c>
    </row>
    <row r="578">
      <c r="A578" s="3" t="s">
        <v>784</v>
      </c>
      <c r="B578" s="34">
        <v>42571.76111111111</v>
      </c>
      <c r="C578" s="34">
        <v>42571.76388888889</v>
      </c>
      <c r="D578" s="35">
        <v>527.0</v>
      </c>
      <c r="E578" s="3" t="s">
        <v>179</v>
      </c>
      <c r="F578" s="3" t="s">
        <v>106</v>
      </c>
      <c r="G578" s="40">
        <v>1.4</v>
      </c>
      <c r="H578" s="35">
        <v>123.0</v>
      </c>
      <c r="I578" s="37">
        <v>0.7611111111111111</v>
      </c>
      <c r="J578" s="37">
        <v>0.7638888888888888</v>
      </c>
      <c r="K578" s="38">
        <f t="shared" si="13"/>
        <v>0.002777777778</v>
      </c>
      <c r="L578" s="39" t="str">
        <f t="shared" si="2"/>
        <v>Evening</v>
      </c>
      <c r="M578" s="39" t="str">
        <f t="array" ref="M578">XLOOKUP(D578,'Category dict'!$B$1:$B$4,'Category dict'!$A$1:$A$4,0,0,1)</f>
        <v>Personal</v>
      </c>
      <c r="N578" s="39" t="str">
        <f>VLOOKUP(H578,'Purpose dict'!$A$1:$B$12,2,0)</f>
        <v>NOT DEFINED</v>
      </c>
    </row>
    <row r="579" hidden="1">
      <c r="A579" s="3" t="s">
        <v>785</v>
      </c>
      <c r="B579" s="34">
        <v>42572.720138888886</v>
      </c>
      <c r="C579" s="34">
        <v>42572.72430555556</v>
      </c>
      <c r="D579" s="35">
        <v>423.0</v>
      </c>
      <c r="E579" s="3" t="s">
        <v>106</v>
      </c>
      <c r="F579" s="3" t="s">
        <v>168</v>
      </c>
      <c r="G579" s="36">
        <v>2.7</v>
      </c>
      <c r="H579" s="35">
        <v>123.0</v>
      </c>
      <c r="I579" s="37">
        <v>0.7201388888888889</v>
      </c>
      <c r="J579" s="37">
        <v>0.7243055555555555</v>
      </c>
      <c r="K579" s="38">
        <f t="shared" si="13"/>
        <v>0.004166666667</v>
      </c>
      <c r="L579" s="39" t="str">
        <f t="shared" si="2"/>
        <v>Day</v>
      </c>
      <c r="M579" s="39" t="str">
        <f t="array" ref="M579">XLOOKUP(D579,'Category dict'!$B$1:$B$4,'Category dict'!$A$1:$A$4,0,0,1)</f>
        <v>Business</v>
      </c>
      <c r="N579" s="39" t="str">
        <f>VLOOKUP(H579,'Purpose dict'!$A$1:$B$12,2,0)</f>
        <v>NOT DEFINED</v>
      </c>
    </row>
    <row r="580" hidden="1">
      <c r="A580" s="3" t="s">
        <v>786</v>
      </c>
      <c r="B580" s="34">
        <v>42572.7375</v>
      </c>
      <c r="C580" s="34">
        <v>42572.74375</v>
      </c>
      <c r="D580" s="35">
        <v>423.0</v>
      </c>
      <c r="E580" s="3" t="s">
        <v>168</v>
      </c>
      <c r="F580" s="3" t="s">
        <v>482</v>
      </c>
      <c r="G580" s="36">
        <v>2.3</v>
      </c>
      <c r="H580" s="35">
        <v>123.0</v>
      </c>
      <c r="I580" s="37">
        <v>0.7375</v>
      </c>
      <c r="J580" s="37">
        <v>0.74375</v>
      </c>
      <c r="K580" s="38">
        <f t="shared" si="13"/>
        <v>0.00625</v>
      </c>
      <c r="L580" s="39" t="str">
        <f t="shared" si="2"/>
        <v>Day</v>
      </c>
      <c r="M580" s="39" t="str">
        <f t="array" ref="M580">XLOOKUP(D580,'Category dict'!$B$1:$B$4,'Category dict'!$A$1:$A$4,0,0,1)</f>
        <v>Business</v>
      </c>
      <c r="N580" s="39" t="str">
        <f>VLOOKUP(H580,'Purpose dict'!$A$1:$B$12,2,0)</f>
        <v>NOT DEFINED</v>
      </c>
    </row>
    <row r="581" hidden="1">
      <c r="A581" s="3" t="s">
        <v>787</v>
      </c>
      <c r="B581" s="34">
        <v>42572.76875</v>
      </c>
      <c r="C581" s="34">
        <v>42572.77916666667</v>
      </c>
      <c r="D581" s="35">
        <v>423.0</v>
      </c>
      <c r="E581" s="3" t="s">
        <v>60</v>
      </c>
      <c r="F581" s="3" t="s">
        <v>62</v>
      </c>
      <c r="G581" s="36">
        <v>3.7</v>
      </c>
      <c r="H581" s="35">
        <v>123.0</v>
      </c>
      <c r="I581" s="37">
        <v>0.76875</v>
      </c>
      <c r="J581" s="37">
        <v>0.7791666666666667</v>
      </c>
      <c r="K581" s="38">
        <f t="shared" si="13"/>
        <v>0.01041666667</v>
      </c>
      <c r="L581" s="39" t="str">
        <f t="shared" si="2"/>
        <v>Evening</v>
      </c>
      <c r="M581" s="39" t="str">
        <f t="array" ref="M581">XLOOKUP(D581,'Category dict'!$B$1:$B$4,'Category dict'!$A$1:$A$4,0,0,1)</f>
        <v>Business</v>
      </c>
      <c r="N581" s="39" t="str">
        <f>VLOOKUP(H581,'Purpose dict'!$A$1:$B$12,2,0)</f>
        <v>NOT DEFINED</v>
      </c>
    </row>
    <row r="582" hidden="1">
      <c r="A582" s="3" t="s">
        <v>788</v>
      </c>
      <c r="B582" s="34">
        <v>42572.8125</v>
      </c>
      <c r="C582" s="34">
        <v>42572.81875</v>
      </c>
      <c r="D582" s="35">
        <v>423.0</v>
      </c>
      <c r="E582" s="3" t="s">
        <v>62</v>
      </c>
      <c r="F582" s="3" t="s">
        <v>60</v>
      </c>
      <c r="G582" s="36">
        <v>2.9</v>
      </c>
      <c r="H582" s="35">
        <v>123.0</v>
      </c>
      <c r="I582" s="37">
        <v>0.8125</v>
      </c>
      <c r="J582" s="37">
        <v>0.81875</v>
      </c>
      <c r="K582" s="38">
        <f t="shared" si="13"/>
        <v>0.00625</v>
      </c>
      <c r="L582" s="39" t="str">
        <f t="shared" si="2"/>
        <v>Evening</v>
      </c>
      <c r="M582" s="39" t="str">
        <f t="array" ref="M582">XLOOKUP(D582,'Category dict'!$B$1:$B$4,'Category dict'!$A$1:$A$4,0,0,1)</f>
        <v>Business</v>
      </c>
      <c r="N582" s="39" t="str">
        <f>VLOOKUP(H582,'Purpose dict'!$A$1:$B$12,2,0)</f>
        <v>NOT DEFINED</v>
      </c>
    </row>
    <row r="583" hidden="1">
      <c r="A583" s="3" t="s">
        <v>789</v>
      </c>
      <c r="B583" s="34">
        <v>42573.44583333333</v>
      </c>
      <c r="C583" s="34">
        <v>42573.45347222222</v>
      </c>
      <c r="D583" s="35">
        <v>423.0</v>
      </c>
      <c r="E583" s="3" t="s">
        <v>60</v>
      </c>
      <c r="F583" s="3" t="s">
        <v>62</v>
      </c>
      <c r="G583" s="36">
        <v>3.8</v>
      </c>
      <c r="H583" s="35">
        <v>123.0</v>
      </c>
      <c r="I583" s="37">
        <v>0.44583333333333336</v>
      </c>
      <c r="J583" s="37">
        <v>0.4534722222222222</v>
      </c>
      <c r="K583" s="38">
        <f t="shared" si="13"/>
        <v>0.007638888889</v>
      </c>
      <c r="L583" s="39" t="str">
        <f t="shared" si="2"/>
        <v>Morning</v>
      </c>
      <c r="M583" s="39" t="str">
        <f t="array" ref="M583">XLOOKUP(D583,'Category dict'!$B$1:$B$4,'Category dict'!$A$1:$A$4,0,0,1)</f>
        <v>Business</v>
      </c>
      <c r="N583" s="39" t="str">
        <f>VLOOKUP(H583,'Purpose dict'!$A$1:$B$12,2,0)</f>
        <v>NOT DEFINED</v>
      </c>
    </row>
    <row r="584" hidden="1">
      <c r="A584" s="3" t="s">
        <v>790</v>
      </c>
      <c r="B584" s="34">
        <v>42573.46597222222</v>
      </c>
      <c r="C584" s="34">
        <v>42573.475694444445</v>
      </c>
      <c r="D584" s="35">
        <v>423.0</v>
      </c>
      <c r="E584" s="3" t="s">
        <v>62</v>
      </c>
      <c r="F584" s="3" t="s">
        <v>60</v>
      </c>
      <c r="G584" s="36">
        <v>5.1</v>
      </c>
      <c r="H584" s="35">
        <v>123.0</v>
      </c>
      <c r="I584" s="37">
        <v>0.46597222222222223</v>
      </c>
      <c r="J584" s="37">
        <v>0.4756944444444444</v>
      </c>
      <c r="K584" s="38">
        <f t="shared" si="13"/>
        <v>0.009722222222</v>
      </c>
      <c r="L584" s="39" t="str">
        <f t="shared" si="2"/>
        <v>Morning</v>
      </c>
      <c r="M584" s="39" t="str">
        <f t="array" ref="M584">XLOOKUP(D584,'Category dict'!$B$1:$B$4,'Category dict'!$A$1:$A$4,0,0,1)</f>
        <v>Business</v>
      </c>
      <c r="N584" s="39" t="str">
        <f>VLOOKUP(H584,'Purpose dict'!$A$1:$B$12,2,0)</f>
        <v>NOT DEFINED</v>
      </c>
    </row>
    <row r="585" hidden="1">
      <c r="A585" s="3" t="s">
        <v>791</v>
      </c>
      <c r="B585" s="34">
        <v>42573.48402777778</v>
      </c>
      <c r="C585" s="34">
        <v>42573.5</v>
      </c>
      <c r="D585" s="35">
        <v>423.0</v>
      </c>
      <c r="E585" s="3" t="s">
        <v>120</v>
      </c>
      <c r="F585" s="3" t="s">
        <v>778</v>
      </c>
      <c r="G585" s="36">
        <v>9.1</v>
      </c>
      <c r="H585" s="35">
        <v>123.0</v>
      </c>
      <c r="I585" s="37">
        <v>0.4840277777777778</v>
      </c>
      <c r="J585" s="37">
        <v>0.5</v>
      </c>
      <c r="K585" s="38">
        <f t="shared" si="13"/>
        <v>0.01597222222</v>
      </c>
      <c r="L585" s="39" t="str">
        <f t="shared" si="2"/>
        <v>Morning</v>
      </c>
      <c r="M585" s="39" t="str">
        <f t="array" ref="M585">XLOOKUP(D585,'Category dict'!$B$1:$B$4,'Category dict'!$A$1:$A$4,0,0,1)</f>
        <v>Business</v>
      </c>
      <c r="N585" s="39" t="str">
        <f>VLOOKUP(H585,'Purpose dict'!$A$1:$B$12,2,0)</f>
        <v>NOT DEFINED</v>
      </c>
    </row>
    <row r="586" hidden="1">
      <c r="A586" s="3" t="s">
        <v>792</v>
      </c>
      <c r="B586" s="34">
        <v>42573.509722222225</v>
      </c>
      <c r="C586" s="34">
        <v>42573.521527777775</v>
      </c>
      <c r="D586" s="35">
        <v>423.0</v>
      </c>
      <c r="E586" s="3" t="s">
        <v>60</v>
      </c>
      <c r="F586" s="3" t="s">
        <v>101</v>
      </c>
      <c r="G586" s="36">
        <v>8.0</v>
      </c>
      <c r="H586" s="35">
        <v>123.0</v>
      </c>
      <c r="I586" s="37">
        <v>0.5097222222222222</v>
      </c>
      <c r="J586" s="37">
        <v>0.5215277777777778</v>
      </c>
      <c r="K586" s="38">
        <f t="shared" si="13"/>
        <v>0.01180555556</v>
      </c>
      <c r="L586" s="39" t="str">
        <f t="shared" si="2"/>
        <v>Day</v>
      </c>
      <c r="M586" s="39" t="str">
        <f t="array" ref="M586">XLOOKUP(D586,'Category dict'!$B$1:$B$4,'Category dict'!$A$1:$A$4,0,0,1)</f>
        <v>Business</v>
      </c>
      <c r="N586" s="39" t="str">
        <f>VLOOKUP(H586,'Purpose dict'!$A$1:$B$12,2,0)</f>
        <v>NOT DEFINED</v>
      </c>
    </row>
    <row r="587" hidden="1">
      <c r="A587" s="3" t="s">
        <v>793</v>
      </c>
      <c r="B587" s="34">
        <v>42573.55625</v>
      </c>
      <c r="C587" s="34">
        <v>42573.57083333333</v>
      </c>
      <c r="D587" s="35">
        <v>423.0</v>
      </c>
      <c r="E587" s="3" t="s">
        <v>101</v>
      </c>
      <c r="F587" s="3" t="s">
        <v>60</v>
      </c>
      <c r="G587" s="36">
        <v>9.9</v>
      </c>
      <c r="H587" s="35">
        <v>3.0</v>
      </c>
      <c r="I587" s="37">
        <v>0.55625</v>
      </c>
      <c r="J587" s="37">
        <v>0.5708333333333333</v>
      </c>
      <c r="K587" s="38">
        <f t="shared" si="13"/>
        <v>0.01458333333</v>
      </c>
      <c r="L587" s="39" t="str">
        <f t="shared" si="2"/>
        <v>Day</v>
      </c>
      <c r="M587" s="39" t="str">
        <f t="array" ref="M587">XLOOKUP(D587,'Category dict'!$B$1:$B$4,'Category dict'!$A$1:$A$4,0,0,1)</f>
        <v>Business</v>
      </c>
      <c r="N587" s="39" t="str">
        <f>VLOOKUP(H587,'Purpose dict'!$A$1:$B$12,2,0)</f>
        <v>Meeting</v>
      </c>
    </row>
    <row r="588" hidden="1">
      <c r="A588" s="3" t="s">
        <v>794</v>
      </c>
      <c r="B588" s="34">
        <v>42573.60208333333</v>
      </c>
      <c r="C588" s="34">
        <v>42573.61319444444</v>
      </c>
      <c r="D588" s="35">
        <v>423.0</v>
      </c>
      <c r="E588" s="3" t="s">
        <v>60</v>
      </c>
      <c r="F588" s="3" t="s">
        <v>62</v>
      </c>
      <c r="G588" s="36">
        <v>6.1</v>
      </c>
      <c r="H588" s="35">
        <v>1.0</v>
      </c>
      <c r="I588" s="37">
        <v>0.6020833333333333</v>
      </c>
      <c r="J588" s="37">
        <v>0.6131944444444445</v>
      </c>
      <c r="K588" s="38">
        <f t="shared" si="13"/>
        <v>0.01111111111</v>
      </c>
      <c r="L588" s="39" t="str">
        <f t="shared" si="2"/>
        <v>Day</v>
      </c>
      <c r="M588" s="39" t="str">
        <f t="array" ref="M588">XLOOKUP(D588,'Category dict'!$B$1:$B$4,'Category dict'!$A$1:$A$4,0,0,1)</f>
        <v>Business</v>
      </c>
      <c r="N588" s="39" t="str">
        <f>VLOOKUP(H588,'Purpose dict'!$A$1:$B$12,2,0)</f>
        <v>Meal/Entertain</v>
      </c>
    </row>
    <row r="589" hidden="1">
      <c r="A589" s="3" t="s">
        <v>795</v>
      </c>
      <c r="B589" s="34">
        <v>42573.65902777778</v>
      </c>
      <c r="C589" s="34">
        <v>42573.68194444444</v>
      </c>
      <c r="D589" s="35">
        <v>423.0</v>
      </c>
      <c r="E589" s="3" t="s">
        <v>62</v>
      </c>
      <c r="F589" s="3" t="s">
        <v>60</v>
      </c>
      <c r="G589" s="36">
        <v>12.2</v>
      </c>
      <c r="H589" s="35">
        <v>123.0</v>
      </c>
      <c r="I589" s="37">
        <v>0.6590277777777778</v>
      </c>
      <c r="J589" s="37">
        <v>0.6819444444444445</v>
      </c>
      <c r="K589" s="38">
        <f t="shared" si="13"/>
        <v>0.02291666667</v>
      </c>
      <c r="L589" s="39" t="str">
        <f t="shared" si="2"/>
        <v>Day</v>
      </c>
      <c r="M589" s="39" t="str">
        <f t="array" ref="M589">XLOOKUP(D589,'Category dict'!$B$1:$B$4,'Category dict'!$A$1:$A$4,0,0,1)</f>
        <v>Business</v>
      </c>
      <c r="N589" s="39" t="str">
        <f>VLOOKUP(H589,'Purpose dict'!$A$1:$B$12,2,0)</f>
        <v>NOT DEFINED</v>
      </c>
    </row>
    <row r="590" hidden="1">
      <c r="A590" s="3" t="s">
        <v>796</v>
      </c>
      <c r="B590" s="34">
        <v>42573.77291666667</v>
      </c>
      <c r="C590" s="34">
        <v>42573.785416666666</v>
      </c>
      <c r="D590" s="35">
        <v>423.0</v>
      </c>
      <c r="E590" s="3" t="s">
        <v>284</v>
      </c>
      <c r="F590" s="3" t="s">
        <v>106</v>
      </c>
      <c r="G590" s="36">
        <v>8.0</v>
      </c>
      <c r="H590" s="35">
        <v>123.0</v>
      </c>
      <c r="I590" s="37">
        <v>0.7729166666666667</v>
      </c>
      <c r="J590" s="37">
        <v>0.7854166666666667</v>
      </c>
      <c r="K590" s="38">
        <f t="shared" si="13"/>
        <v>0.0125</v>
      </c>
      <c r="L590" s="39" t="str">
        <f t="shared" si="2"/>
        <v>Evening</v>
      </c>
      <c r="M590" s="39" t="str">
        <f t="array" ref="M590">XLOOKUP(D590,'Category dict'!$B$1:$B$4,'Category dict'!$A$1:$A$4,0,0,1)</f>
        <v>Business</v>
      </c>
      <c r="N590" s="39" t="str">
        <f>VLOOKUP(H590,'Purpose dict'!$A$1:$B$12,2,0)</f>
        <v>NOT DEFINED</v>
      </c>
    </row>
    <row r="591" hidden="1">
      <c r="A591" s="3" t="s">
        <v>797</v>
      </c>
      <c r="B591" s="34">
        <v>42574.60208333333</v>
      </c>
      <c r="C591" s="34">
        <v>42574.61388888889</v>
      </c>
      <c r="D591" s="35">
        <v>423.0</v>
      </c>
      <c r="E591" s="3" t="s">
        <v>60</v>
      </c>
      <c r="F591" s="3" t="s">
        <v>62</v>
      </c>
      <c r="G591" s="36">
        <v>4.0</v>
      </c>
      <c r="H591" s="35">
        <v>123.0</v>
      </c>
      <c r="I591" s="37">
        <v>0.6020833333333333</v>
      </c>
      <c r="J591" s="37">
        <v>0.6138888888888889</v>
      </c>
      <c r="K591" s="38">
        <f t="shared" si="13"/>
        <v>0.01180555556</v>
      </c>
      <c r="L591" s="39" t="str">
        <f t="shared" si="2"/>
        <v>Day</v>
      </c>
      <c r="M591" s="39" t="str">
        <f t="array" ref="M591">XLOOKUP(D591,'Category dict'!$B$1:$B$4,'Category dict'!$A$1:$A$4,0,0,1)</f>
        <v>Business</v>
      </c>
      <c r="N591" s="39" t="str">
        <f>VLOOKUP(H591,'Purpose dict'!$A$1:$B$12,2,0)</f>
        <v>NOT DEFINED</v>
      </c>
    </row>
    <row r="592" hidden="1">
      <c r="A592" s="3" t="s">
        <v>798</v>
      </c>
      <c r="B592" s="34">
        <v>42574.61666666667</v>
      </c>
      <c r="C592" s="34">
        <v>42574.63333333333</v>
      </c>
      <c r="D592" s="35">
        <v>423.0</v>
      </c>
      <c r="E592" s="3" t="s">
        <v>62</v>
      </c>
      <c r="F592" s="3" t="s">
        <v>60</v>
      </c>
      <c r="G592" s="36">
        <v>9.5</v>
      </c>
      <c r="H592" s="35">
        <v>123.0</v>
      </c>
      <c r="I592" s="37">
        <v>0.6166666666666667</v>
      </c>
      <c r="J592" s="37">
        <v>0.6333333333333333</v>
      </c>
      <c r="K592" s="38">
        <f t="shared" si="13"/>
        <v>0.01666666667</v>
      </c>
      <c r="L592" s="39" t="str">
        <f t="shared" si="2"/>
        <v>Day</v>
      </c>
      <c r="M592" s="39" t="str">
        <f t="array" ref="M592">XLOOKUP(D592,'Category dict'!$B$1:$B$4,'Category dict'!$A$1:$A$4,0,0,1)</f>
        <v>Business</v>
      </c>
      <c r="N592" s="39" t="str">
        <f>VLOOKUP(H592,'Purpose dict'!$A$1:$B$12,2,0)</f>
        <v>NOT DEFINED</v>
      </c>
    </row>
    <row r="593" hidden="1">
      <c r="A593" s="3" t="s">
        <v>799</v>
      </c>
      <c r="B593" s="34">
        <v>42574.635416666664</v>
      </c>
      <c r="C593" s="34">
        <v>42574.64375</v>
      </c>
      <c r="D593" s="35">
        <v>423.0</v>
      </c>
      <c r="E593" s="3" t="s">
        <v>60</v>
      </c>
      <c r="F593" s="3" t="s">
        <v>62</v>
      </c>
      <c r="G593" s="36">
        <v>3.0</v>
      </c>
      <c r="H593" s="35">
        <v>123.0</v>
      </c>
      <c r="I593" s="37">
        <v>0.6354166666666666</v>
      </c>
      <c r="J593" s="37">
        <v>0.64375</v>
      </c>
      <c r="K593" s="38">
        <f t="shared" si="13"/>
        <v>0.008333333333</v>
      </c>
      <c r="L593" s="39" t="str">
        <f t="shared" si="2"/>
        <v>Day</v>
      </c>
      <c r="M593" s="39" t="str">
        <f t="array" ref="M593">XLOOKUP(D593,'Category dict'!$B$1:$B$4,'Category dict'!$A$1:$A$4,0,0,1)</f>
        <v>Business</v>
      </c>
      <c r="N593" s="39" t="str">
        <f>VLOOKUP(H593,'Purpose dict'!$A$1:$B$12,2,0)</f>
        <v>NOT DEFINED</v>
      </c>
    </row>
    <row r="594" hidden="1">
      <c r="A594" s="3" t="s">
        <v>800</v>
      </c>
      <c r="B594" s="34">
        <v>42574.65972222222</v>
      </c>
      <c r="C594" s="34">
        <v>42574.67361111111</v>
      </c>
      <c r="D594" s="35">
        <v>423.0</v>
      </c>
      <c r="E594" s="3" t="s">
        <v>62</v>
      </c>
      <c r="F594" s="3" t="s">
        <v>60</v>
      </c>
      <c r="G594" s="36">
        <v>6.3</v>
      </c>
      <c r="H594" s="35">
        <v>123.0</v>
      </c>
      <c r="I594" s="37">
        <v>0.6597222222222222</v>
      </c>
      <c r="J594" s="37">
        <v>0.6736111111111112</v>
      </c>
      <c r="K594" s="38">
        <f t="shared" si="13"/>
        <v>0.01388888889</v>
      </c>
      <c r="L594" s="39" t="str">
        <f t="shared" si="2"/>
        <v>Day</v>
      </c>
      <c r="M594" s="39" t="str">
        <f t="array" ref="M594">XLOOKUP(D594,'Category dict'!$B$1:$B$4,'Category dict'!$A$1:$A$4,0,0,1)</f>
        <v>Business</v>
      </c>
      <c r="N594" s="39" t="str">
        <f>VLOOKUP(H594,'Purpose dict'!$A$1:$B$12,2,0)</f>
        <v>NOT DEFINED</v>
      </c>
    </row>
    <row r="595" hidden="1">
      <c r="A595" s="3" t="s">
        <v>801</v>
      </c>
      <c r="B595" s="34">
        <v>42574.845138888886</v>
      </c>
      <c r="C595" s="34">
        <v>42574.85625</v>
      </c>
      <c r="D595" s="35">
        <v>423.0</v>
      </c>
      <c r="E595" s="3" t="s">
        <v>60</v>
      </c>
      <c r="F595" s="3" t="s">
        <v>101</v>
      </c>
      <c r="G595" s="36">
        <v>10.4</v>
      </c>
      <c r="H595" s="35">
        <v>3.0</v>
      </c>
      <c r="I595" s="37">
        <v>0.8451388888888889</v>
      </c>
      <c r="J595" s="37">
        <v>0.85625</v>
      </c>
      <c r="K595" s="38">
        <f t="shared" si="13"/>
        <v>0.01111111111</v>
      </c>
      <c r="L595" s="39" t="str">
        <f t="shared" si="2"/>
        <v>Evening</v>
      </c>
      <c r="M595" s="39" t="str">
        <f t="array" ref="M595">XLOOKUP(D595,'Category dict'!$B$1:$B$4,'Category dict'!$A$1:$A$4,0,0,1)</f>
        <v>Business</v>
      </c>
      <c r="N595" s="39" t="str">
        <f>VLOOKUP(H595,'Purpose dict'!$A$1:$B$12,2,0)</f>
        <v>Meeting</v>
      </c>
    </row>
    <row r="596" hidden="1">
      <c r="A596" s="3" t="s">
        <v>802</v>
      </c>
      <c r="B596" s="34">
        <v>42574.97083333333</v>
      </c>
      <c r="C596" s="34">
        <v>42574.98819444444</v>
      </c>
      <c r="D596" s="35">
        <v>423.0</v>
      </c>
      <c r="E596" s="3" t="s">
        <v>101</v>
      </c>
      <c r="F596" s="3" t="s">
        <v>60</v>
      </c>
      <c r="G596" s="36">
        <v>9.9</v>
      </c>
      <c r="H596" s="35">
        <v>3.0</v>
      </c>
      <c r="I596" s="37">
        <v>0.9708333333333333</v>
      </c>
      <c r="J596" s="37">
        <v>0.9881944444444445</v>
      </c>
      <c r="K596" s="38">
        <f t="shared" si="13"/>
        <v>0.01736111111</v>
      </c>
      <c r="L596" s="39" t="str">
        <f t="shared" si="2"/>
        <v>Evening</v>
      </c>
      <c r="M596" s="39" t="str">
        <f t="array" ref="M596">XLOOKUP(D596,'Category dict'!$B$1:$B$4,'Category dict'!$A$1:$A$4,0,0,1)</f>
        <v>Business</v>
      </c>
      <c r="N596" s="39" t="str">
        <f>VLOOKUP(H596,'Purpose dict'!$A$1:$B$12,2,0)</f>
        <v>Meeting</v>
      </c>
    </row>
    <row r="597">
      <c r="A597" s="3" t="s">
        <v>803</v>
      </c>
      <c r="B597" s="34">
        <v>42576.44097222222</v>
      </c>
      <c r="C597" s="34">
        <v>42576.44513888889</v>
      </c>
      <c r="D597" s="35">
        <v>423.0</v>
      </c>
      <c r="E597" s="3" t="s">
        <v>106</v>
      </c>
      <c r="F597" s="3" t="s">
        <v>497</v>
      </c>
      <c r="G597" s="40">
        <v>1.5</v>
      </c>
      <c r="H597" s="35">
        <v>123.0</v>
      </c>
      <c r="I597" s="37">
        <v>0.4409722222222222</v>
      </c>
      <c r="J597" s="37">
        <v>0.44513888888888886</v>
      </c>
      <c r="K597" s="38">
        <f t="shared" si="13"/>
        <v>0.004166666667</v>
      </c>
      <c r="L597" s="39" t="str">
        <f t="shared" si="2"/>
        <v>Morning</v>
      </c>
      <c r="M597" s="39" t="str">
        <f t="array" ref="M597">XLOOKUP(D597,'Category dict'!$B$1:$B$4,'Category dict'!$A$1:$A$4,0,0,1)</f>
        <v>Business</v>
      </c>
      <c r="N597" s="39" t="str">
        <f>VLOOKUP(H597,'Purpose dict'!$A$1:$B$12,2,0)</f>
        <v>NOT DEFINED</v>
      </c>
    </row>
    <row r="598" hidden="1">
      <c r="A598" s="3" t="s">
        <v>804</v>
      </c>
      <c r="B598" s="34">
        <v>42576.44930555556</v>
      </c>
      <c r="C598" s="34">
        <v>42576.45694444444</v>
      </c>
      <c r="D598" s="35">
        <v>423.0</v>
      </c>
      <c r="E598" s="3" t="s">
        <v>60</v>
      </c>
      <c r="F598" s="3" t="s">
        <v>62</v>
      </c>
      <c r="G598" s="36">
        <v>4.9</v>
      </c>
      <c r="H598" s="35">
        <v>123.0</v>
      </c>
      <c r="I598" s="37">
        <v>0.44930555555555557</v>
      </c>
      <c r="J598" s="37">
        <v>0.45694444444444443</v>
      </c>
      <c r="K598" s="38">
        <f t="shared" si="13"/>
        <v>0.007638888889</v>
      </c>
      <c r="L598" s="39" t="str">
        <f t="shared" si="2"/>
        <v>Morning</v>
      </c>
      <c r="M598" s="39" t="str">
        <f t="array" ref="M598">XLOOKUP(D598,'Category dict'!$B$1:$B$4,'Category dict'!$A$1:$A$4,0,0,1)</f>
        <v>Business</v>
      </c>
      <c r="N598" s="39" t="str">
        <f>VLOOKUP(H598,'Purpose dict'!$A$1:$B$12,2,0)</f>
        <v>NOT DEFINED</v>
      </c>
    </row>
    <row r="599" hidden="1">
      <c r="A599" s="3" t="s">
        <v>805</v>
      </c>
      <c r="B599" s="34">
        <v>42576.46111111111</v>
      </c>
      <c r="C599" s="34">
        <v>42576.48125</v>
      </c>
      <c r="D599" s="35">
        <v>423.0</v>
      </c>
      <c r="E599" s="3" t="s">
        <v>62</v>
      </c>
      <c r="F599" s="3" t="s">
        <v>60</v>
      </c>
      <c r="G599" s="36">
        <v>7.9</v>
      </c>
      <c r="H599" s="35">
        <v>123.0</v>
      </c>
      <c r="I599" s="37">
        <v>0.46111111111111114</v>
      </c>
      <c r="J599" s="37">
        <v>0.48125</v>
      </c>
      <c r="K599" s="38">
        <f t="shared" si="13"/>
        <v>0.02013888889</v>
      </c>
      <c r="L599" s="39" t="str">
        <f t="shared" si="2"/>
        <v>Morning</v>
      </c>
      <c r="M599" s="39" t="str">
        <f t="array" ref="M599">XLOOKUP(D599,'Category dict'!$B$1:$B$4,'Category dict'!$A$1:$A$4,0,0,1)</f>
        <v>Business</v>
      </c>
      <c r="N599" s="39" t="str">
        <f>VLOOKUP(H599,'Purpose dict'!$A$1:$B$12,2,0)</f>
        <v>NOT DEFINED</v>
      </c>
    </row>
    <row r="600" hidden="1">
      <c r="A600" s="3" t="s">
        <v>806</v>
      </c>
      <c r="B600" s="34">
        <v>42576.48402777778</v>
      </c>
      <c r="C600" s="34">
        <v>42576.48888888889</v>
      </c>
      <c r="D600" s="35">
        <v>423.0</v>
      </c>
      <c r="E600" s="3" t="s">
        <v>497</v>
      </c>
      <c r="F600" s="3" t="s">
        <v>106</v>
      </c>
      <c r="G600" s="36">
        <v>1.7</v>
      </c>
      <c r="H600" s="35">
        <v>123.0</v>
      </c>
      <c r="I600" s="37">
        <v>0.4840277777777778</v>
      </c>
      <c r="J600" s="37">
        <v>0.4888888888888889</v>
      </c>
      <c r="K600" s="38">
        <f t="shared" si="13"/>
        <v>0.004861111111</v>
      </c>
      <c r="L600" s="39" t="str">
        <f t="shared" si="2"/>
        <v>Morning</v>
      </c>
      <c r="M600" s="39" t="str">
        <f t="array" ref="M600">XLOOKUP(D600,'Category dict'!$B$1:$B$4,'Category dict'!$A$1:$A$4,0,0,1)</f>
        <v>Business</v>
      </c>
      <c r="N600" s="39" t="str">
        <f>VLOOKUP(H600,'Purpose dict'!$A$1:$B$12,2,0)</f>
        <v>NOT DEFINED</v>
      </c>
    </row>
    <row r="601" hidden="1">
      <c r="A601" s="3" t="s">
        <v>807</v>
      </c>
      <c r="B601" s="34">
        <v>42577.654861111114</v>
      </c>
      <c r="C601" s="34">
        <v>42577.65902777778</v>
      </c>
      <c r="D601" s="35">
        <v>423.0</v>
      </c>
      <c r="E601" s="3" t="s">
        <v>106</v>
      </c>
      <c r="F601" s="3" t="s">
        <v>123</v>
      </c>
      <c r="G601" s="36">
        <v>2.2</v>
      </c>
      <c r="H601" s="35">
        <v>123.0</v>
      </c>
      <c r="I601" s="37">
        <v>0.6548611111111111</v>
      </c>
      <c r="J601" s="37">
        <v>0.6590277777777778</v>
      </c>
      <c r="K601" s="38">
        <f t="shared" si="13"/>
        <v>0.004166666667</v>
      </c>
      <c r="L601" s="39" t="str">
        <f t="shared" si="2"/>
        <v>Day</v>
      </c>
      <c r="M601" s="39" t="str">
        <f t="array" ref="M601">XLOOKUP(D601,'Category dict'!$B$1:$B$4,'Category dict'!$A$1:$A$4,0,0,1)</f>
        <v>Business</v>
      </c>
      <c r="N601" s="39" t="str">
        <f>VLOOKUP(H601,'Purpose dict'!$A$1:$B$12,2,0)</f>
        <v>NOT DEFINED</v>
      </c>
    </row>
    <row r="602" hidden="1">
      <c r="A602" s="3" t="s">
        <v>808</v>
      </c>
      <c r="B602" s="34">
        <v>42577.71805555555</v>
      </c>
      <c r="C602" s="34">
        <v>42577.725</v>
      </c>
      <c r="D602" s="35">
        <v>423.0</v>
      </c>
      <c r="E602" s="3" t="s">
        <v>123</v>
      </c>
      <c r="F602" s="3" t="s">
        <v>106</v>
      </c>
      <c r="G602" s="36">
        <v>2.1</v>
      </c>
      <c r="H602" s="35">
        <v>123.0</v>
      </c>
      <c r="I602" s="37">
        <v>0.7180555555555556</v>
      </c>
      <c r="J602" s="37">
        <v>0.725</v>
      </c>
      <c r="K602" s="38">
        <f t="shared" si="13"/>
        <v>0.006944444444</v>
      </c>
      <c r="L602" s="39" t="str">
        <f t="shared" si="2"/>
        <v>Day</v>
      </c>
      <c r="M602" s="39" t="str">
        <f t="array" ref="M602">XLOOKUP(D602,'Category dict'!$B$1:$B$4,'Category dict'!$A$1:$A$4,0,0,1)</f>
        <v>Business</v>
      </c>
      <c r="N602" s="39" t="str">
        <f>VLOOKUP(H602,'Purpose dict'!$A$1:$B$12,2,0)</f>
        <v>NOT DEFINED</v>
      </c>
    </row>
    <row r="603" hidden="1">
      <c r="A603" s="3" t="s">
        <v>809</v>
      </c>
      <c r="B603" s="34">
        <v>42577.86944444444</v>
      </c>
      <c r="C603" s="34">
        <v>42577.875</v>
      </c>
      <c r="D603" s="35">
        <v>423.0</v>
      </c>
      <c r="E603" s="3" t="s">
        <v>60</v>
      </c>
      <c r="F603" s="3" t="s">
        <v>62</v>
      </c>
      <c r="G603" s="36">
        <v>2.5</v>
      </c>
      <c r="H603" s="35">
        <v>1.0</v>
      </c>
      <c r="I603" s="37">
        <v>0.8694444444444445</v>
      </c>
      <c r="J603" s="37">
        <v>0.875</v>
      </c>
      <c r="K603" s="38">
        <f t="shared" si="13"/>
        <v>0.005555555556</v>
      </c>
      <c r="L603" s="39" t="str">
        <f t="shared" si="2"/>
        <v>Evening</v>
      </c>
      <c r="M603" s="39" t="str">
        <f t="array" ref="M603">XLOOKUP(D603,'Category dict'!$B$1:$B$4,'Category dict'!$A$1:$A$4,0,0,1)</f>
        <v>Business</v>
      </c>
      <c r="N603" s="39" t="str">
        <f>VLOOKUP(H603,'Purpose dict'!$A$1:$B$12,2,0)</f>
        <v>Meal/Entertain</v>
      </c>
    </row>
    <row r="604" hidden="1">
      <c r="A604" s="3" t="s">
        <v>810</v>
      </c>
      <c r="B604" s="34">
        <v>42577.93819444445</v>
      </c>
      <c r="C604" s="34">
        <v>42577.94375</v>
      </c>
      <c r="D604" s="35">
        <v>423.0</v>
      </c>
      <c r="E604" s="3" t="s">
        <v>62</v>
      </c>
      <c r="F604" s="3" t="s">
        <v>60</v>
      </c>
      <c r="G604" s="36">
        <v>2.5</v>
      </c>
      <c r="H604" s="35">
        <v>1.0</v>
      </c>
      <c r="I604" s="37">
        <v>0.9381944444444444</v>
      </c>
      <c r="J604" s="37">
        <v>0.94375</v>
      </c>
      <c r="K604" s="38">
        <f t="shared" si="13"/>
        <v>0.005555555556</v>
      </c>
      <c r="L604" s="39" t="str">
        <f t="shared" si="2"/>
        <v>Evening</v>
      </c>
      <c r="M604" s="39" t="str">
        <f t="array" ref="M604">XLOOKUP(D604,'Category dict'!$B$1:$B$4,'Category dict'!$A$1:$A$4,0,0,1)</f>
        <v>Business</v>
      </c>
      <c r="N604" s="39" t="str">
        <f>VLOOKUP(H604,'Purpose dict'!$A$1:$B$12,2,0)</f>
        <v>Meal/Entertain</v>
      </c>
    </row>
    <row r="605" hidden="1">
      <c r="A605" s="3" t="s">
        <v>811</v>
      </c>
      <c r="B605" s="34">
        <v>42578.79722222222</v>
      </c>
      <c r="C605" s="34">
        <v>42578.805555555555</v>
      </c>
      <c r="D605" s="35">
        <v>423.0</v>
      </c>
      <c r="E605" s="3" t="s">
        <v>60</v>
      </c>
      <c r="F605" s="3" t="s">
        <v>62</v>
      </c>
      <c r="G605" s="36">
        <v>2.8</v>
      </c>
      <c r="H605" s="35">
        <v>123.0</v>
      </c>
      <c r="I605" s="37">
        <v>0.7972222222222223</v>
      </c>
      <c r="J605" s="37">
        <v>0.8055555555555556</v>
      </c>
      <c r="K605" s="38">
        <f t="shared" si="13"/>
        <v>0.008333333333</v>
      </c>
      <c r="L605" s="39" t="str">
        <f t="shared" si="2"/>
        <v>Evening</v>
      </c>
      <c r="M605" s="39" t="str">
        <f t="array" ref="M605">XLOOKUP(D605,'Category dict'!$B$1:$B$4,'Category dict'!$A$1:$A$4,0,0,1)</f>
        <v>Business</v>
      </c>
      <c r="N605" s="39" t="str">
        <f>VLOOKUP(H605,'Purpose dict'!$A$1:$B$12,2,0)</f>
        <v>NOT DEFINED</v>
      </c>
    </row>
    <row r="606" hidden="1">
      <c r="A606" s="3" t="s">
        <v>812</v>
      </c>
      <c r="B606" s="34">
        <v>42578.89861111111</v>
      </c>
      <c r="C606" s="34">
        <v>42578.91458333333</v>
      </c>
      <c r="D606" s="35">
        <v>423.0</v>
      </c>
      <c r="E606" s="3" t="s">
        <v>62</v>
      </c>
      <c r="F606" s="3" t="s">
        <v>111</v>
      </c>
      <c r="G606" s="36">
        <v>14.7</v>
      </c>
      <c r="H606" s="35">
        <v>123.0</v>
      </c>
      <c r="I606" s="37">
        <v>0.8986111111111111</v>
      </c>
      <c r="J606" s="37">
        <v>0.9145833333333333</v>
      </c>
      <c r="K606" s="38">
        <f t="shared" si="13"/>
        <v>0.01597222222</v>
      </c>
      <c r="L606" s="39" t="str">
        <f t="shared" si="2"/>
        <v>Evening</v>
      </c>
      <c r="M606" s="39" t="str">
        <f t="array" ref="M606">XLOOKUP(D606,'Category dict'!$B$1:$B$4,'Category dict'!$A$1:$A$4,0,0,1)</f>
        <v>Business</v>
      </c>
      <c r="N606" s="39" t="str">
        <f>VLOOKUP(H606,'Purpose dict'!$A$1:$B$12,2,0)</f>
        <v>NOT DEFINED</v>
      </c>
    </row>
    <row r="607" hidden="1">
      <c r="A607" s="3" t="s">
        <v>813</v>
      </c>
      <c r="B607" s="34">
        <v>42578.916666666664</v>
      </c>
      <c r="C607" s="34">
        <v>42578.93472222222</v>
      </c>
      <c r="D607" s="35">
        <v>423.0</v>
      </c>
      <c r="E607" s="3" t="s">
        <v>111</v>
      </c>
      <c r="F607" s="3" t="s">
        <v>62</v>
      </c>
      <c r="G607" s="36">
        <v>14.6</v>
      </c>
      <c r="H607" s="35">
        <v>123.0</v>
      </c>
      <c r="I607" s="37">
        <v>0.9166666666666666</v>
      </c>
      <c r="J607" s="37">
        <v>0.9347222222222222</v>
      </c>
      <c r="K607" s="38">
        <f t="shared" si="13"/>
        <v>0.01805555556</v>
      </c>
      <c r="L607" s="39" t="str">
        <f t="shared" si="2"/>
        <v>Evening</v>
      </c>
      <c r="M607" s="39" t="str">
        <f t="array" ref="M607">XLOOKUP(D607,'Category dict'!$B$1:$B$4,'Category dict'!$A$1:$A$4,0,0,1)</f>
        <v>Business</v>
      </c>
      <c r="N607" s="39" t="str">
        <f>VLOOKUP(H607,'Purpose dict'!$A$1:$B$12,2,0)</f>
        <v>NOT DEFINED</v>
      </c>
    </row>
    <row r="608" hidden="1">
      <c r="A608" s="3" t="s">
        <v>814</v>
      </c>
      <c r="B608" s="34">
        <v>42579.00277777778</v>
      </c>
      <c r="C608" s="34">
        <v>42579.00625</v>
      </c>
      <c r="D608" s="35">
        <v>423.0</v>
      </c>
      <c r="E608" s="3" t="s">
        <v>62</v>
      </c>
      <c r="F608" s="3" t="s">
        <v>60</v>
      </c>
      <c r="G608" s="36">
        <v>2.3</v>
      </c>
      <c r="H608" s="35">
        <v>123.0</v>
      </c>
      <c r="I608" s="37">
        <v>0.002777777777777778</v>
      </c>
      <c r="J608" s="37">
        <v>0.00625</v>
      </c>
      <c r="K608" s="38">
        <f t="shared" si="13"/>
        <v>0.003472222222</v>
      </c>
      <c r="L608" s="39" t="str">
        <f t="shared" si="2"/>
        <v>Night</v>
      </c>
      <c r="M608" s="39" t="str">
        <f t="array" ref="M608">XLOOKUP(D608,'Category dict'!$B$1:$B$4,'Category dict'!$A$1:$A$4,0,0,1)</f>
        <v>Business</v>
      </c>
      <c r="N608" s="39" t="str">
        <f>VLOOKUP(H608,'Purpose dict'!$A$1:$B$12,2,0)</f>
        <v>NOT DEFINED</v>
      </c>
    </row>
    <row r="609" hidden="1">
      <c r="A609" s="3" t="s">
        <v>815</v>
      </c>
      <c r="B609" s="34">
        <v>42580.65625</v>
      </c>
      <c r="C609" s="34">
        <v>42580.657638888886</v>
      </c>
      <c r="D609" s="35">
        <v>423.0</v>
      </c>
      <c r="E609" s="3" t="s">
        <v>106</v>
      </c>
      <c r="F609" s="3" t="s">
        <v>123</v>
      </c>
      <c r="G609" s="36">
        <v>2.2</v>
      </c>
      <c r="H609" s="35">
        <v>123.0</v>
      </c>
      <c r="I609" s="37">
        <v>0.65625</v>
      </c>
      <c r="J609" s="37">
        <v>0.6576388888888889</v>
      </c>
      <c r="K609" s="38">
        <f t="shared" si="13"/>
        <v>0.001388888889</v>
      </c>
      <c r="L609" s="39" t="str">
        <f t="shared" si="2"/>
        <v>Day</v>
      </c>
      <c r="M609" s="39" t="str">
        <f t="array" ref="M609">XLOOKUP(D609,'Category dict'!$B$1:$B$4,'Category dict'!$A$1:$A$4,0,0,1)</f>
        <v>Business</v>
      </c>
      <c r="N609" s="39" t="str">
        <f>VLOOKUP(H609,'Purpose dict'!$A$1:$B$12,2,0)</f>
        <v>NOT DEFINED</v>
      </c>
    </row>
    <row r="610" hidden="1">
      <c r="A610" s="3" t="s">
        <v>816</v>
      </c>
      <c r="B610" s="34">
        <v>42580.72708333333</v>
      </c>
      <c r="C610" s="34">
        <v>42580.739583333336</v>
      </c>
      <c r="D610" s="35">
        <v>423.0</v>
      </c>
      <c r="E610" s="3" t="s">
        <v>123</v>
      </c>
      <c r="F610" s="3" t="s">
        <v>106</v>
      </c>
      <c r="G610" s="36">
        <v>2.2</v>
      </c>
      <c r="H610" s="35">
        <v>1.0</v>
      </c>
      <c r="I610" s="37">
        <v>0.7270833333333333</v>
      </c>
      <c r="J610" s="37">
        <v>0.7395833333333334</v>
      </c>
      <c r="K610" s="38">
        <f t="shared" si="13"/>
        <v>0.0125</v>
      </c>
      <c r="L610" s="39" t="str">
        <f t="shared" si="2"/>
        <v>Day</v>
      </c>
      <c r="M610" s="39" t="str">
        <f t="array" ref="M610">XLOOKUP(D610,'Category dict'!$B$1:$B$4,'Category dict'!$A$1:$A$4,0,0,1)</f>
        <v>Business</v>
      </c>
      <c r="N610" s="39" t="str">
        <f>VLOOKUP(H610,'Purpose dict'!$A$1:$B$12,2,0)</f>
        <v>Meal/Entertain</v>
      </c>
    </row>
    <row r="611" hidden="1">
      <c r="A611" s="3" t="s">
        <v>817</v>
      </c>
      <c r="B611" s="34">
        <v>42581.70972222222</v>
      </c>
      <c r="C611" s="34">
        <v>42581.72708333333</v>
      </c>
      <c r="D611" s="35">
        <v>423.0</v>
      </c>
      <c r="E611" s="3" t="s">
        <v>60</v>
      </c>
      <c r="F611" s="3" t="s">
        <v>101</v>
      </c>
      <c r="G611" s="36">
        <v>14.0</v>
      </c>
      <c r="H611" s="35">
        <v>123.0</v>
      </c>
      <c r="I611" s="37">
        <v>0.7097222222222223</v>
      </c>
      <c r="J611" s="37">
        <v>0.7270833333333333</v>
      </c>
      <c r="K611" s="38">
        <f t="shared" si="13"/>
        <v>0.01736111111</v>
      </c>
      <c r="L611" s="39" t="str">
        <f t="shared" si="2"/>
        <v>Day</v>
      </c>
      <c r="M611" s="39" t="str">
        <f t="array" ref="M611">XLOOKUP(D611,'Category dict'!$B$1:$B$4,'Category dict'!$A$1:$A$4,0,0,1)</f>
        <v>Business</v>
      </c>
      <c r="N611" s="39" t="str">
        <f>VLOOKUP(H611,'Purpose dict'!$A$1:$B$12,2,0)</f>
        <v>NOT DEFINED</v>
      </c>
    </row>
    <row r="612" hidden="1">
      <c r="A612" s="3" t="s">
        <v>818</v>
      </c>
      <c r="B612" s="34">
        <v>42581.88611111111</v>
      </c>
      <c r="C612" s="34">
        <v>42581.90347222222</v>
      </c>
      <c r="D612" s="35">
        <v>423.0</v>
      </c>
      <c r="E612" s="3" t="s">
        <v>101</v>
      </c>
      <c r="F612" s="3" t="s">
        <v>60</v>
      </c>
      <c r="G612" s="36">
        <v>13.3</v>
      </c>
      <c r="H612" s="35">
        <v>123.0</v>
      </c>
      <c r="I612" s="37">
        <v>0.8861111111111111</v>
      </c>
      <c r="J612" s="37">
        <v>0.9034722222222222</v>
      </c>
      <c r="K612" s="38">
        <f t="shared" si="13"/>
        <v>0.01736111111</v>
      </c>
      <c r="L612" s="39" t="str">
        <f t="shared" si="2"/>
        <v>Evening</v>
      </c>
      <c r="M612" s="39" t="str">
        <f t="array" ref="M612">XLOOKUP(D612,'Category dict'!$B$1:$B$4,'Category dict'!$A$1:$A$4,0,0,1)</f>
        <v>Business</v>
      </c>
      <c r="N612" s="39" t="str">
        <f>VLOOKUP(H612,'Purpose dict'!$A$1:$B$12,2,0)</f>
        <v>NOT DEFINED</v>
      </c>
    </row>
    <row r="613" hidden="1">
      <c r="A613" s="3" t="s">
        <v>819</v>
      </c>
      <c r="B613" s="34">
        <v>42582.729166666664</v>
      </c>
      <c r="C613" s="34">
        <v>42582.73402777778</v>
      </c>
      <c r="D613" s="35">
        <v>423.0</v>
      </c>
      <c r="E613" s="3" t="s">
        <v>123</v>
      </c>
      <c r="F613" s="3" t="s">
        <v>106</v>
      </c>
      <c r="G613" s="36">
        <v>1.8</v>
      </c>
      <c r="H613" s="35">
        <v>123.0</v>
      </c>
      <c r="I613" s="37">
        <v>0.7291666666666666</v>
      </c>
      <c r="J613" s="37">
        <v>0.7340277777777777</v>
      </c>
      <c r="K613" s="38">
        <f t="shared" si="13"/>
        <v>0.004861111111</v>
      </c>
      <c r="L613" s="39" t="str">
        <f t="shared" si="2"/>
        <v>Day</v>
      </c>
      <c r="M613" s="39" t="str">
        <f t="array" ref="M613">XLOOKUP(D613,'Category dict'!$B$1:$B$4,'Category dict'!$A$1:$A$4,0,0,1)</f>
        <v>Business</v>
      </c>
      <c r="N613" s="39" t="str">
        <f>VLOOKUP(H613,'Purpose dict'!$A$1:$B$12,2,0)</f>
        <v>NOT DEFINED</v>
      </c>
    </row>
    <row r="614" hidden="1">
      <c r="A614" s="3" t="s">
        <v>820</v>
      </c>
      <c r="B614" s="34">
        <v>42583.532638888886</v>
      </c>
      <c r="C614" s="34">
        <v>42583.544444444444</v>
      </c>
      <c r="D614" s="35">
        <v>423.0</v>
      </c>
      <c r="E614" s="3" t="s">
        <v>106</v>
      </c>
      <c r="F614" s="3" t="s">
        <v>821</v>
      </c>
      <c r="G614" s="36">
        <v>6.2</v>
      </c>
      <c r="H614" s="35">
        <v>123.0</v>
      </c>
      <c r="I614" s="37">
        <v>0.5326388888888889</v>
      </c>
      <c r="J614" s="37">
        <v>0.5444444444444444</v>
      </c>
      <c r="K614" s="38">
        <f t="shared" si="13"/>
        <v>0.01180555556</v>
      </c>
      <c r="L614" s="39" t="str">
        <f t="shared" si="2"/>
        <v>Day</v>
      </c>
      <c r="M614" s="39" t="str">
        <f t="array" ref="M614">XLOOKUP(D614,'Category dict'!$B$1:$B$4,'Category dict'!$A$1:$A$4,0,0,1)</f>
        <v>Business</v>
      </c>
      <c r="N614" s="39" t="str">
        <f>VLOOKUP(H614,'Purpose dict'!$A$1:$B$12,2,0)</f>
        <v>NOT DEFINED</v>
      </c>
    </row>
    <row r="615">
      <c r="A615" s="3" t="s">
        <v>822</v>
      </c>
      <c r="B615" s="34">
        <v>42583.54722222222</v>
      </c>
      <c r="C615" s="34">
        <v>42583.55486111111</v>
      </c>
      <c r="D615" s="35">
        <v>423.0</v>
      </c>
      <c r="E615" s="3" t="s">
        <v>821</v>
      </c>
      <c r="F615" s="3" t="s">
        <v>778</v>
      </c>
      <c r="G615" s="40">
        <v>1.3</v>
      </c>
      <c r="H615" s="35">
        <v>123.0</v>
      </c>
      <c r="I615" s="37">
        <v>0.5472222222222223</v>
      </c>
      <c r="J615" s="37">
        <v>0.5548611111111111</v>
      </c>
      <c r="K615" s="38">
        <f t="shared" si="13"/>
        <v>0.007638888889</v>
      </c>
      <c r="L615" s="39" t="str">
        <f t="shared" si="2"/>
        <v>Day</v>
      </c>
      <c r="M615" s="39" t="str">
        <f t="array" ref="M615">XLOOKUP(D615,'Category dict'!$B$1:$B$4,'Category dict'!$A$1:$A$4,0,0,1)</f>
        <v>Business</v>
      </c>
      <c r="N615" s="39" t="str">
        <f>VLOOKUP(H615,'Purpose dict'!$A$1:$B$12,2,0)</f>
        <v>NOT DEFINED</v>
      </c>
    </row>
    <row r="616" hidden="1">
      <c r="A616" s="3" t="s">
        <v>823</v>
      </c>
      <c r="B616" s="34">
        <v>42583.561111111114</v>
      </c>
      <c r="C616" s="34">
        <v>42583.57361111111</v>
      </c>
      <c r="D616" s="35">
        <v>423.0</v>
      </c>
      <c r="E616" s="3" t="s">
        <v>778</v>
      </c>
      <c r="F616" s="3" t="s">
        <v>123</v>
      </c>
      <c r="G616" s="36">
        <v>1.9</v>
      </c>
      <c r="H616" s="35">
        <v>123.0</v>
      </c>
      <c r="I616" s="37">
        <v>0.5611111111111111</v>
      </c>
      <c r="J616" s="37">
        <v>0.5736111111111111</v>
      </c>
      <c r="K616" s="38">
        <f t="shared" si="13"/>
        <v>0.0125</v>
      </c>
      <c r="L616" s="39" t="str">
        <f t="shared" si="2"/>
        <v>Day</v>
      </c>
      <c r="M616" s="39" t="str">
        <f t="array" ref="M616">XLOOKUP(D616,'Category dict'!$B$1:$B$4,'Category dict'!$A$1:$A$4,0,0,1)</f>
        <v>Business</v>
      </c>
      <c r="N616" s="39" t="str">
        <f>VLOOKUP(H616,'Purpose dict'!$A$1:$B$12,2,0)</f>
        <v>NOT DEFINED</v>
      </c>
    </row>
    <row r="617" hidden="1">
      <c r="A617" s="3" t="s">
        <v>824</v>
      </c>
      <c r="B617" s="34">
        <v>42583.57777777778</v>
      </c>
      <c r="C617" s="34">
        <v>42583.59305555555</v>
      </c>
      <c r="D617" s="35">
        <v>423.0</v>
      </c>
      <c r="E617" s="3" t="s">
        <v>60</v>
      </c>
      <c r="F617" s="3" t="s">
        <v>142</v>
      </c>
      <c r="G617" s="36">
        <v>6.9</v>
      </c>
      <c r="H617" s="35">
        <v>123.0</v>
      </c>
      <c r="I617" s="37">
        <v>0.5777777777777777</v>
      </c>
      <c r="J617" s="37">
        <v>0.5930555555555556</v>
      </c>
      <c r="K617" s="38">
        <f t="shared" si="13"/>
        <v>0.01527777778</v>
      </c>
      <c r="L617" s="39" t="str">
        <f t="shared" si="2"/>
        <v>Day</v>
      </c>
      <c r="M617" s="39" t="str">
        <f t="array" ref="M617">XLOOKUP(D617,'Category dict'!$B$1:$B$4,'Category dict'!$A$1:$A$4,0,0,1)</f>
        <v>Business</v>
      </c>
      <c r="N617" s="39" t="str">
        <f>VLOOKUP(H617,'Purpose dict'!$A$1:$B$12,2,0)</f>
        <v>NOT DEFINED</v>
      </c>
    </row>
    <row r="618" hidden="1">
      <c r="A618" s="3" t="s">
        <v>825</v>
      </c>
      <c r="B618" s="34">
        <v>42583.65277777778</v>
      </c>
      <c r="C618" s="34">
        <v>42583.657638888886</v>
      </c>
      <c r="D618" s="35">
        <v>423.0</v>
      </c>
      <c r="E618" s="3" t="s">
        <v>142</v>
      </c>
      <c r="F618" s="3" t="s">
        <v>60</v>
      </c>
      <c r="G618" s="36">
        <v>4.6</v>
      </c>
      <c r="H618" s="35">
        <v>123.0</v>
      </c>
      <c r="I618" s="37">
        <v>0.6527777777777778</v>
      </c>
      <c r="J618" s="37">
        <v>0.6576388888888889</v>
      </c>
      <c r="K618" s="38">
        <f t="shared" si="13"/>
        <v>0.004861111111</v>
      </c>
      <c r="L618" s="39" t="str">
        <f t="shared" si="2"/>
        <v>Day</v>
      </c>
      <c r="M618" s="39" t="str">
        <f t="array" ref="M618">XLOOKUP(D618,'Category dict'!$B$1:$B$4,'Category dict'!$A$1:$A$4,0,0,1)</f>
        <v>Business</v>
      </c>
      <c r="N618" s="39" t="str">
        <f>VLOOKUP(H618,'Purpose dict'!$A$1:$B$12,2,0)</f>
        <v>NOT DEFINED</v>
      </c>
    </row>
    <row r="619" hidden="1">
      <c r="A619" s="3" t="s">
        <v>826</v>
      </c>
      <c r="B619" s="34">
        <v>42583.67916666667</v>
      </c>
      <c r="C619" s="34">
        <v>42583.68402777778</v>
      </c>
      <c r="D619" s="35">
        <v>423.0</v>
      </c>
      <c r="E619" s="3" t="s">
        <v>106</v>
      </c>
      <c r="F619" s="3" t="s">
        <v>168</v>
      </c>
      <c r="G619" s="36">
        <v>2.8</v>
      </c>
      <c r="H619" s="35">
        <v>123.0</v>
      </c>
      <c r="I619" s="37">
        <v>0.6791666666666667</v>
      </c>
      <c r="J619" s="37">
        <v>0.6840277777777778</v>
      </c>
      <c r="K619" s="38">
        <f t="shared" si="13"/>
        <v>0.004861111111</v>
      </c>
      <c r="L619" s="39" t="str">
        <f t="shared" si="2"/>
        <v>Day</v>
      </c>
      <c r="M619" s="39" t="str">
        <f t="array" ref="M619">XLOOKUP(D619,'Category dict'!$B$1:$B$4,'Category dict'!$A$1:$A$4,0,0,1)</f>
        <v>Business</v>
      </c>
      <c r="N619" s="39" t="str">
        <f>VLOOKUP(H619,'Purpose dict'!$A$1:$B$12,2,0)</f>
        <v>NOT DEFINED</v>
      </c>
    </row>
    <row r="620" hidden="1">
      <c r="A620" s="3" t="s">
        <v>827</v>
      </c>
      <c r="B620" s="34">
        <v>42583.68680555555</v>
      </c>
      <c r="C620" s="34">
        <v>42583.70763888889</v>
      </c>
      <c r="D620" s="35">
        <v>423.0</v>
      </c>
      <c r="E620" s="3" t="s">
        <v>60</v>
      </c>
      <c r="F620" s="3" t="s">
        <v>62</v>
      </c>
      <c r="G620" s="36">
        <v>9.1</v>
      </c>
      <c r="H620" s="35">
        <v>123.0</v>
      </c>
      <c r="I620" s="37">
        <v>0.6868055555555556</v>
      </c>
      <c r="J620" s="37">
        <v>0.7076388888888889</v>
      </c>
      <c r="K620" s="38">
        <f t="shared" si="13"/>
        <v>0.02083333333</v>
      </c>
      <c r="L620" s="39" t="str">
        <f t="shared" si="2"/>
        <v>Day</v>
      </c>
      <c r="M620" s="39" t="str">
        <f t="array" ref="M620">XLOOKUP(D620,'Category dict'!$B$1:$B$4,'Category dict'!$A$1:$A$4,0,0,1)</f>
        <v>Business</v>
      </c>
      <c r="N620" s="39" t="str">
        <f>VLOOKUP(H620,'Purpose dict'!$A$1:$B$12,2,0)</f>
        <v>NOT DEFINED</v>
      </c>
    </row>
    <row r="621" hidden="1">
      <c r="A621" s="3" t="s">
        <v>828</v>
      </c>
      <c r="B621" s="34">
        <v>42583.72430555556</v>
      </c>
      <c r="C621" s="34">
        <v>42583.74652777778</v>
      </c>
      <c r="D621" s="35">
        <v>423.0</v>
      </c>
      <c r="E621" s="3" t="s">
        <v>62</v>
      </c>
      <c r="F621" s="3" t="s">
        <v>60</v>
      </c>
      <c r="G621" s="36">
        <v>8.1</v>
      </c>
      <c r="H621" s="35">
        <v>123.0</v>
      </c>
      <c r="I621" s="37">
        <v>0.7243055555555555</v>
      </c>
      <c r="J621" s="37">
        <v>0.7465277777777778</v>
      </c>
      <c r="K621" s="38">
        <f t="shared" si="13"/>
        <v>0.02222222222</v>
      </c>
      <c r="L621" s="39" t="str">
        <f t="shared" si="2"/>
        <v>Day</v>
      </c>
      <c r="M621" s="39" t="str">
        <f t="array" ref="M621">XLOOKUP(D621,'Category dict'!$B$1:$B$4,'Category dict'!$A$1:$A$4,0,0,1)</f>
        <v>Business</v>
      </c>
      <c r="N621" s="39" t="str">
        <f>VLOOKUP(H621,'Purpose dict'!$A$1:$B$12,2,0)</f>
        <v>NOT DEFINED</v>
      </c>
    </row>
    <row r="622" hidden="1">
      <c r="A622" s="3" t="s">
        <v>829</v>
      </c>
      <c r="B622" s="34">
        <v>42584.34097222222</v>
      </c>
      <c r="C622" s="34">
        <v>42584.35555555556</v>
      </c>
      <c r="D622" s="35">
        <v>423.0</v>
      </c>
      <c r="E622" s="3" t="s">
        <v>60</v>
      </c>
      <c r="F622" s="3" t="s">
        <v>62</v>
      </c>
      <c r="G622" s="36">
        <v>8.4</v>
      </c>
      <c r="H622" s="35">
        <v>3.0</v>
      </c>
      <c r="I622" s="37">
        <v>0.34097222222222223</v>
      </c>
      <c r="J622" s="37">
        <v>0.35555555555555557</v>
      </c>
      <c r="K622" s="38">
        <f t="shared" si="13"/>
        <v>0.01458333333</v>
      </c>
      <c r="L622" s="39" t="str">
        <f t="shared" si="2"/>
        <v>Morning</v>
      </c>
      <c r="M622" s="39" t="str">
        <f t="array" ref="M622">XLOOKUP(D622,'Category dict'!$B$1:$B$4,'Category dict'!$A$1:$A$4,0,0,1)</f>
        <v>Business</v>
      </c>
      <c r="N622" s="39" t="str">
        <f>VLOOKUP(H622,'Purpose dict'!$A$1:$B$12,2,0)</f>
        <v>Meeting</v>
      </c>
    </row>
    <row r="623" hidden="1">
      <c r="A623" s="3" t="s">
        <v>830</v>
      </c>
      <c r="B623" s="34">
        <v>42584.49375</v>
      </c>
      <c r="C623" s="34">
        <v>42584.510416666664</v>
      </c>
      <c r="D623" s="35">
        <v>423.0</v>
      </c>
      <c r="E623" s="3" t="s">
        <v>831</v>
      </c>
      <c r="F623" s="3" t="s">
        <v>832</v>
      </c>
      <c r="G623" s="36">
        <v>4.9</v>
      </c>
      <c r="H623" s="35">
        <v>123.0</v>
      </c>
      <c r="I623" s="37">
        <v>0.49375</v>
      </c>
      <c r="J623" s="37">
        <v>0.5104166666666666</v>
      </c>
      <c r="K623" s="38">
        <f t="shared" si="13"/>
        <v>0.01666666667</v>
      </c>
      <c r="L623" s="39" t="str">
        <f t="shared" si="2"/>
        <v>Morning</v>
      </c>
      <c r="M623" s="39" t="str">
        <f t="array" ref="M623">XLOOKUP(D623,'Category dict'!$B$1:$B$4,'Category dict'!$A$1:$A$4,0,0,1)</f>
        <v>Business</v>
      </c>
      <c r="N623" s="39" t="str">
        <f>VLOOKUP(H623,'Purpose dict'!$A$1:$B$12,2,0)</f>
        <v>NOT DEFINED</v>
      </c>
    </row>
    <row r="624">
      <c r="A624" s="3" t="s">
        <v>833</v>
      </c>
      <c r="B624" s="34">
        <v>42584.802083333336</v>
      </c>
      <c r="C624" s="34">
        <v>42584.80763888889</v>
      </c>
      <c r="D624" s="35">
        <v>423.0</v>
      </c>
      <c r="E624" s="3" t="s">
        <v>834</v>
      </c>
      <c r="F624" s="3" t="s">
        <v>835</v>
      </c>
      <c r="G624" s="40">
        <v>1.0</v>
      </c>
      <c r="H624" s="35">
        <v>123.0</v>
      </c>
      <c r="I624" s="37">
        <v>0.8020833333333334</v>
      </c>
      <c r="J624" s="37">
        <v>0.8076388888888889</v>
      </c>
      <c r="K624" s="38">
        <f t="shared" si="13"/>
        <v>0.005555555556</v>
      </c>
      <c r="L624" s="39" t="str">
        <f t="shared" si="2"/>
        <v>Evening</v>
      </c>
      <c r="M624" s="39" t="str">
        <f t="array" ref="M624">XLOOKUP(D624,'Category dict'!$B$1:$B$4,'Category dict'!$A$1:$A$4,0,0,1)</f>
        <v>Business</v>
      </c>
      <c r="N624" s="39" t="str">
        <f>VLOOKUP(H624,'Purpose dict'!$A$1:$B$12,2,0)</f>
        <v>NOT DEFINED</v>
      </c>
    </row>
    <row r="625">
      <c r="A625" s="3" t="s">
        <v>836</v>
      </c>
      <c r="B625" s="34">
        <v>42584.89097222222</v>
      </c>
      <c r="C625" s="34">
        <v>42584.89513888889</v>
      </c>
      <c r="D625" s="35">
        <v>423.0</v>
      </c>
      <c r="E625" s="3" t="s">
        <v>835</v>
      </c>
      <c r="F625" s="3" t="s">
        <v>834</v>
      </c>
      <c r="G625" s="40">
        <v>1.0</v>
      </c>
      <c r="H625" s="35">
        <v>123.0</v>
      </c>
      <c r="I625" s="37">
        <v>0.8909722222222223</v>
      </c>
      <c r="J625" s="37">
        <v>0.8951388888888889</v>
      </c>
      <c r="K625" s="38">
        <f t="shared" si="13"/>
        <v>0.004166666667</v>
      </c>
      <c r="L625" s="39" t="str">
        <f t="shared" si="2"/>
        <v>Evening</v>
      </c>
      <c r="M625" s="39" t="str">
        <f t="array" ref="M625">XLOOKUP(D625,'Category dict'!$B$1:$B$4,'Category dict'!$A$1:$A$4,0,0,1)</f>
        <v>Business</v>
      </c>
      <c r="N625" s="39" t="str">
        <f>VLOOKUP(H625,'Purpose dict'!$A$1:$B$12,2,0)</f>
        <v>NOT DEFINED</v>
      </c>
    </row>
    <row r="626" hidden="1">
      <c r="A626" s="3" t="s">
        <v>837</v>
      </c>
      <c r="B626" s="34">
        <v>42585.53194444445</v>
      </c>
      <c r="C626" s="34">
        <v>42585.541666666664</v>
      </c>
      <c r="D626" s="35">
        <v>423.0</v>
      </c>
      <c r="E626" s="3" t="s">
        <v>838</v>
      </c>
      <c r="F626" s="3" t="s">
        <v>839</v>
      </c>
      <c r="G626" s="36">
        <v>2.0</v>
      </c>
      <c r="H626" s="35">
        <v>123.0</v>
      </c>
      <c r="I626" s="37">
        <v>0.5319444444444444</v>
      </c>
      <c r="J626" s="37">
        <v>0.5416666666666666</v>
      </c>
      <c r="K626" s="38">
        <f t="shared" si="13"/>
        <v>0.009722222222</v>
      </c>
      <c r="L626" s="39" t="str">
        <f t="shared" si="2"/>
        <v>Day</v>
      </c>
      <c r="M626" s="39" t="str">
        <f t="array" ref="M626">XLOOKUP(D626,'Category dict'!$B$1:$B$4,'Category dict'!$A$1:$A$4,0,0,1)</f>
        <v>Business</v>
      </c>
      <c r="N626" s="39" t="str">
        <f>VLOOKUP(H626,'Purpose dict'!$A$1:$B$12,2,0)</f>
        <v>NOT DEFINED</v>
      </c>
    </row>
    <row r="627">
      <c r="A627" s="3" t="s">
        <v>840</v>
      </c>
      <c r="B627" s="34">
        <v>42585.62430555555</v>
      </c>
      <c r="C627" s="34">
        <v>42585.62708333333</v>
      </c>
      <c r="D627" s="35">
        <v>423.0</v>
      </c>
      <c r="E627" s="3" t="s">
        <v>835</v>
      </c>
      <c r="F627" s="3" t="s">
        <v>834</v>
      </c>
      <c r="G627" s="40">
        <v>1.1</v>
      </c>
      <c r="H627" s="35">
        <v>123.0</v>
      </c>
      <c r="I627" s="37">
        <v>0.6243055555555556</v>
      </c>
      <c r="J627" s="37">
        <v>0.6270833333333333</v>
      </c>
      <c r="K627" s="38">
        <f t="shared" si="13"/>
        <v>0.002777777778</v>
      </c>
      <c r="L627" s="39" t="str">
        <f t="shared" si="2"/>
        <v>Day</v>
      </c>
      <c r="M627" s="39" t="str">
        <f t="array" ref="M627">XLOOKUP(D627,'Category dict'!$B$1:$B$4,'Category dict'!$A$1:$A$4,0,0,1)</f>
        <v>Business</v>
      </c>
      <c r="N627" s="39" t="str">
        <f>VLOOKUP(H627,'Purpose dict'!$A$1:$B$12,2,0)</f>
        <v>NOT DEFINED</v>
      </c>
    </row>
    <row r="628">
      <c r="A628" s="3" t="s">
        <v>841</v>
      </c>
      <c r="B628" s="34">
        <v>42585.666666666664</v>
      </c>
      <c r="C628" s="34">
        <v>42585.669444444444</v>
      </c>
      <c r="D628" s="35">
        <v>423.0</v>
      </c>
      <c r="E628" s="3" t="s">
        <v>834</v>
      </c>
      <c r="F628" s="3" t="s">
        <v>91</v>
      </c>
      <c r="G628" s="40">
        <v>1.5</v>
      </c>
      <c r="H628" s="35">
        <v>123.0</v>
      </c>
      <c r="I628" s="37">
        <v>0.6666666666666666</v>
      </c>
      <c r="J628" s="37">
        <v>0.6694444444444444</v>
      </c>
      <c r="K628" s="38">
        <f t="shared" si="13"/>
        <v>0.002777777778</v>
      </c>
      <c r="L628" s="39" t="str">
        <f t="shared" si="2"/>
        <v>Day</v>
      </c>
      <c r="M628" s="39" t="str">
        <f t="array" ref="M628">XLOOKUP(D628,'Category dict'!$B$1:$B$4,'Category dict'!$A$1:$A$4,0,0,1)</f>
        <v>Business</v>
      </c>
      <c r="N628" s="39" t="str">
        <f>VLOOKUP(H628,'Purpose dict'!$A$1:$B$12,2,0)</f>
        <v>NOT DEFINED</v>
      </c>
    </row>
    <row r="629">
      <c r="A629" s="3" t="s">
        <v>842</v>
      </c>
      <c r="B629" s="34">
        <v>42587.72430555556</v>
      </c>
      <c r="C629" s="34">
        <v>42587.729166666664</v>
      </c>
      <c r="D629" s="35">
        <v>423.0</v>
      </c>
      <c r="E629" s="3" t="s">
        <v>843</v>
      </c>
      <c r="F629" s="3" t="s">
        <v>834</v>
      </c>
      <c r="G629" s="40">
        <v>1.3</v>
      </c>
      <c r="H629" s="35">
        <v>123.0</v>
      </c>
      <c r="I629" s="37">
        <v>0.7243055555555555</v>
      </c>
      <c r="J629" s="37">
        <v>0.7291666666666666</v>
      </c>
      <c r="K629" s="38">
        <f t="shared" si="13"/>
        <v>0.004861111111</v>
      </c>
      <c r="L629" s="39" t="str">
        <f t="shared" si="2"/>
        <v>Day</v>
      </c>
      <c r="M629" s="39" t="str">
        <f t="array" ref="M629">XLOOKUP(D629,'Category dict'!$B$1:$B$4,'Category dict'!$A$1:$A$4,0,0,1)</f>
        <v>Business</v>
      </c>
      <c r="N629" s="39" t="str">
        <f>VLOOKUP(H629,'Purpose dict'!$A$1:$B$12,2,0)</f>
        <v>NOT DEFINED</v>
      </c>
    </row>
    <row r="630" hidden="1">
      <c r="A630" s="3" t="s">
        <v>844</v>
      </c>
      <c r="B630" s="34">
        <v>42587.76180555556</v>
      </c>
      <c r="C630" s="34">
        <v>42587.76458333333</v>
      </c>
      <c r="D630" s="35">
        <v>423.0</v>
      </c>
      <c r="E630" s="3" t="s">
        <v>834</v>
      </c>
      <c r="F630" s="3" t="s">
        <v>845</v>
      </c>
      <c r="G630" s="36">
        <v>1.8</v>
      </c>
      <c r="H630" s="35">
        <v>123.0</v>
      </c>
      <c r="I630" s="37">
        <v>0.7618055555555555</v>
      </c>
      <c r="J630" s="37">
        <v>0.7645833333333333</v>
      </c>
      <c r="K630" s="38">
        <f t="shared" si="13"/>
        <v>0.002777777778</v>
      </c>
      <c r="L630" s="39" t="str">
        <f t="shared" si="2"/>
        <v>Evening</v>
      </c>
      <c r="M630" s="39" t="str">
        <f t="array" ref="M630">XLOOKUP(D630,'Category dict'!$B$1:$B$4,'Category dict'!$A$1:$A$4,0,0,1)</f>
        <v>Business</v>
      </c>
      <c r="N630" s="39" t="str">
        <f>VLOOKUP(H630,'Purpose dict'!$A$1:$B$12,2,0)</f>
        <v>NOT DEFINED</v>
      </c>
    </row>
    <row r="631">
      <c r="A631" s="3" t="s">
        <v>846</v>
      </c>
      <c r="B631" s="34">
        <v>42587.80347222222</v>
      </c>
      <c r="C631" s="34">
        <v>42587.81041666667</v>
      </c>
      <c r="D631" s="35">
        <v>423.0</v>
      </c>
      <c r="E631" s="3" t="s">
        <v>845</v>
      </c>
      <c r="F631" s="3" t="s">
        <v>834</v>
      </c>
      <c r="G631" s="40">
        <v>1.5</v>
      </c>
      <c r="H631" s="35">
        <v>123.0</v>
      </c>
      <c r="I631" s="37">
        <v>0.8034722222222223</v>
      </c>
      <c r="J631" s="37">
        <v>0.8104166666666667</v>
      </c>
      <c r="K631" s="38">
        <f t="shared" si="13"/>
        <v>0.006944444444</v>
      </c>
      <c r="L631" s="39" t="str">
        <f t="shared" si="2"/>
        <v>Evening</v>
      </c>
      <c r="M631" s="39" t="str">
        <f t="array" ref="M631">XLOOKUP(D631,'Category dict'!$B$1:$B$4,'Category dict'!$A$1:$A$4,0,0,1)</f>
        <v>Business</v>
      </c>
      <c r="N631" s="39" t="str">
        <f>VLOOKUP(H631,'Purpose dict'!$A$1:$B$12,2,0)</f>
        <v>NOT DEFINED</v>
      </c>
    </row>
    <row r="632" hidden="1">
      <c r="A632" s="3" t="s">
        <v>847</v>
      </c>
      <c r="B632" s="34">
        <v>42588.27777777778</v>
      </c>
      <c r="C632" s="34">
        <v>42588.29027777778</v>
      </c>
      <c r="D632" s="35">
        <v>423.0</v>
      </c>
      <c r="E632" s="3" t="s">
        <v>832</v>
      </c>
      <c r="F632" s="3" t="s">
        <v>831</v>
      </c>
      <c r="G632" s="36">
        <v>6.6</v>
      </c>
      <c r="H632" s="35">
        <v>123.0</v>
      </c>
      <c r="I632" s="37">
        <v>0.2777777777777778</v>
      </c>
      <c r="J632" s="37">
        <v>0.2902777777777778</v>
      </c>
      <c r="K632" s="38">
        <f t="shared" si="13"/>
        <v>0.0125</v>
      </c>
      <c r="L632" s="39" t="str">
        <f t="shared" si="2"/>
        <v>Morning</v>
      </c>
      <c r="M632" s="39" t="str">
        <f t="array" ref="M632">XLOOKUP(D632,'Category dict'!$B$1:$B$4,'Category dict'!$A$1:$A$4,0,0,1)</f>
        <v>Business</v>
      </c>
      <c r="N632" s="39" t="str">
        <f>VLOOKUP(H632,'Purpose dict'!$A$1:$B$12,2,0)</f>
        <v>NOT DEFINED</v>
      </c>
    </row>
    <row r="633" hidden="1">
      <c r="A633" s="3" t="s">
        <v>848</v>
      </c>
      <c r="B633" s="34">
        <v>42588.396527777775</v>
      </c>
      <c r="C633" s="34">
        <v>42588.41180555556</v>
      </c>
      <c r="D633" s="35">
        <v>423.0</v>
      </c>
      <c r="E633" s="3" t="s">
        <v>62</v>
      </c>
      <c r="F633" s="3" t="s">
        <v>60</v>
      </c>
      <c r="G633" s="36">
        <v>8.0</v>
      </c>
      <c r="H633" s="35">
        <v>123.0</v>
      </c>
      <c r="I633" s="37">
        <v>0.39652777777777776</v>
      </c>
      <c r="J633" s="37">
        <v>0.41180555555555554</v>
      </c>
      <c r="K633" s="38">
        <f t="shared" si="13"/>
        <v>0.01527777778</v>
      </c>
      <c r="L633" s="39" t="str">
        <f t="shared" si="2"/>
        <v>Morning</v>
      </c>
      <c r="M633" s="39" t="str">
        <f t="array" ref="M633">XLOOKUP(D633,'Category dict'!$B$1:$B$4,'Category dict'!$A$1:$A$4,0,0,1)</f>
        <v>Business</v>
      </c>
      <c r="N633" s="39" t="str">
        <f>VLOOKUP(H633,'Purpose dict'!$A$1:$B$12,2,0)</f>
        <v>NOT DEFINED</v>
      </c>
    </row>
    <row r="634" hidden="1">
      <c r="A634" s="3" t="s">
        <v>849</v>
      </c>
      <c r="B634" s="34">
        <v>42589.71805555555</v>
      </c>
      <c r="C634" s="34">
        <v>42589.72430555556</v>
      </c>
      <c r="D634" s="35">
        <v>423.0</v>
      </c>
      <c r="E634" s="3" t="s">
        <v>106</v>
      </c>
      <c r="F634" s="3" t="s">
        <v>168</v>
      </c>
      <c r="G634" s="36">
        <v>2.7</v>
      </c>
      <c r="H634" s="35">
        <v>123.0</v>
      </c>
      <c r="I634" s="37">
        <v>0.7180555555555556</v>
      </c>
      <c r="J634" s="37">
        <v>0.7243055555555555</v>
      </c>
      <c r="K634" s="38">
        <f t="shared" si="13"/>
        <v>0.00625</v>
      </c>
      <c r="L634" s="39" t="str">
        <f t="shared" si="2"/>
        <v>Day</v>
      </c>
      <c r="M634" s="39" t="str">
        <f t="array" ref="M634">XLOOKUP(D634,'Category dict'!$B$1:$B$4,'Category dict'!$A$1:$A$4,0,0,1)</f>
        <v>Business</v>
      </c>
      <c r="N634" s="39" t="str">
        <f>VLOOKUP(H634,'Purpose dict'!$A$1:$B$12,2,0)</f>
        <v>NOT DEFINED</v>
      </c>
    </row>
    <row r="635" hidden="1">
      <c r="A635" s="3" t="s">
        <v>850</v>
      </c>
      <c r="B635" s="34">
        <v>42589.72777777778</v>
      </c>
      <c r="C635" s="34">
        <v>42589.73819444444</v>
      </c>
      <c r="D635" s="35">
        <v>423.0</v>
      </c>
      <c r="E635" s="3" t="s">
        <v>168</v>
      </c>
      <c r="F635" s="3" t="s">
        <v>106</v>
      </c>
      <c r="G635" s="36">
        <v>2.7</v>
      </c>
      <c r="H635" s="35">
        <v>4.0</v>
      </c>
      <c r="I635" s="37">
        <v>0.7277777777777777</v>
      </c>
      <c r="J635" s="37">
        <v>0.7381944444444445</v>
      </c>
      <c r="K635" s="38">
        <f t="shared" si="13"/>
        <v>0.01041666667</v>
      </c>
      <c r="L635" s="39" t="str">
        <f t="shared" si="2"/>
        <v>Day</v>
      </c>
      <c r="M635" s="39" t="str">
        <f t="array" ref="M635">XLOOKUP(D635,'Category dict'!$B$1:$B$4,'Category dict'!$A$1:$A$4,0,0,1)</f>
        <v>Business</v>
      </c>
      <c r="N635" s="39" t="str">
        <f>VLOOKUP(H635,'Purpose dict'!$A$1:$B$12,2,0)</f>
        <v>Customer Visit</v>
      </c>
    </row>
    <row r="636" hidden="1">
      <c r="A636" s="3" t="s">
        <v>851</v>
      </c>
      <c r="B636" s="34">
        <v>42589.76180555556</v>
      </c>
      <c r="C636" s="34">
        <v>42589.76597222222</v>
      </c>
      <c r="D636" s="35">
        <v>423.0</v>
      </c>
      <c r="E636" s="3" t="s">
        <v>60</v>
      </c>
      <c r="F636" s="3" t="s">
        <v>62</v>
      </c>
      <c r="G636" s="36">
        <v>2.5</v>
      </c>
      <c r="H636" s="35">
        <v>123.0</v>
      </c>
      <c r="I636" s="37">
        <v>0.7618055555555555</v>
      </c>
      <c r="J636" s="37">
        <v>0.7659722222222223</v>
      </c>
      <c r="K636" s="38">
        <f t="shared" si="13"/>
        <v>0.004166666667</v>
      </c>
      <c r="L636" s="39" t="str">
        <f t="shared" si="2"/>
        <v>Evening</v>
      </c>
      <c r="M636" s="39" t="str">
        <f t="array" ref="M636">XLOOKUP(D636,'Category dict'!$B$1:$B$4,'Category dict'!$A$1:$A$4,0,0,1)</f>
        <v>Business</v>
      </c>
      <c r="N636" s="39" t="str">
        <f>VLOOKUP(H636,'Purpose dict'!$A$1:$B$12,2,0)</f>
        <v>NOT DEFINED</v>
      </c>
    </row>
    <row r="637" hidden="1">
      <c r="A637" s="3" t="s">
        <v>852</v>
      </c>
      <c r="B637" s="34">
        <v>42589.84375</v>
      </c>
      <c r="C637" s="34">
        <v>42589.84930555556</v>
      </c>
      <c r="D637" s="35">
        <v>423.0</v>
      </c>
      <c r="E637" s="3" t="s">
        <v>62</v>
      </c>
      <c r="F637" s="3" t="s">
        <v>60</v>
      </c>
      <c r="G637" s="36">
        <v>2.5</v>
      </c>
      <c r="H637" s="35">
        <v>1.0</v>
      </c>
      <c r="I637" s="37">
        <v>0.84375</v>
      </c>
      <c r="J637" s="37">
        <v>0.8493055555555555</v>
      </c>
      <c r="K637" s="38">
        <f t="shared" si="13"/>
        <v>0.005555555556</v>
      </c>
      <c r="L637" s="39" t="str">
        <f t="shared" si="2"/>
        <v>Evening</v>
      </c>
      <c r="M637" s="39" t="str">
        <f t="array" ref="M637">XLOOKUP(D637,'Category dict'!$B$1:$B$4,'Category dict'!$A$1:$A$4,0,0,1)</f>
        <v>Business</v>
      </c>
      <c r="N637" s="39" t="str">
        <f>VLOOKUP(H637,'Purpose dict'!$A$1:$B$12,2,0)</f>
        <v>Meal/Entertain</v>
      </c>
    </row>
    <row r="638" hidden="1">
      <c r="A638" s="3" t="s">
        <v>853</v>
      </c>
      <c r="B638" s="34">
        <v>42590.67847222222</v>
      </c>
      <c r="C638" s="34">
        <v>42590.68819444445</v>
      </c>
      <c r="D638" s="35">
        <v>423.0</v>
      </c>
      <c r="E638" s="3" t="s">
        <v>106</v>
      </c>
      <c r="F638" s="3" t="s">
        <v>105</v>
      </c>
      <c r="G638" s="36">
        <v>5.2</v>
      </c>
      <c r="H638" s="35">
        <v>123.0</v>
      </c>
      <c r="I638" s="37">
        <v>0.6784722222222223</v>
      </c>
      <c r="J638" s="37">
        <v>0.6881944444444444</v>
      </c>
      <c r="K638" s="38">
        <f t="shared" si="13"/>
        <v>0.009722222222</v>
      </c>
      <c r="L638" s="39" t="str">
        <f t="shared" si="2"/>
        <v>Day</v>
      </c>
      <c r="M638" s="39" t="str">
        <f t="array" ref="M638">XLOOKUP(D638,'Category dict'!$B$1:$B$4,'Category dict'!$A$1:$A$4,0,0,1)</f>
        <v>Business</v>
      </c>
      <c r="N638" s="39" t="str">
        <f>VLOOKUP(H638,'Purpose dict'!$A$1:$B$12,2,0)</f>
        <v>NOT DEFINED</v>
      </c>
    </row>
    <row r="639" hidden="1">
      <c r="A639" s="3" t="s">
        <v>854</v>
      </c>
      <c r="B639" s="34">
        <v>42590.69236111111</v>
      </c>
      <c r="C639" s="34">
        <v>42590.70138888889</v>
      </c>
      <c r="D639" s="35">
        <v>423.0</v>
      </c>
      <c r="E639" s="3" t="s">
        <v>105</v>
      </c>
      <c r="F639" s="3" t="s">
        <v>168</v>
      </c>
      <c r="G639" s="36">
        <v>4.0</v>
      </c>
      <c r="H639" s="35">
        <v>123.0</v>
      </c>
      <c r="I639" s="37">
        <v>0.6923611111111111</v>
      </c>
      <c r="J639" s="37">
        <v>0.7013888888888888</v>
      </c>
      <c r="K639" s="38">
        <f t="shared" si="13"/>
        <v>0.009027777778</v>
      </c>
      <c r="L639" s="39" t="str">
        <f t="shared" si="2"/>
        <v>Day</v>
      </c>
      <c r="M639" s="39" t="str">
        <f t="array" ref="M639">XLOOKUP(D639,'Category dict'!$B$1:$B$4,'Category dict'!$A$1:$A$4,0,0,1)</f>
        <v>Business</v>
      </c>
      <c r="N639" s="39" t="str">
        <f>VLOOKUP(H639,'Purpose dict'!$A$1:$B$12,2,0)</f>
        <v>NOT DEFINED</v>
      </c>
    </row>
    <row r="640" hidden="1">
      <c r="A640" s="3" t="s">
        <v>855</v>
      </c>
      <c r="B640" s="34">
        <v>42590.70972222222</v>
      </c>
      <c r="C640" s="34">
        <v>42590.717361111114</v>
      </c>
      <c r="D640" s="35">
        <v>423.0</v>
      </c>
      <c r="E640" s="3" t="s">
        <v>168</v>
      </c>
      <c r="F640" s="3" t="s">
        <v>106</v>
      </c>
      <c r="G640" s="36">
        <v>2.7</v>
      </c>
      <c r="H640" s="35">
        <v>4.0</v>
      </c>
      <c r="I640" s="37">
        <v>0.7097222222222223</v>
      </c>
      <c r="J640" s="37">
        <v>0.7173611111111111</v>
      </c>
      <c r="K640" s="38">
        <f t="shared" si="13"/>
        <v>0.007638888889</v>
      </c>
      <c r="L640" s="39" t="str">
        <f t="shared" si="2"/>
        <v>Day</v>
      </c>
      <c r="M640" s="39" t="str">
        <f t="array" ref="M640">XLOOKUP(D640,'Category dict'!$B$1:$B$4,'Category dict'!$A$1:$A$4,0,0,1)</f>
        <v>Business</v>
      </c>
      <c r="N640" s="39" t="str">
        <f>VLOOKUP(H640,'Purpose dict'!$A$1:$B$12,2,0)</f>
        <v>Customer Visit</v>
      </c>
    </row>
    <row r="641" hidden="1">
      <c r="A641" s="3" t="s">
        <v>856</v>
      </c>
      <c r="B641" s="34">
        <v>42590.90972222222</v>
      </c>
      <c r="C641" s="34">
        <v>42590.927083333336</v>
      </c>
      <c r="D641" s="35">
        <v>423.0</v>
      </c>
      <c r="E641" s="3" t="s">
        <v>60</v>
      </c>
      <c r="F641" s="3" t="s">
        <v>62</v>
      </c>
      <c r="G641" s="36">
        <v>4.8</v>
      </c>
      <c r="H641" s="35">
        <v>123.0</v>
      </c>
      <c r="I641" s="37">
        <v>0.9097222222222222</v>
      </c>
      <c r="J641" s="37">
        <v>0.9270833333333334</v>
      </c>
      <c r="K641" s="38">
        <f t="shared" si="13"/>
        <v>0.01736111111</v>
      </c>
      <c r="L641" s="39" t="str">
        <f t="shared" si="2"/>
        <v>Evening</v>
      </c>
      <c r="M641" s="39" t="str">
        <f t="array" ref="M641">XLOOKUP(D641,'Category dict'!$B$1:$B$4,'Category dict'!$A$1:$A$4,0,0,1)</f>
        <v>Business</v>
      </c>
      <c r="N641" s="39" t="str">
        <f>VLOOKUP(H641,'Purpose dict'!$A$1:$B$12,2,0)</f>
        <v>NOT DEFINED</v>
      </c>
    </row>
    <row r="642" hidden="1">
      <c r="A642" s="3" t="s">
        <v>857</v>
      </c>
      <c r="B642" s="34">
        <v>42590.97777777778</v>
      </c>
      <c r="C642" s="34">
        <v>42590.98402777778</v>
      </c>
      <c r="D642" s="35">
        <v>423.0</v>
      </c>
      <c r="E642" s="3" t="s">
        <v>62</v>
      </c>
      <c r="F642" s="3" t="s">
        <v>60</v>
      </c>
      <c r="G642" s="36">
        <v>3.2</v>
      </c>
      <c r="H642" s="35">
        <v>4.0</v>
      </c>
      <c r="I642" s="37">
        <v>0.9777777777777777</v>
      </c>
      <c r="J642" s="37">
        <v>0.9840277777777777</v>
      </c>
      <c r="K642" s="38">
        <f t="shared" si="13"/>
        <v>0.00625</v>
      </c>
      <c r="L642" s="39" t="str">
        <f t="shared" si="2"/>
        <v>Evening</v>
      </c>
      <c r="M642" s="39" t="str">
        <f t="array" ref="M642">XLOOKUP(D642,'Category dict'!$B$1:$B$4,'Category dict'!$A$1:$A$4,0,0,1)</f>
        <v>Business</v>
      </c>
      <c r="N642" s="39" t="str">
        <f>VLOOKUP(H642,'Purpose dict'!$A$1:$B$12,2,0)</f>
        <v>Customer Visit</v>
      </c>
    </row>
    <row r="643" hidden="1">
      <c r="A643" s="3" t="s">
        <v>858</v>
      </c>
      <c r="B643" s="34">
        <v>42591.59722222222</v>
      </c>
      <c r="C643" s="34">
        <v>42591.60972222222</v>
      </c>
      <c r="D643" s="35">
        <v>423.0</v>
      </c>
      <c r="E643" s="3" t="s">
        <v>106</v>
      </c>
      <c r="F643" s="3" t="s">
        <v>276</v>
      </c>
      <c r="G643" s="36">
        <v>6.9</v>
      </c>
      <c r="H643" s="35">
        <v>123.0</v>
      </c>
      <c r="I643" s="37">
        <v>0.5972222222222222</v>
      </c>
      <c r="J643" s="37">
        <v>0.6097222222222223</v>
      </c>
      <c r="K643" s="38">
        <f t="shared" si="13"/>
        <v>0.0125</v>
      </c>
      <c r="L643" s="39" t="str">
        <f t="shared" si="2"/>
        <v>Day</v>
      </c>
      <c r="M643" s="39" t="str">
        <f t="array" ref="M643">XLOOKUP(D643,'Category dict'!$B$1:$B$4,'Category dict'!$A$1:$A$4,0,0,1)</f>
        <v>Business</v>
      </c>
      <c r="N643" s="39" t="str">
        <f>VLOOKUP(H643,'Purpose dict'!$A$1:$B$12,2,0)</f>
        <v>NOT DEFINED</v>
      </c>
    </row>
    <row r="644" hidden="1">
      <c r="A644" s="3" t="s">
        <v>859</v>
      </c>
      <c r="B644" s="34">
        <v>42591.635416666664</v>
      </c>
      <c r="C644" s="34">
        <v>42591.65</v>
      </c>
      <c r="D644" s="35">
        <v>423.0</v>
      </c>
      <c r="E644" s="3" t="s">
        <v>60</v>
      </c>
      <c r="F644" s="3" t="s">
        <v>111</v>
      </c>
      <c r="G644" s="36">
        <v>14.9</v>
      </c>
      <c r="H644" s="35">
        <v>123.0</v>
      </c>
      <c r="I644" s="37">
        <v>0.6354166666666666</v>
      </c>
      <c r="J644" s="37">
        <v>0.65</v>
      </c>
      <c r="K644" s="38">
        <f t="shared" si="13"/>
        <v>0.01458333333</v>
      </c>
      <c r="L644" s="39" t="str">
        <f t="shared" si="2"/>
        <v>Day</v>
      </c>
      <c r="M644" s="39" t="str">
        <f t="array" ref="M644">XLOOKUP(D644,'Category dict'!$B$1:$B$4,'Category dict'!$A$1:$A$4,0,0,1)</f>
        <v>Business</v>
      </c>
      <c r="N644" s="39" t="str">
        <f>VLOOKUP(H644,'Purpose dict'!$A$1:$B$12,2,0)</f>
        <v>NOT DEFINED</v>
      </c>
    </row>
    <row r="645" hidden="1">
      <c r="A645" s="3" t="s">
        <v>860</v>
      </c>
      <c r="B645" s="34">
        <v>42591.669444444444</v>
      </c>
      <c r="C645" s="34">
        <v>42591.69236111111</v>
      </c>
      <c r="D645" s="35">
        <v>423.0</v>
      </c>
      <c r="E645" s="3" t="s">
        <v>111</v>
      </c>
      <c r="F645" s="3" t="s">
        <v>60</v>
      </c>
      <c r="G645" s="36">
        <v>17.4</v>
      </c>
      <c r="H645" s="35">
        <v>123.0</v>
      </c>
      <c r="I645" s="37">
        <v>0.6694444444444444</v>
      </c>
      <c r="J645" s="37">
        <v>0.6923611111111111</v>
      </c>
      <c r="K645" s="38">
        <f t="shared" si="13"/>
        <v>0.02291666667</v>
      </c>
      <c r="L645" s="39" t="str">
        <f t="shared" si="2"/>
        <v>Day</v>
      </c>
      <c r="M645" s="39" t="str">
        <f t="array" ref="M645">XLOOKUP(D645,'Category dict'!$B$1:$B$4,'Category dict'!$A$1:$A$4,0,0,1)</f>
        <v>Business</v>
      </c>
      <c r="N645" s="39" t="str">
        <f>VLOOKUP(H645,'Purpose dict'!$A$1:$B$12,2,0)</f>
        <v>NOT DEFINED</v>
      </c>
    </row>
    <row r="646" hidden="1">
      <c r="A646" s="3" t="s">
        <v>861</v>
      </c>
      <c r="B646" s="34">
        <v>42592.705555555556</v>
      </c>
      <c r="C646" s="34">
        <v>42592.725</v>
      </c>
      <c r="D646" s="35">
        <v>423.0</v>
      </c>
      <c r="E646" s="3" t="s">
        <v>60</v>
      </c>
      <c r="F646" s="3" t="s">
        <v>101</v>
      </c>
      <c r="G646" s="36">
        <v>12.9</v>
      </c>
      <c r="H646" s="35">
        <v>123.0</v>
      </c>
      <c r="I646" s="37">
        <v>0.7055555555555556</v>
      </c>
      <c r="J646" s="37">
        <v>0.725</v>
      </c>
      <c r="K646" s="38">
        <f t="shared" si="13"/>
        <v>0.01944444444</v>
      </c>
      <c r="L646" s="39" t="str">
        <f t="shared" si="2"/>
        <v>Day</v>
      </c>
      <c r="M646" s="39" t="str">
        <f t="array" ref="M646">XLOOKUP(D646,'Category dict'!$B$1:$B$4,'Category dict'!$A$1:$A$4,0,0,1)</f>
        <v>Business</v>
      </c>
      <c r="N646" s="39" t="str">
        <f>VLOOKUP(H646,'Purpose dict'!$A$1:$B$12,2,0)</f>
        <v>NOT DEFINED</v>
      </c>
    </row>
    <row r="647" hidden="1">
      <c r="A647" s="3" t="s">
        <v>862</v>
      </c>
      <c r="B647" s="34">
        <v>42592.74513888889</v>
      </c>
      <c r="C647" s="34">
        <v>42592.76944444444</v>
      </c>
      <c r="D647" s="35">
        <v>423.0</v>
      </c>
      <c r="E647" s="3" t="s">
        <v>101</v>
      </c>
      <c r="F647" s="3" t="s">
        <v>142</v>
      </c>
      <c r="G647" s="36">
        <v>15.3</v>
      </c>
      <c r="H647" s="35">
        <v>123.0</v>
      </c>
      <c r="I647" s="37">
        <v>0.7451388888888889</v>
      </c>
      <c r="J647" s="37">
        <v>0.7694444444444445</v>
      </c>
      <c r="K647" s="38">
        <f t="shared" si="13"/>
        <v>0.02430555556</v>
      </c>
      <c r="L647" s="39" t="str">
        <f t="shared" si="2"/>
        <v>Day</v>
      </c>
      <c r="M647" s="39" t="str">
        <f t="array" ref="M647">XLOOKUP(D647,'Category dict'!$B$1:$B$4,'Category dict'!$A$1:$A$4,0,0,1)</f>
        <v>Business</v>
      </c>
      <c r="N647" s="39" t="str">
        <f>VLOOKUP(H647,'Purpose dict'!$A$1:$B$12,2,0)</f>
        <v>NOT DEFINED</v>
      </c>
    </row>
    <row r="648">
      <c r="A648" s="3" t="s">
        <v>863</v>
      </c>
      <c r="B648" s="34">
        <v>42592.78402777778</v>
      </c>
      <c r="C648" s="34">
        <v>42592.78472222222</v>
      </c>
      <c r="D648" s="35">
        <v>423.0</v>
      </c>
      <c r="E648" s="3" t="s">
        <v>142</v>
      </c>
      <c r="F648" s="3" t="s">
        <v>142</v>
      </c>
      <c r="G648" s="40">
        <v>1.0</v>
      </c>
      <c r="H648" s="35">
        <v>123.0</v>
      </c>
      <c r="I648" s="37">
        <v>0.7840277777777778</v>
      </c>
      <c r="J648" s="37">
        <v>0.7847222222222222</v>
      </c>
      <c r="K648" s="38">
        <f t="shared" si="13"/>
        <v>0.0006944444444</v>
      </c>
      <c r="L648" s="39" t="str">
        <f t="shared" si="2"/>
        <v>Evening</v>
      </c>
      <c r="M648" s="39" t="str">
        <f t="array" ref="M648">XLOOKUP(D648,'Category dict'!$B$1:$B$4,'Category dict'!$A$1:$A$4,0,0,1)</f>
        <v>Business</v>
      </c>
      <c r="N648" s="39" t="str">
        <f>VLOOKUP(H648,'Purpose dict'!$A$1:$B$12,2,0)</f>
        <v>NOT DEFINED</v>
      </c>
    </row>
    <row r="649" hidden="1">
      <c r="A649" s="3" t="s">
        <v>864</v>
      </c>
      <c r="B649" s="34">
        <v>42592.82430555556</v>
      </c>
      <c r="C649" s="34">
        <v>42592.83472222222</v>
      </c>
      <c r="D649" s="35">
        <v>423.0</v>
      </c>
      <c r="E649" s="3" t="s">
        <v>142</v>
      </c>
      <c r="F649" s="3" t="s">
        <v>60</v>
      </c>
      <c r="G649" s="36">
        <v>6.0</v>
      </c>
      <c r="H649" s="35">
        <v>123.0</v>
      </c>
      <c r="I649" s="37">
        <v>0.8243055555555555</v>
      </c>
      <c r="J649" s="37">
        <v>0.8347222222222223</v>
      </c>
      <c r="K649" s="38">
        <f t="shared" si="13"/>
        <v>0.01041666667</v>
      </c>
      <c r="L649" s="39" t="str">
        <f t="shared" si="2"/>
        <v>Evening</v>
      </c>
      <c r="M649" s="39" t="str">
        <f t="array" ref="M649">XLOOKUP(D649,'Category dict'!$B$1:$B$4,'Category dict'!$A$1:$A$4,0,0,1)</f>
        <v>Business</v>
      </c>
      <c r="N649" s="39" t="str">
        <f>VLOOKUP(H649,'Purpose dict'!$A$1:$B$12,2,0)</f>
        <v>NOT DEFINED</v>
      </c>
    </row>
    <row r="650" hidden="1">
      <c r="A650" s="3" t="s">
        <v>865</v>
      </c>
      <c r="B650" s="34">
        <v>42593.53680555556</v>
      </c>
      <c r="C650" s="34">
        <v>42593.541666666664</v>
      </c>
      <c r="D650" s="35">
        <v>423.0</v>
      </c>
      <c r="E650" s="3" t="s">
        <v>106</v>
      </c>
      <c r="F650" s="3" t="s">
        <v>264</v>
      </c>
      <c r="G650" s="36">
        <v>2.2</v>
      </c>
      <c r="H650" s="35">
        <v>123.0</v>
      </c>
      <c r="I650" s="37">
        <v>0.5368055555555555</v>
      </c>
      <c r="J650" s="37">
        <v>0.5416666666666666</v>
      </c>
      <c r="K650" s="38">
        <f t="shared" si="13"/>
        <v>0.004861111111</v>
      </c>
      <c r="L650" s="39" t="str">
        <f t="shared" si="2"/>
        <v>Day</v>
      </c>
      <c r="M650" s="39" t="str">
        <f t="array" ref="M650">XLOOKUP(D650,'Category dict'!$B$1:$B$4,'Category dict'!$A$1:$A$4,0,0,1)</f>
        <v>Business</v>
      </c>
      <c r="N650" s="39" t="str">
        <f>VLOOKUP(H650,'Purpose dict'!$A$1:$B$12,2,0)</f>
        <v>NOT DEFINED</v>
      </c>
    </row>
    <row r="651" hidden="1">
      <c r="A651" s="3" t="s">
        <v>866</v>
      </c>
      <c r="B651" s="34">
        <v>42593.55138888889</v>
      </c>
      <c r="C651" s="34">
        <v>42593.561111111114</v>
      </c>
      <c r="D651" s="35">
        <v>423.0</v>
      </c>
      <c r="E651" s="3" t="s">
        <v>264</v>
      </c>
      <c r="F651" s="3" t="s">
        <v>168</v>
      </c>
      <c r="G651" s="36">
        <v>4.4</v>
      </c>
      <c r="H651" s="35">
        <v>123.0</v>
      </c>
      <c r="I651" s="37">
        <v>0.5513888888888889</v>
      </c>
      <c r="J651" s="37">
        <v>0.5611111111111111</v>
      </c>
      <c r="K651" s="38">
        <f t="shared" si="13"/>
        <v>0.009722222222</v>
      </c>
      <c r="L651" s="39" t="str">
        <f t="shared" si="2"/>
        <v>Day</v>
      </c>
      <c r="M651" s="39" t="str">
        <f t="array" ref="M651">XLOOKUP(D651,'Category dict'!$B$1:$B$4,'Category dict'!$A$1:$A$4,0,0,1)</f>
        <v>Business</v>
      </c>
      <c r="N651" s="39" t="str">
        <f>VLOOKUP(H651,'Purpose dict'!$A$1:$B$12,2,0)</f>
        <v>NOT DEFINED</v>
      </c>
    </row>
    <row r="652" hidden="1">
      <c r="A652" s="3" t="s">
        <v>867</v>
      </c>
      <c r="B652" s="34">
        <v>42593.563888888886</v>
      </c>
      <c r="C652" s="34">
        <v>42593.57083333333</v>
      </c>
      <c r="D652" s="35">
        <v>423.0</v>
      </c>
      <c r="E652" s="3" t="s">
        <v>168</v>
      </c>
      <c r="F652" s="3" t="s">
        <v>106</v>
      </c>
      <c r="G652" s="36">
        <v>2.8</v>
      </c>
      <c r="H652" s="35">
        <v>123.0</v>
      </c>
      <c r="I652" s="37">
        <v>0.5638888888888889</v>
      </c>
      <c r="J652" s="37">
        <v>0.5708333333333333</v>
      </c>
      <c r="K652" s="38">
        <f t="shared" si="13"/>
        <v>0.006944444444</v>
      </c>
      <c r="L652" s="39" t="str">
        <f t="shared" si="2"/>
        <v>Day</v>
      </c>
      <c r="M652" s="39" t="str">
        <f t="array" ref="M652">XLOOKUP(D652,'Category dict'!$B$1:$B$4,'Category dict'!$A$1:$A$4,0,0,1)</f>
        <v>Business</v>
      </c>
      <c r="N652" s="39" t="str">
        <f>VLOOKUP(H652,'Purpose dict'!$A$1:$B$12,2,0)</f>
        <v>NOT DEFINED</v>
      </c>
    </row>
    <row r="653" hidden="1">
      <c r="A653" s="3" t="s">
        <v>868</v>
      </c>
      <c r="B653" s="34">
        <v>42593.77569444444</v>
      </c>
      <c r="C653" s="34">
        <v>42593.81180555555</v>
      </c>
      <c r="D653" s="35">
        <v>423.0</v>
      </c>
      <c r="E653" s="3" t="s">
        <v>60</v>
      </c>
      <c r="F653" s="3" t="s">
        <v>869</v>
      </c>
      <c r="G653" s="36">
        <v>31.7</v>
      </c>
      <c r="H653" s="35">
        <v>123.0</v>
      </c>
      <c r="I653" s="37">
        <v>0.7756944444444445</v>
      </c>
      <c r="J653" s="37">
        <v>0.8118055555555556</v>
      </c>
      <c r="K653" s="38">
        <f t="shared" si="13"/>
        <v>0.03611111111</v>
      </c>
      <c r="L653" s="39" t="str">
        <f t="shared" si="2"/>
        <v>Evening</v>
      </c>
      <c r="M653" s="39" t="str">
        <f t="array" ref="M653">XLOOKUP(D653,'Category dict'!$B$1:$B$4,'Category dict'!$A$1:$A$4,0,0,1)</f>
        <v>Business</v>
      </c>
      <c r="N653" s="39" t="str">
        <f>VLOOKUP(H653,'Purpose dict'!$A$1:$B$12,2,0)</f>
        <v>NOT DEFINED</v>
      </c>
    </row>
    <row r="654" hidden="1">
      <c r="A654" s="3" t="s">
        <v>870</v>
      </c>
      <c r="B654" s="34">
        <v>42593.87430555555</v>
      </c>
      <c r="C654" s="34">
        <v>42593.90555555555</v>
      </c>
      <c r="D654" s="35">
        <v>423.0</v>
      </c>
      <c r="E654" s="3" t="s">
        <v>869</v>
      </c>
      <c r="F654" s="3" t="s">
        <v>60</v>
      </c>
      <c r="G654" s="36">
        <v>31.9</v>
      </c>
      <c r="H654" s="35">
        <v>123.0</v>
      </c>
      <c r="I654" s="37">
        <v>0.8743055555555556</v>
      </c>
      <c r="J654" s="37">
        <v>0.9055555555555556</v>
      </c>
      <c r="K654" s="38">
        <f t="shared" si="13"/>
        <v>0.03125</v>
      </c>
      <c r="L654" s="39" t="str">
        <f t="shared" si="2"/>
        <v>Evening</v>
      </c>
      <c r="M654" s="39" t="str">
        <f t="array" ref="M654">XLOOKUP(D654,'Category dict'!$B$1:$B$4,'Category dict'!$A$1:$A$4,0,0,1)</f>
        <v>Business</v>
      </c>
      <c r="N654" s="39" t="str">
        <f>VLOOKUP(H654,'Purpose dict'!$A$1:$B$12,2,0)</f>
        <v>NOT DEFINED</v>
      </c>
    </row>
    <row r="655" hidden="1">
      <c r="A655" s="3" t="s">
        <v>871</v>
      </c>
      <c r="B655" s="34">
        <v>42594.78402777778</v>
      </c>
      <c r="C655" s="34">
        <v>42594.78611111111</v>
      </c>
      <c r="D655" s="35">
        <v>423.0</v>
      </c>
      <c r="E655" s="3" t="s">
        <v>106</v>
      </c>
      <c r="F655" s="3" t="s">
        <v>123</v>
      </c>
      <c r="G655" s="36">
        <v>1.9</v>
      </c>
      <c r="H655" s="35">
        <v>123.0</v>
      </c>
      <c r="I655" s="37">
        <v>0.7840277777777778</v>
      </c>
      <c r="J655" s="37">
        <v>0.7861111111111111</v>
      </c>
      <c r="K655" s="38">
        <f t="shared" si="13"/>
        <v>0.002083333333</v>
      </c>
      <c r="L655" s="39" t="str">
        <f t="shared" si="2"/>
        <v>Evening</v>
      </c>
      <c r="M655" s="39" t="str">
        <f t="array" ref="M655">XLOOKUP(D655,'Category dict'!$B$1:$B$4,'Category dict'!$A$1:$A$4,0,0,1)</f>
        <v>Business</v>
      </c>
      <c r="N655" s="39" t="str">
        <f>VLOOKUP(H655,'Purpose dict'!$A$1:$B$12,2,0)</f>
        <v>NOT DEFINED</v>
      </c>
    </row>
    <row r="656" hidden="1">
      <c r="A656" s="3" t="s">
        <v>872</v>
      </c>
      <c r="B656" s="34">
        <v>42594.78888888889</v>
      </c>
      <c r="C656" s="34">
        <v>42594.79513888889</v>
      </c>
      <c r="D656" s="35">
        <v>423.0</v>
      </c>
      <c r="E656" s="3" t="s">
        <v>123</v>
      </c>
      <c r="F656" s="3" t="s">
        <v>106</v>
      </c>
      <c r="G656" s="36">
        <v>1.8</v>
      </c>
      <c r="H656" s="35">
        <v>123.0</v>
      </c>
      <c r="I656" s="37">
        <v>0.7888888888888889</v>
      </c>
      <c r="J656" s="37">
        <v>0.7951388888888888</v>
      </c>
      <c r="K656" s="38">
        <f t="shared" si="13"/>
        <v>0.00625</v>
      </c>
      <c r="L656" s="39" t="str">
        <f t="shared" si="2"/>
        <v>Evening</v>
      </c>
      <c r="M656" s="39" t="str">
        <f t="array" ref="M656">XLOOKUP(D656,'Category dict'!$B$1:$B$4,'Category dict'!$A$1:$A$4,0,0,1)</f>
        <v>Business</v>
      </c>
      <c r="N656" s="39" t="str">
        <f>VLOOKUP(H656,'Purpose dict'!$A$1:$B$12,2,0)</f>
        <v>NOT DEFINED</v>
      </c>
    </row>
    <row r="657" hidden="1">
      <c r="A657" s="3" t="s">
        <v>873</v>
      </c>
      <c r="B657" s="34">
        <v>42595.649305555555</v>
      </c>
      <c r="C657" s="34">
        <v>42595.66527777778</v>
      </c>
      <c r="D657" s="35">
        <v>423.0</v>
      </c>
      <c r="E657" s="3" t="s">
        <v>60</v>
      </c>
      <c r="F657" s="3" t="s">
        <v>62</v>
      </c>
      <c r="G657" s="36">
        <v>8.4</v>
      </c>
      <c r="H657" s="35">
        <v>3.0</v>
      </c>
      <c r="I657" s="37">
        <v>0.6493055555555556</v>
      </c>
      <c r="J657" s="37">
        <v>0.6652777777777777</v>
      </c>
      <c r="K657" s="38">
        <f t="shared" si="13"/>
        <v>0.01597222222</v>
      </c>
      <c r="L657" s="39" t="str">
        <f t="shared" si="2"/>
        <v>Day</v>
      </c>
      <c r="M657" s="39" t="str">
        <f t="array" ref="M657">XLOOKUP(D657,'Category dict'!$B$1:$B$4,'Category dict'!$A$1:$A$4,0,0,1)</f>
        <v>Business</v>
      </c>
      <c r="N657" s="39" t="str">
        <f>VLOOKUP(H657,'Purpose dict'!$A$1:$B$12,2,0)</f>
        <v>Meeting</v>
      </c>
    </row>
    <row r="658" hidden="1">
      <c r="A658" s="3" t="s">
        <v>874</v>
      </c>
      <c r="B658" s="34">
        <v>42597.37847222222</v>
      </c>
      <c r="C658" s="34">
        <v>42597.41111111111</v>
      </c>
      <c r="D658" s="35">
        <v>423.0</v>
      </c>
      <c r="E658" s="3" t="s">
        <v>243</v>
      </c>
      <c r="F658" s="3" t="s">
        <v>208</v>
      </c>
      <c r="G658" s="36">
        <v>15.6</v>
      </c>
      <c r="H658" s="35">
        <v>123.0</v>
      </c>
      <c r="I658" s="37">
        <v>0.3784722222222222</v>
      </c>
      <c r="J658" s="37">
        <v>0.4111111111111111</v>
      </c>
      <c r="K658" s="38">
        <f t="shared" si="13"/>
        <v>0.03263888889</v>
      </c>
      <c r="L658" s="39" t="str">
        <f t="shared" si="2"/>
        <v>Morning</v>
      </c>
      <c r="M658" s="39" t="str">
        <f t="array" ref="M658">XLOOKUP(D658,'Category dict'!$B$1:$B$4,'Category dict'!$A$1:$A$4,0,0,1)</f>
        <v>Business</v>
      </c>
      <c r="N658" s="39" t="str">
        <f>VLOOKUP(H658,'Purpose dict'!$A$1:$B$12,2,0)</f>
        <v>NOT DEFINED</v>
      </c>
    </row>
    <row r="659" hidden="1">
      <c r="A659" s="3" t="s">
        <v>875</v>
      </c>
      <c r="B659" s="34">
        <v>42597.63888888889</v>
      </c>
      <c r="C659" s="34">
        <v>42597.657638888886</v>
      </c>
      <c r="D659" s="35">
        <v>423.0</v>
      </c>
      <c r="E659" s="3" t="s">
        <v>208</v>
      </c>
      <c r="F659" s="3" t="s">
        <v>208</v>
      </c>
      <c r="G659" s="36">
        <v>14.1</v>
      </c>
      <c r="H659" s="35">
        <v>123.0</v>
      </c>
      <c r="I659" s="37">
        <v>0.6388888888888888</v>
      </c>
      <c r="J659" s="37">
        <v>0.6576388888888889</v>
      </c>
      <c r="K659" s="38">
        <f t="shared" si="13"/>
        <v>0.01875</v>
      </c>
      <c r="L659" s="39" t="str">
        <f t="shared" si="2"/>
        <v>Day</v>
      </c>
      <c r="M659" s="39" t="str">
        <f t="array" ref="M659">XLOOKUP(D659,'Category dict'!$B$1:$B$4,'Category dict'!$A$1:$A$4,0,0,1)</f>
        <v>Business</v>
      </c>
      <c r="N659" s="39" t="str">
        <f>VLOOKUP(H659,'Purpose dict'!$A$1:$B$12,2,0)</f>
        <v>NOT DEFINED</v>
      </c>
    </row>
    <row r="660" hidden="1">
      <c r="A660" s="3" t="s">
        <v>876</v>
      </c>
      <c r="B660" s="34">
        <v>42597.70277777778</v>
      </c>
      <c r="C660" s="34">
        <v>42597.729166666664</v>
      </c>
      <c r="D660" s="35">
        <v>423.0</v>
      </c>
      <c r="E660" s="3" t="s">
        <v>208</v>
      </c>
      <c r="F660" s="3" t="s">
        <v>208</v>
      </c>
      <c r="G660" s="36">
        <v>15.7</v>
      </c>
      <c r="H660" s="35">
        <v>123.0</v>
      </c>
      <c r="I660" s="37">
        <v>0.7027777777777777</v>
      </c>
      <c r="J660" s="37">
        <v>0.7291666666666666</v>
      </c>
      <c r="K660" s="38">
        <f t="shared" si="13"/>
        <v>0.02638888889</v>
      </c>
      <c r="L660" s="39" t="str">
        <f t="shared" si="2"/>
        <v>Day</v>
      </c>
      <c r="M660" s="39" t="str">
        <f t="array" ref="M660">XLOOKUP(D660,'Category dict'!$B$1:$B$4,'Category dict'!$A$1:$A$4,0,0,1)</f>
        <v>Business</v>
      </c>
      <c r="N660" s="39" t="str">
        <f>VLOOKUP(H660,'Purpose dict'!$A$1:$B$12,2,0)</f>
        <v>NOT DEFINED</v>
      </c>
    </row>
    <row r="661" hidden="1">
      <c r="A661" s="3" t="s">
        <v>877</v>
      </c>
      <c r="B661" s="34">
        <v>42597.79722222222</v>
      </c>
      <c r="C661" s="34">
        <v>42597.854166666664</v>
      </c>
      <c r="D661" s="35">
        <v>423.0</v>
      </c>
      <c r="E661" s="3" t="s">
        <v>208</v>
      </c>
      <c r="F661" s="3" t="s">
        <v>208</v>
      </c>
      <c r="G661" s="36">
        <v>25.9</v>
      </c>
      <c r="H661" s="35">
        <v>5.0</v>
      </c>
      <c r="I661" s="37">
        <v>0.7972222222222223</v>
      </c>
      <c r="J661" s="37">
        <v>0.8541666666666666</v>
      </c>
      <c r="K661" s="38">
        <f t="shared" si="13"/>
        <v>0.05694444444</v>
      </c>
      <c r="L661" s="39" t="str">
        <f t="shared" si="2"/>
        <v>Evening</v>
      </c>
      <c r="M661" s="39" t="str">
        <f t="array" ref="M661">XLOOKUP(D661,'Category dict'!$B$1:$B$4,'Category dict'!$A$1:$A$4,0,0,1)</f>
        <v>Business</v>
      </c>
      <c r="N661" s="39" t="str">
        <f>VLOOKUP(H661,'Purpose dict'!$A$1:$B$12,2,0)</f>
        <v>Temporary Site</v>
      </c>
    </row>
    <row r="662" hidden="1">
      <c r="A662" s="3" t="s">
        <v>878</v>
      </c>
      <c r="B662" s="34">
        <v>42598.33194444444</v>
      </c>
      <c r="C662" s="34">
        <v>42598.34097222222</v>
      </c>
      <c r="D662" s="35">
        <v>423.0</v>
      </c>
      <c r="E662" s="3" t="s">
        <v>208</v>
      </c>
      <c r="F662" s="3" t="s">
        <v>208</v>
      </c>
      <c r="G662" s="36">
        <v>7.9</v>
      </c>
      <c r="H662" s="35">
        <v>123.0</v>
      </c>
      <c r="I662" s="37">
        <v>0.33194444444444443</v>
      </c>
      <c r="J662" s="37">
        <v>0.34097222222222223</v>
      </c>
      <c r="K662" s="38">
        <f t="shared" si="13"/>
        <v>0.009027777778</v>
      </c>
      <c r="L662" s="39" t="str">
        <f t="shared" si="2"/>
        <v>Morning</v>
      </c>
      <c r="M662" s="39" t="str">
        <f t="array" ref="M662">XLOOKUP(D662,'Category dict'!$B$1:$B$4,'Category dict'!$A$1:$A$4,0,0,1)</f>
        <v>Business</v>
      </c>
      <c r="N662" s="39" t="str">
        <f>VLOOKUP(H662,'Purpose dict'!$A$1:$B$12,2,0)</f>
        <v>NOT DEFINED</v>
      </c>
    </row>
    <row r="663" hidden="1">
      <c r="A663" s="3" t="s">
        <v>879</v>
      </c>
      <c r="B663" s="34">
        <v>42598.34444444445</v>
      </c>
      <c r="C663" s="34">
        <v>42598.34930555556</v>
      </c>
      <c r="D663" s="35">
        <v>423.0</v>
      </c>
      <c r="E663" s="3" t="s">
        <v>208</v>
      </c>
      <c r="F663" s="3" t="s">
        <v>208</v>
      </c>
      <c r="G663" s="36">
        <v>2.7</v>
      </c>
      <c r="H663" s="35">
        <v>123.0</v>
      </c>
      <c r="I663" s="37">
        <v>0.34444444444444444</v>
      </c>
      <c r="J663" s="37">
        <v>0.34930555555555554</v>
      </c>
      <c r="K663" s="38">
        <f t="shared" si="13"/>
        <v>0.004861111111</v>
      </c>
      <c r="L663" s="39" t="str">
        <f t="shared" si="2"/>
        <v>Morning</v>
      </c>
      <c r="M663" s="39" t="str">
        <f t="array" ref="M663">XLOOKUP(D663,'Category dict'!$B$1:$B$4,'Category dict'!$A$1:$A$4,0,0,1)</f>
        <v>Business</v>
      </c>
      <c r="N663" s="39" t="str">
        <f>VLOOKUP(H663,'Purpose dict'!$A$1:$B$12,2,0)</f>
        <v>NOT DEFINED</v>
      </c>
    </row>
    <row r="664" hidden="1">
      <c r="A664" s="3" t="s">
        <v>880</v>
      </c>
      <c r="B664" s="34">
        <v>42598.365277777775</v>
      </c>
      <c r="C664" s="34">
        <v>42598.37013888889</v>
      </c>
      <c r="D664" s="35">
        <v>423.0</v>
      </c>
      <c r="E664" s="3" t="s">
        <v>208</v>
      </c>
      <c r="F664" s="3" t="s">
        <v>208</v>
      </c>
      <c r="G664" s="36">
        <v>5.5</v>
      </c>
      <c r="H664" s="35">
        <v>123.0</v>
      </c>
      <c r="I664" s="37">
        <v>0.36527777777777776</v>
      </c>
      <c r="J664" s="37">
        <v>0.3701388888888889</v>
      </c>
      <c r="K664" s="38">
        <f t="shared" si="13"/>
        <v>0.004861111111</v>
      </c>
      <c r="L664" s="39" t="str">
        <f t="shared" si="2"/>
        <v>Morning</v>
      </c>
      <c r="M664" s="39" t="str">
        <f t="array" ref="M664">XLOOKUP(D664,'Category dict'!$B$1:$B$4,'Category dict'!$A$1:$A$4,0,0,1)</f>
        <v>Business</v>
      </c>
      <c r="N664" s="39" t="str">
        <f>VLOOKUP(H664,'Purpose dict'!$A$1:$B$12,2,0)</f>
        <v>NOT DEFINED</v>
      </c>
    </row>
    <row r="665" hidden="1">
      <c r="A665" s="3" t="s">
        <v>881</v>
      </c>
      <c r="B665" s="34">
        <v>42598.42083333333</v>
      </c>
      <c r="C665" s="34">
        <v>42598.43541666667</v>
      </c>
      <c r="D665" s="35">
        <v>423.0</v>
      </c>
      <c r="E665" s="3" t="s">
        <v>208</v>
      </c>
      <c r="F665" s="3" t="s">
        <v>225</v>
      </c>
      <c r="G665" s="36">
        <v>5.7</v>
      </c>
      <c r="H665" s="35">
        <v>123.0</v>
      </c>
      <c r="I665" s="37">
        <v>0.42083333333333334</v>
      </c>
      <c r="J665" s="37">
        <v>0.4354166666666667</v>
      </c>
      <c r="K665" s="38">
        <f t="shared" si="13"/>
        <v>0.01458333333</v>
      </c>
      <c r="L665" s="39" t="str">
        <f t="shared" si="2"/>
        <v>Morning</v>
      </c>
      <c r="M665" s="39" t="str">
        <f t="array" ref="M665">XLOOKUP(D665,'Category dict'!$B$1:$B$4,'Category dict'!$A$1:$A$4,0,0,1)</f>
        <v>Business</v>
      </c>
      <c r="N665" s="39" t="str">
        <f>VLOOKUP(H665,'Purpose dict'!$A$1:$B$12,2,0)</f>
        <v>NOT DEFINED</v>
      </c>
    </row>
    <row r="666">
      <c r="A666" s="3" t="s">
        <v>882</v>
      </c>
      <c r="B666" s="34">
        <v>42598.43819444445</v>
      </c>
      <c r="C666" s="34">
        <v>42598.44305555556</v>
      </c>
      <c r="D666" s="35">
        <v>423.0</v>
      </c>
      <c r="E666" s="3" t="s">
        <v>225</v>
      </c>
      <c r="F666" s="3" t="s">
        <v>225</v>
      </c>
      <c r="G666" s="40">
        <v>1.2</v>
      </c>
      <c r="H666" s="35">
        <v>123.0</v>
      </c>
      <c r="I666" s="37">
        <v>0.43819444444444444</v>
      </c>
      <c r="J666" s="37">
        <v>0.44305555555555554</v>
      </c>
      <c r="K666" s="38">
        <f t="shared" si="13"/>
        <v>0.004861111111</v>
      </c>
      <c r="L666" s="39" t="str">
        <f t="shared" si="2"/>
        <v>Morning</v>
      </c>
      <c r="M666" s="39" t="str">
        <f t="array" ref="M666">XLOOKUP(D666,'Category dict'!$B$1:$B$4,'Category dict'!$A$1:$A$4,0,0,1)</f>
        <v>Business</v>
      </c>
      <c r="N666" s="39" t="str">
        <f>VLOOKUP(H666,'Purpose dict'!$A$1:$B$12,2,0)</f>
        <v>NOT DEFINED</v>
      </c>
    </row>
    <row r="667" hidden="1">
      <c r="A667" s="3" t="s">
        <v>883</v>
      </c>
      <c r="B667" s="34">
        <v>42598.49097222222</v>
      </c>
      <c r="C667" s="34">
        <v>42598.50208333333</v>
      </c>
      <c r="D667" s="35">
        <v>423.0</v>
      </c>
      <c r="E667" s="3" t="s">
        <v>225</v>
      </c>
      <c r="F667" s="3" t="s">
        <v>208</v>
      </c>
      <c r="G667" s="36">
        <v>5.7</v>
      </c>
      <c r="H667" s="35">
        <v>5.0</v>
      </c>
      <c r="I667" s="37">
        <v>0.4909722222222222</v>
      </c>
      <c r="J667" s="37">
        <v>0.5020833333333333</v>
      </c>
      <c r="K667" s="38">
        <f t="shared" si="13"/>
        <v>0.01111111111</v>
      </c>
      <c r="L667" s="39" t="str">
        <f t="shared" si="2"/>
        <v>Morning</v>
      </c>
      <c r="M667" s="39" t="str">
        <f t="array" ref="M667">XLOOKUP(D667,'Category dict'!$B$1:$B$4,'Category dict'!$A$1:$A$4,0,0,1)</f>
        <v>Business</v>
      </c>
      <c r="N667" s="39" t="str">
        <f>VLOOKUP(H667,'Purpose dict'!$A$1:$B$12,2,0)</f>
        <v>Temporary Site</v>
      </c>
    </row>
    <row r="668" hidden="1">
      <c r="A668" s="3" t="s">
        <v>884</v>
      </c>
      <c r="B668" s="34">
        <v>42598.63402777778</v>
      </c>
      <c r="C668" s="34">
        <v>42598.65</v>
      </c>
      <c r="D668" s="35">
        <v>423.0</v>
      </c>
      <c r="E668" s="3" t="s">
        <v>208</v>
      </c>
      <c r="F668" s="3" t="s">
        <v>208</v>
      </c>
      <c r="G668" s="36">
        <v>16.2</v>
      </c>
      <c r="H668" s="35">
        <v>123.0</v>
      </c>
      <c r="I668" s="37">
        <v>0.6340277777777777</v>
      </c>
      <c r="J668" s="37">
        <v>0.65</v>
      </c>
      <c r="K668" s="38">
        <f t="shared" si="13"/>
        <v>0.01597222222</v>
      </c>
      <c r="L668" s="39" t="str">
        <f t="shared" si="2"/>
        <v>Day</v>
      </c>
      <c r="M668" s="39" t="str">
        <f t="array" ref="M668">XLOOKUP(D668,'Category dict'!$B$1:$B$4,'Category dict'!$A$1:$A$4,0,0,1)</f>
        <v>Business</v>
      </c>
      <c r="N668" s="39" t="str">
        <f>VLOOKUP(H668,'Purpose dict'!$A$1:$B$12,2,0)</f>
        <v>NOT DEFINED</v>
      </c>
    </row>
    <row r="669" hidden="1">
      <c r="A669" s="3" t="s">
        <v>885</v>
      </c>
      <c r="B669" s="34">
        <v>42599.42847222222</v>
      </c>
      <c r="C669" s="34">
        <v>42599.44513888889</v>
      </c>
      <c r="D669" s="35">
        <v>423.0</v>
      </c>
      <c r="E669" s="3" t="s">
        <v>208</v>
      </c>
      <c r="F669" s="3" t="s">
        <v>208</v>
      </c>
      <c r="G669" s="36">
        <v>2.6</v>
      </c>
      <c r="H669" s="35">
        <v>123.0</v>
      </c>
      <c r="I669" s="37">
        <v>0.4284722222222222</v>
      </c>
      <c r="J669" s="37">
        <v>0.44513888888888886</v>
      </c>
      <c r="K669" s="38">
        <f t="shared" si="13"/>
        <v>0.01666666667</v>
      </c>
      <c r="L669" s="39" t="str">
        <f t="shared" si="2"/>
        <v>Morning</v>
      </c>
      <c r="M669" s="39" t="str">
        <f t="array" ref="M669">XLOOKUP(D669,'Category dict'!$B$1:$B$4,'Category dict'!$A$1:$A$4,0,0,1)</f>
        <v>Business</v>
      </c>
      <c r="N669" s="39" t="str">
        <f>VLOOKUP(H669,'Purpose dict'!$A$1:$B$12,2,0)</f>
        <v>NOT DEFINED</v>
      </c>
    </row>
    <row r="670" hidden="1">
      <c r="A670" s="3" t="s">
        <v>886</v>
      </c>
      <c r="B670" s="34">
        <v>42599.45625</v>
      </c>
      <c r="C670" s="34">
        <v>42599.47222222222</v>
      </c>
      <c r="D670" s="35">
        <v>423.0</v>
      </c>
      <c r="E670" s="3" t="s">
        <v>208</v>
      </c>
      <c r="F670" s="3" t="s">
        <v>208</v>
      </c>
      <c r="G670" s="36">
        <v>12.1</v>
      </c>
      <c r="H670" s="35">
        <v>123.0</v>
      </c>
      <c r="I670" s="37">
        <v>0.45625</v>
      </c>
      <c r="J670" s="37">
        <v>0.4722222222222222</v>
      </c>
      <c r="K670" s="38">
        <f t="shared" si="13"/>
        <v>0.01597222222</v>
      </c>
      <c r="L670" s="39" t="str">
        <f t="shared" si="2"/>
        <v>Morning</v>
      </c>
      <c r="M670" s="39" t="str">
        <f t="array" ref="M670">XLOOKUP(D670,'Category dict'!$B$1:$B$4,'Category dict'!$A$1:$A$4,0,0,1)</f>
        <v>Business</v>
      </c>
      <c r="N670" s="39" t="str">
        <f>VLOOKUP(H670,'Purpose dict'!$A$1:$B$12,2,0)</f>
        <v>NOT DEFINED</v>
      </c>
    </row>
    <row r="671">
      <c r="A671" s="3" t="s">
        <v>887</v>
      </c>
      <c r="B671" s="34">
        <v>42599.614583333336</v>
      </c>
      <c r="C671" s="34">
        <v>42599.618055555555</v>
      </c>
      <c r="D671" s="35">
        <v>423.0</v>
      </c>
      <c r="E671" s="3" t="s">
        <v>208</v>
      </c>
      <c r="F671" s="3" t="s">
        <v>243</v>
      </c>
      <c r="G671" s="40">
        <v>1.4</v>
      </c>
      <c r="H671" s="35">
        <v>123.0</v>
      </c>
      <c r="I671" s="37">
        <v>0.6145833333333334</v>
      </c>
      <c r="J671" s="37">
        <v>0.6180555555555556</v>
      </c>
      <c r="K671" s="38">
        <f t="shared" si="13"/>
        <v>0.003472222222</v>
      </c>
      <c r="L671" s="39" t="str">
        <f t="shared" si="2"/>
        <v>Day</v>
      </c>
      <c r="M671" s="39" t="str">
        <f t="array" ref="M671">XLOOKUP(D671,'Category dict'!$B$1:$B$4,'Category dict'!$A$1:$A$4,0,0,1)</f>
        <v>Business</v>
      </c>
      <c r="N671" s="39" t="str">
        <f>VLOOKUP(H671,'Purpose dict'!$A$1:$B$12,2,0)</f>
        <v>NOT DEFINED</v>
      </c>
    </row>
    <row r="672" hidden="1">
      <c r="A672" s="3" t="s">
        <v>888</v>
      </c>
      <c r="B672" s="34">
        <v>42599.64722222222</v>
      </c>
      <c r="C672" s="34">
        <v>42599.657638888886</v>
      </c>
      <c r="D672" s="35">
        <v>423.0</v>
      </c>
      <c r="E672" s="3" t="s">
        <v>243</v>
      </c>
      <c r="F672" s="3" t="s">
        <v>225</v>
      </c>
      <c r="G672" s="36">
        <v>6.4</v>
      </c>
      <c r="H672" s="35">
        <v>123.0</v>
      </c>
      <c r="I672" s="37">
        <v>0.6472222222222223</v>
      </c>
      <c r="J672" s="37">
        <v>0.6576388888888889</v>
      </c>
      <c r="K672" s="38">
        <f t="shared" si="13"/>
        <v>0.01041666667</v>
      </c>
      <c r="L672" s="39" t="str">
        <f t="shared" si="2"/>
        <v>Day</v>
      </c>
      <c r="M672" s="39" t="str">
        <f t="array" ref="M672">XLOOKUP(D672,'Category dict'!$B$1:$B$4,'Category dict'!$A$1:$A$4,0,0,1)</f>
        <v>Business</v>
      </c>
      <c r="N672" s="39" t="str">
        <f>VLOOKUP(H672,'Purpose dict'!$A$1:$B$12,2,0)</f>
        <v>NOT DEFINED</v>
      </c>
    </row>
    <row r="673" hidden="1">
      <c r="A673" s="3" t="s">
        <v>889</v>
      </c>
      <c r="B673" s="34">
        <v>42599.68680555555</v>
      </c>
      <c r="C673" s="34">
        <v>42599.70138888889</v>
      </c>
      <c r="D673" s="35">
        <v>423.0</v>
      </c>
      <c r="E673" s="3" t="s">
        <v>225</v>
      </c>
      <c r="F673" s="3" t="s">
        <v>208</v>
      </c>
      <c r="G673" s="36">
        <v>7.3</v>
      </c>
      <c r="H673" s="35">
        <v>123.0</v>
      </c>
      <c r="I673" s="37">
        <v>0.6868055555555556</v>
      </c>
      <c r="J673" s="37">
        <v>0.7013888888888888</v>
      </c>
      <c r="K673" s="38">
        <f t="shared" si="13"/>
        <v>0.01458333333</v>
      </c>
      <c r="L673" s="39" t="str">
        <f t="shared" si="2"/>
        <v>Day</v>
      </c>
      <c r="M673" s="39" t="str">
        <f t="array" ref="M673">XLOOKUP(D673,'Category dict'!$B$1:$B$4,'Category dict'!$A$1:$A$4,0,0,1)</f>
        <v>Business</v>
      </c>
      <c r="N673" s="39" t="str">
        <f>VLOOKUP(H673,'Purpose dict'!$A$1:$B$12,2,0)</f>
        <v>NOT DEFINED</v>
      </c>
    </row>
    <row r="674" hidden="1">
      <c r="A674" s="3" t="s">
        <v>890</v>
      </c>
      <c r="B674" s="34">
        <v>42599.70416666667</v>
      </c>
      <c r="C674" s="34">
        <v>42599.708333333336</v>
      </c>
      <c r="D674" s="35">
        <v>423.0</v>
      </c>
      <c r="E674" s="3" t="s">
        <v>208</v>
      </c>
      <c r="F674" s="3" t="s">
        <v>208</v>
      </c>
      <c r="G674" s="36">
        <v>5.3</v>
      </c>
      <c r="H674" s="35">
        <v>123.0</v>
      </c>
      <c r="I674" s="37">
        <v>0.7041666666666667</v>
      </c>
      <c r="J674" s="37">
        <v>0.7083333333333334</v>
      </c>
      <c r="K674" s="38">
        <f t="shared" si="13"/>
        <v>0.004166666667</v>
      </c>
      <c r="L674" s="39" t="str">
        <f t="shared" si="2"/>
        <v>Day</v>
      </c>
      <c r="M674" s="39" t="str">
        <f t="array" ref="M674">XLOOKUP(D674,'Category dict'!$B$1:$B$4,'Category dict'!$A$1:$A$4,0,0,1)</f>
        <v>Business</v>
      </c>
      <c r="N674" s="39" t="str">
        <f>VLOOKUP(H674,'Purpose dict'!$A$1:$B$12,2,0)</f>
        <v>NOT DEFINED</v>
      </c>
    </row>
    <row r="675" hidden="1">
      <c r="A675" s="3" t="s">
        <v>891</v>
      </c>
      <c r="B675" s="34">
        <v>42599.711805555555</v>
      </c>
      <c r="C675" s="34">
        <v>42599.731944444444</v>
      </c>
      <c r="D675" s="35">
        <v>423.0</v>
      </c>
      <c r="E675" s="3" t="s">
        <v>208</v>
      </c>
      <c r="F675" s="3" t="s">
        <v>208</v>
      </c>
      <c r="G675" s="36">
        <v>5.5</v>
      </c>
      <c r="H675" s="35">
        <v>123.0</v>
      </c>
      <c r="I675" s="37">
        <v>0.7118055555555556</v>
      </c>
      <c r="J675" s="37">
        <v>0.7319444444444444</v>
      </c>
      <c r="K675" s="38">
        <f t="shared" si="13"/>
        <v>0.02013888889</v>
      </c>
      <c r="L675" s="39" t="str">
        <f t="shared" si="2"/>
        <v>Day</v>
      </c>
      <c r="M675" s="39" t="str">
        <f t="array" ref="M675">XLOOKUP(D675,'Category dict'!$B$1:$B$4,'Category dict'!$A$1:$A$4,0,0,1)</f>
        <v>Business</v>
      </c>
      <c r="N675" s="39" t="str">
        <f>VLOOKUP(H675,'Purpose dict'!$A$1:$B$12,2,0)</f>
        <v>NOT DEFINED</v>
      </c>
    </row>
    <row r="676" hidden="1">
      <c r="A676" s="3" t="s">
        <v>892</v>
      </c>
      <c r="B676" s="34">
        <v>42599.77638888889</v>
      </c>
      <c r="C676" s="34">
        <v>42599.78958333333</v>
      </c>
      <c r="D676" s="35">
        <v>423.0</v>
      </c>
      <c r="E676" s="3" t="s">
        <v>208</v>
      </c>
      <c r="F676" s="3" t="s">
        <v>208</v>
      </c>
      <c r="G676" s="36">
        <v>7.7</v>
      </c>
      <c r="H676" s="35">
        <v>5.0</v>
      </c>
      <c r="I676" s="37">
        <v>0.7763888888888889</v>
      </c>
      <c r="J676" s="37">
        <v>0.7895833333333333</v>
      </c>
      <c r="K676" s="38">
        <f t="shared" si="13"/>
        <v>0.01319444444</v>
      </c>
      <c r="L676" s="39" t="str">
        <f t="shared" si="2"/>
        <v>Evening</v>
      </c>
      <c r="M676" s="39" t="str">
        <f t="array" ref="M676">XLOOKUP(D676,'Category dict'!$B$1:$B$4,'Category dict'!$A$1:$A$4,0,0,1)</f>
        <v>Business</v>
      </c>
      <c r="N676" s="39" t="str">
        <f>VLOOKUP(H676,'Purpose dict'!$A$1:$B$12,2,0)</f>
        <v>Temporary Site</v>
      </c>
    </row>
    <row r="677" hidden="1">
      <c r="A677" s="3" t="s">
        <v>893</v>
      </c>
      <c r="B677" s="34">
        <v>42600.77777777778</v>
      </c>
      <c r="C677" s="34">
        <v>42600.79652777778</v>
      </c>
      <c r="D677" s="35">
        <v>423.0</v>
      </c>
      <c r="E677" s="3" t="s">
        <v>208</v>
      </c>
      <c r="F677" s="3" t="s">
        <v>208</v>
      </c>
      <c r="G677" s="36">
        <v>7.6</v>
      </c>
      <c r="H677" s="35">
        <v>5.0</v>
      </c>
      <c r="I677" s="37">
        <v>0.7777777777777778</v>
      </c>
      <c r="J677" s="37">
        <v>0.7965277777777777</v>
      </c>
      <c r="K677" s="38">
        <f t="shared" si="13"/>
        <v>0.01875</v>
      </c>
      <c r="L677" s="39" t="str">
        <f t="shared" si="2"/>
        <v>Evening</v>
      </c>
      <c r="M677" s="39" t="str">
        <f t="array" ref="M677">XLOOKUP(D677,'Category dict'!$B$1:$B$4,'Category dict'!$A$1:$A$4,0,0,1)</f>
        <v>Business</v>
      </c>
      <c r="N677" s="39" t="str">
        <f>VLOOKUP(H677,'Purpose dict'!$A$1:$B$12,2,0)</f>
        <v>Temporary Site</v>
      </c>
    </row>
    <row r="678" hidden="1">
      <c r="A678" s="3" t="s">
        <v>894</v>
      </c>
      <c r="B678" s="34">
        <v>42601.35</v>
      </c>
      <c r="C678" s="34">
        <v>42601.364583333336</v>
      </c>
      <c r="D678" s="35">
        <v>423.0</v>
      </c>
      <c r="E678" s="3" t="s">
        <v>208</v>
      </c>
      <c r="F678" s="3" t="s">
        <v>256</v>
      </c>
      <c r="G678" s="36">
        <v>7.6</v>
      </c>
      <c r="H678" s="35">
        <v>123.0</v>
      </c>
      <c r="I678" s="37">
        <v>0.35</v>
      </c>
      <c r="J678" s="37">
        <v>0.3645833333333333</v>
      </c>
      <c r="K678" s="38">
        <f t="shared" si="13"/>
        <v>0.01458333333</v>
      </c>
      <c r="L678" s="39" t="str">
        <f t="shared" si="2"/>
        <v>Morning</v>
      </c>
      <c r="M678" s="39" t="str">
        <f t="array" ref="M678">XLOOKUP(D678,'Category dict'!$B$1:$B$4,'Category dict'!$A$1:$A$4,0,0,1)</f>
        <v>Business</v>
      </c>
      <c r="N678" s="39" t="str">
        <f>VLOOKUP(H678,'Purpose dict'!$A$1:$B$12,2,0)</f>
        <v>NOT DEFINED</v>
      </c>
    </row>
    <row r="679" hidden="1">
      <c r="A679" s="3" t="s">
        <v>895</v>
      </c>
      <c r="B679" s="34">
        <v>42601.370833333334</v>
      </c>
      <c r="C679" s="34">
        <v>42601.37986111111</v>
      </c>
      <c r="D679" s="35">
        <v>423.0</v>
      </c>
      <c r="E679" s="3" t="s">
        <v>256</v>
      </c>
      <c r="F679" s="3" t="s">
        <v>225</v>
      </c>
      <c r="G679" s="36">
        <v>3.3</v>
      </c>
      <c r="H679" s="35">
        <v>123.0</v>
      </c>
      <c r="I679" s="37">
        <v>0.37083333333333335</v>
      </c>
      <c r="J679" s="37">
        <v>0.3798611111111111</v>
      </c>
      <c r="K679" s="38">
        <f t="shared" si="13"/>
        <v>0.009027777778</v>
      </c>
      <c r="L679" s="39" t="str">
        <f t="shared" si="2"/>
        <v>Morning</v>
      </c>
      <c r="M679" s="39" t="str">
        <f t="array" ref="M679">XLOOKUP(D679,'Category dict'!$B$1:$B$4,'Category dict'!$A$1:$A$4,0,0,1)</f>
        <v>Business</v>
      </c>
      <c r="N679" s="39" t="str">
        <f>VLOOKUP(H679,'Purpose dict'!$A$1:$B$12,2,0)</f>
        <v>NOT DEFINED</v>
      </c>
    </row>
    <row r="680" hidden="1">
      <c r="A680" s="3" t="s">
        <v>896</v>
      </c>
      <c r="B680" s="34">
        <v>42601.39375</v>
      </c>
      <c r="C680" s="34">
        <v>42601.407638888886</v>
      </c>
      <c r="D680" s="35">
        <v>423.0</v>
      </c>
      <c r="E680" s="3" t="s">
        <v>225</v>
      </c>
      <c r="F680" s="3" t="s">
        <v>243</v>
      </c>
      <c r="G680" s="36">
        <v>6.5</v>
      </c>
      <c r="H680" s="35">
        <v>123.0</v>
      </c>
      <c r="I680" s="37">
        <v>0.39375</v>
      </c>
      <c r="J680" s="37">
        <v>0.4076388888888889</v>
      </c>
      <c r="K680" s="38">
        <f t="shared" si="13"/>
        <v>0.01388888889</v>
      </c>
      <c r="L680" s="39" t="str">
        <f t="shared" si="2"/>
        <v>Morning</v>
      </c>
      <c r="M680" s="39" t="str">
        <f t="array" ref="M680">XLOOKUP(D680,'Category dict'!$B$1:$B$4,'Category dict'!$A$1:$A$4,0,0,1)</f>
        <v>Business</v>
      </c>
      <c r="N680" s="39" t="str">
        <f>VLOOKUP(H680,'Purpose dict'!$A$1:$B$12,2,0)</f>
        <v>NOT DEFINED</v>
      </c>
    </row>
    <row r="681" hidden="1">
      <c r="A681" s="3" t="s">
        <v>897</v>
      </c>
      <c r="B681" s="34">
        <v>42601.45625</v>
      </c>
      <c r="C681" s="34">
        <v>42601.4625</v>
      </c>
      <c r="D681" s="35">
        <v>423.0</v>
      </c>
      <c r="E681" s="3" t="s">
        <v>243</v>
      </c>
      <c r="F681" s="3" t="s">
        <v>208</v>
      </c>
      <c r="G681" s="36">
        <v>2.0</v>
      </c>
      <c r="H681" s="35">
        <v>123.0</v>
      </c>
      <c r="I681" s="37">
        <v>0.45625</v>
      </c>
      <c r="J681" s="37">
        <v>0.4625</v>
      </c>
      <c r="K681" s="38">
        <f t="shared" si="13"/>
        <v>0.00625</v>
      </c>
      <c r="L681" s="39" t="str">
        <f t="shared" si="2"/>
        <v>Morning</v>
      </c>
      <c r="M681" s="39" t="str">
        <f t="array" ref="M681">XLOOKUP(D681,'Category dict'!$B$1:$B$4,'Category dict'!$A$1:$A$4,0,0,1)</f>
        <v>Business</v>
      </c>
      <c r="N681" s="39" t="str">
        <f>VLOOKUP(H681,'Purpose dict'!$A$1:$B$12,2,0)</f>
        <v>NOT DEFINED</v>
      </c>
    </row>
    <row r="682" hidden="1">
      <c r="A682" s="3" t="s">
        <v>898</v>
      </c>
      <c r="B682" s="34">
        <v>42601.50486111111</v>
      </c>
      <c r="C682" s="34">
        <v>42601.51666666667</v>
      </c>
      <c r="D682" s="35">
        <v>423.0</v>
      </c>
      <c r="E682" s="3" t="s">
        <v>208</v>
      </c>
      <c r="F682" s="3" t="s">
        <v>225</v>
      </c>
      <c r="G682" s="36">
        <v>5.7</v>
      </c>
      <c r="H682" s="35">
        <v>123.0</v>
      </c>
      <c r="I682" s="37">
        <v>0.5048611111111111</v>
      </c>
      <c r="J682" s="37">
        <v>0.5166666666666667</v>
      </c>
      <c r="K682" s="38">
        <f t="shared" si="13"/>
        <v>0.01180555556</v>
      </c>
      <c r="L682" s="39" t="str">
        <f t="shared" si="2"/>
        <v>Day</v>
      </c>
      <c r="M682" s="39" t="str">
        <f t="array" ref="M682">XLOOKUP(D682,'Category dict'!$B$1:$B$4,'Category dict'!$A$1:$A$4,0,0,1)</f>
        <v>Business</v>
      </c>
      <c r="N682" s="39" t="str">
        <f>VLOOKUP(H682,'Purpose dict'!$A$1:$B$12,2,0)</f>
        <v>NOT DEFINED</v>
      </c>
    </row>
    <row r="683" hidden="1">
      <c r="A683" s="3" t="s">
        <v>899</v>
      </c>
      <c r="B683" s="34">
        <v>42601.660416666666</v>
      </c>
      <c r="C683" s="34">
        <v>42601.67083333333</v>
      </c>
      <c r="D683" s="35">
        <v>423.0</v>
      </c>
      <c r="E683" s="3" t="s">
        <v>225</v>
      </c>
      <c r="F683" s="3" t="s">
        <v>225</v>
      </c>
      <c r="G683" s="36">
        <v>3.2</v>
      </c>
      <c r="H683" s="35">
        <v>123.0</v>
      </c>
      <c r="I683" s="37">
        <v>0.6604166666666667</v>
      </c>
      <c r="J683" s="37">
        <v>0.6708333333333333</v>
      </c>
      <c r="K683" s="38">
        <f t="shared" si="13"/>
        <v>0.01041666667</v>
      </c>
      <c r="L683" s="39" t="str">
        <f t="shared" si="2"/>
        <v>Day</v>
      </c>
      <c r="M683" s="39" t="str">
        <f t="array" ref="M683">XLOOKUP(D683,'Category dict'!$B$1:$B$4,'Category dict'!$A$1:$A$4,0,0,1)</f>
        <v>Business</v>
      </c>
      <c r="N683" s="39" t="str">
        <f>VLOOKUP(H683,'Purpose dict'!$A$1:$B$12,2,0)</f>
        <v>NOT DEFINED</v>
      </c>
    </row>
    <row r="684" hidden="1">
      <c r="A684" s="3" t="s">
        <v>900</v>
      </c>
      <c r="B684" s="34">
        <v>42601.71666666667</v>
      </c>
      <c r="C684" s="34">
        <v>42601.74444444444</v>
      </c>
      <c r="D684" s="35">
        <v>423.0</v>
      </c>
      <c r="E684" s="3" t="s">
        <v>225</v>
      </c>
      <c r="F684" s="3" t="s">
        <v>208</v>
      </c>
      <c r="G684" s="36">
        <v>12.5</v>
      </c>
      <c r="H684" s="35">
        <v>123.0</v>
      </c>
      <c r="I684" s="37">
        <v>0.7166666666666667</v>
      </c>
      <c r="J684" s="37">
        <v>0.7444444444444445</v>
      </c>
      <c r="K684" s="38">
        <f t="shared" si="13"/>
        <v>0.02777777778</v>
      </c>
      <c r="L684" s="39" t="str">
        <f t="shared" si="2"/>
        <v>Day</v>
      </c>
      <c r="M684" s="39" t="str">
        <f t="array" ref="M684">XLOOKUP(D684,'Category dict'!$B$1:$B$4,'Category dict'!$A$1:$A$4,0,0,1)</f>
        <v>Business</v>
      </c>
      <c r="N684" s="39" t="str">
        <f>VLOOKUP(H684,'Purpose dict'!$A$1:$B$12,2,0)</f>
        <v>NOT DEFINED</v>
      </c>
    </row>
    <row r="685" hidden="1">
      <c r="A685" s="3" t="s">
        <v>901</v>
      </c>
      <c r="B685" s="34">
        <v>42603.416666666664</v>
      </c>
      <c r="C685" s="34">
        <v>42603.43680555555</v>
      </c>
      <c r="D685" s="35">
        <v>423.0</v>
      </c>
      <c r="E685" s="3" t="s">
        <v>208</v>
      </c>
      <c r="F685" s="3" t="s">
        <v>208</v>
      </c>
      <c r="G685" s="36">
        <v>7.6</v>
      </c>
      <c r="H685" s="35">
        <v>10.0</v>
      </c>
      <c r="I685" s="37">
        <v>0.4166666666666667</v>
      </c>
      <c r="J685" s="37">
        <v>0.43680555555555556</v>
      </c>
      <c r="K685" s="38">
        <f t="shared" si="13"/>
        <v>0.02013888889</v>
      </c>
      <c r="L685" s="39" t="str">
        <f t="shared" si="2"/>
        <v>Morning</v>
      </c>
      <c r="M685" s="39" t="str">
        <f t="array" ref="M685">XLOOKUP(D685,'Category dict'!$B$1:$B$4,'Category dict'!$A$1:$A$4,0,0,1)</f>
        <v>Business</v>
      </c>
      <c r="N685" s="39" t="str">
        <f>VLOOKUP(H685,'Purpose dict'!$A$1:$B$12,2,0)</f>
        <v>Airport/Travel</v>
      </c>
    </row>
    <row r="686" hidden="1">
      <c r="A686" s="3" t="s">
        <v>902</v>
      </c>
      <c r="B686" s="34">
        <v>42603.586805555555</v>
      </c>
      <c r="C686" s="34">
        <v>42603.606944444444</v>
      </c>
      <c r="D686" s="35">
        <v>423.0</v>
      </c>
      <c r="E686" s="3" t="s">
        <v>208</v>
      </c>
      <c r="F686" s="3" t="s">
        <v>208</v>
      </c>
      <c r="G686" s="36">
        <v>7.7</v>
      </c>
      <c r="H686" s="35">
        <v>123.0</v>
      </c>
      <c r="I686" s="37">
        <v>0.5868055555555556</v>
      </c>
      <c r="J686" s="37">
        <v>0.6069444444444444</v>
      </c>
      <c r="K686" s="38">
        <f t="shared" si="13"/>
        <v>0.02013888889</v>
      </c>
      <c r="L686" s="39" t="str">
        <f t="shared" si="2"/>
        <v>Day</v>
      </c>
      <c r="M686" s="39" t="str">
        <f t="array" ref="M686">XLOOKUP(D686,'Category dict'!$B$1:$B$4,'Category dict'!$A$1:$A$4,0,0,1)</f>
        <v>Business</v>
      </c>
      <c r="N686" s="39" t="str">
        <f>VLOOKUP(H686,'Purpose dict'!$A$1:$B$12,2,0)</f>
        <v>NOT DEFINED</v>
      </c>
    </row>
    <row r="687" hidden="1">
      <c r="A687" s="3" t="s">
        <v>903</v>
      </c>
      <c r="B687" s="34">
        <v>42603.6875</v>
      </c>
      <c r="C687" s="34">
        <v>42603.70972222222</v>
      </c>
      <c r="D687" s="35">
        <v>423.0</v>
      </c>
      <c r="E687" s="3" t="s">
        <v>208</v>
      </c>
      <c r="F687" s="3" t="s">
        <v>225</v>
      </c>
      <c r="G687" s="36">
        <v>12.2</v>
      </c>
      <c r="H687" s="35">
        <v>123.0</v>
      </c>
      <c r="I687" s="37">
        <v>0.6875</v>
      </c>
      <c r="J687" s="37">
        <v>0.7097222222222223</v>
      </c>
      <c r="K687" s="38">
        <f t="shared" si="13"/>
        <v>0.02222222222</v>
      </c>
      <c r="L687" s="39" t="str">
        <f t="shared" si="2"/>
        <v>Day</v>
      </c>
      <c r="M687" s="39" t="str">
        <f t="array" ref="M687">XLOOKUP(D687,'Category dict'!$B$1:$B$4,'Category dict'!$A$1:$A$4,0,0,1)</f>
        <v>Business</v>
      </c>
      <c r="N687" s="39" t="str">
        <f>VLOOKUP(H687,'Purpose dict'!$A$1:$B$12,2,0)</f>
        <v>NOT DEFINED</v>
      </c>
    </row>
    <row r="688">
      <c r="A688" s="3" t="s">
        <v>904</v>
      </c>
      <c r="B688" s="34">
        <v>42603.756944444445</v>
      </c>
      <c r="C688" s="34">
        <v>42603.76180555556</v>
      </c>
      <c r="D688" s="35">
        <v>423.0</v>
      </c>
      <c r="E688" s="3" t="s">
        <v>225</v>
      </c>
      <c r="F688" s="3" t="s">
        <v>225</v>
      </c>
      <c r="G688" s="40">
        <v>1.4</v>
      </c>
      <c r="H688" s="35">
        <v>123.0</v>
      </c>
      <c r="I688" s="37">
        <v>0.7569444444444444</v>
      </c>
      <c r="J688" s="37">
        <v>0.7618055555555555</v>
      </c>
      <c r="K688" s="38">
        <f t="shared" si="13"/>
        <v>0.004861111111</v>
      </c>
      <c r="L688" s="39" t="str">
        <f t="shared" si="2"/>
        <v>Evening</v>
      </c>
      <c r="M688" s="39" t="str">
        <f t="array" ref="M688">XLOOKUP(D688,'Category dict'!$B$1:$B$4,'Category dict'!$A$1:$A$4,0,0,1)</f>
        <v>Business</v>
      </c>
      <c r="N688" s="39" t="str">
        <f>VLOOKUP(H688,'Purpose dict'!$A$1:$B$12,2,0)</f>
        <v>NOT DEFINED</v>
      </c>
    </row>
    <row r="689" hidden="1">
      <c r="A689" s="3" t="s">
        <v>905</v>
      </c>
      <c r="B689" s="34">
        <v>42603.78333333333</v>
      </c>
      <c r="C689" s="34">
        <v>42603.808333333334</v>
      </c>
      <c r="D689" s="35">
        <v>423.0</v>
      </c>
      <c r="E689" s="3" t="s">
        <v>225</v>
      </c>
      <c r="F689" s="3" t="s">
        <v>208</v>
      </c>
      <c r="G689" s="36">
        <v>20.2</v>
      </c>
      <c r="H689" s="35">
        <v>123.0</v>
      </c>
      <c r="I689" s="37">
        <v>0.7833333333333333</v>
      </c>
      <c r="J689" s="37">
        <v>0.8083333333333333</v>
      </c>
      <c r="K689" s="38">
        <f t="shared" si="13"/>
        <v>0.025</v>
      </c>
      <c r="L689" s="39" t="str">
        <f t="shared" si="2"/>
        <v>Evening</v>
      </c>
      <c r="M689" s="39" t="str">
        <f t="array" ref="M689">XLOOKUP(D689,'Category dict'!$B$1:$B$4,'Category dict'!$A$1:$A$4,0,0,1)</f>
        <v>Business</v>
      </c>
      <c r="N689" s="39" t="str">
        <f>VLOOKUP(H689,'Purpose dict'!$A$1:$B$12,2,0)</f>
        <v>NOT DEFINED</v>
      </c>
    </row>
    <row r="690" hidden="1">
      <c r="A690" s="3" t="s">
        <v>906</v>
      </c>
      <c r="B690" s="34">
        <v>42604.416666666664</v>
      </c>
      <c r="C690" s="34">
        <v>42604.447222222225</v>
      </c>
      <c r="D690" s="35">
        <v>423.0</v>
      </c>
      <c r="E690" s="3" t="s">
        <v>208</v>
      </c>
      <c r="F690" s="3" t="s">
        <v>225</v>
      </c>
      <c r="G690" s="36">
        <v>9.8</v>
      </c>
      <c r="H690" s="35">
        <v>123.0</v>
      </c>
      <c r="I690" s="37">
        <v>0.4166666666666667</v>
      </c>
      <c r="J690" s="37">
        <v>0.44722222222222224</v>
      </c>
      <c r="K690" s="38">
        <f t="shared" si="13"/>
        <v>0.03055555556</v>
      </c>
      <c r="L690" s="39" t="str">
        <f t="shared" si="2"/>
        <v>Morning</v>
      </c>
      <c r="M690" s="39" t="str">
        <f t="array" ref="M690">XLOOKUP(D690,'Category dict'!$B$1:$B$4,'Category dict'!$A$1:$A$4,0,0,1)</f>
        <v>Business</v>
      </c>
      <c r="N690" s="39" t="str">
        <f>VLOOKUP(H690,'Purpose dict'!$A$1:$B$12,2,0)</f>
        <v>NOT DEFINED</v>
      </c>
    </row>
    <row r="691" hidden="1">
      <c r="A691" s="3" t="s">
        <v>907</v>
      </c>
      <c r="B691" s="34">
        <v>42604.46319444444</v>
      </c>
      <c r="C691" s="34">
        <v>42604.47430555556</v>
      </c>
      <c r="D691" s="35">
        <v>423.0</v>
      </c>
      <c r="E691" s="3" t="s">
        <v>225</v>
      </c>
      <c r="F691" s="3" t="s">
        <v>208</v>
      </c>
      <c r="G691" s="36">
        <v>6.3</v>
      </c>
      <c r="H691" s="35">
        <v>123.0</v>
      </c>
      <c r="I691" s="37">
        <v>0.46319444444444446</v>
      </c>
      <c r="J691" s="37">
        <v>0.47430555555555554</v>
      </c>
      <c r="K691" s="38">
        <f t="shared" si="13"/>
        <v>0.01111111111</v>
      </c>
      <c r="L691" s="39" t="str">
        <f t="shared" si="2"/>
        <v>Morning</v>
      </c>
      <c r="M691" s="39" t="str">
        <f t="array" ref="M691">XLOOKUP(D691,'Category dict'!$B$1:$B$4,'Category dict'!$A$1:$A$4,0,0,1)</f>
        <v>Business</v>
      </c>
      <c r="N691" s="39" t="str">
        <f>VLOOKUP(H691,'Purpose dict'!$A$1:$B$12,2,0)</f>
        <v>NOT DEFINED</v>
      </c>
    </row>
    <row r="692" hidden="1">
      <c r="A692" s="3" t="s">
        <v>908</v>
      </c>
      <c r="B692" s="34">
        <v>42604.525</v>
      </c>
      <c r="C692" s="34">
        <v>42604.53402777778</v>
      </c>
      <c r="D692" s="35">
        <v>423.0</v>
      </c>
      <c r="E692" s="3" t="s">
        <v>208</v>
      </c>
      <c r="F692" s="3" t="s">
        <v>225</v>
      </c>
      <c r="G692" s="36">
        <v>4.9</v>
      </c>
      <c r="H692" s="35">
        <v>123.0</v>
      </c>
      <c r="I692" s="37">
        <v>0.525</v>
      </c>
      <c r="J692" s="37">
        <v>0.5340277777777778</v>
      </c>
      <c r="K692" s="38">
        <f t="shared" si="13"/>
        <v>0.009027777778</v>
      </c>
      <c r="L692" s="39" t="str">
        <f t="shared" si="2"/>
        <v>Day</v>
      </c>
      <c r="M692" s="39" t="str">
        <f t="array" ref="M692">XLOOKUP(D692,'Category dict'!$B$1:$B$4,'Category dict'!$A$1:$A$4,0,0,1)</f>
        <v>Business</v>
      </c>
      <c r="N692" s="39" t="str">
        <f>VLOOKUP(H692,'Purpose dict'!$A$1:$B$12,2,0)</f>
        <v>NOT DEFINED</v>
      </c>
    </row>
    <row r="693">
      <c r="A693" s="3" t="s">
        <v>909</v>
      </c>
      <c r="B693" s="34">
        <v>42604.54305555556</v>
      </c>
      <c r="C693" s="34">
        <v>42604.549305555556</v>
      </c>
      <c r="D693" s="35">
        <v>423.0</v>
      </c>
      <c r="E693" s="3" t="s">
        <v>225</v>
      </c>
      <c r="F693" s="3" t="s">
        <v>225</v>
      </c>
      <c r="G693" s="40">
        <v>1.5</v>
      </c>
      <c r="H693" s="35">
        <v>123.0</v>
      </c>
      <c r="I693" s="37">
        <v>0.5430555555555555</v>
      </c>
      <c r="J693" s="37">
        <v>0.5493055555555556</v>
      </c>
      <c r="K693" s="38">
        <f t="shared" si="13"/>
        <v>0.00625</v>
      </c>
      <c r="L693" s="39" t="str">
        <f t="shared" si="2"/>
        <v>Day</v>
      </c>
      <c r="M693" s="39" t="str">
        <f t="array" ref="M693">XLOOKUP(D693,'Category dict'!$B$1:$B$4,'Category dict'!$A$1:$A$4,0,0,1)</f>
        <v>Business</v>
      </c>
      <c r="N693" s="39" t="str">
        <f>VLOOKUP(H693,'Purpose dict'!$A$1:$B$12,2,0)</f>
        <v>NOT DEFINED</v>
      </c>
    </row>
    <row r="694" hidden="1">
      <c r="A694" s="3" t="s">
        <v>910</v>
      </c>
      <c r="B694" s="34">
        <v>42604.58819444444</v>
      </c>
      <c r="C694" s="34">
        <v>42604.60486111111</v>
      </c>
      <c r="D694" s="35">
        <v>423.0</v>
      </c>
      <c r="E694" s="3" t="s">
        <v>225</v>
      </c>
      <c r="F694" s="3" t="s">
        <v>208</v>
      </c>
      <c r="G694" s="36">
        <v>10.9</v>
      </c>
      <c r="H694" s="35">
        <v>123.0</v>
      </c>
      <c r="I694" s="37">
        <v>0.5881944444444445</v>
      </c>
      <c r="J694" s="37">
        <v>0.6048611111111111</v>
      </c>
      <c r="K694" s="38">
        <f t="shared" si="13"/>
        <v>0.01666666667</v>
      </c>
      <c r="L694" s="39" t="str">
        <f t="shared" si="2"/>
        <v>Day</v>
      </c>
      <c r="M694" s="39" t="str">
        <f t="array" ref="M694">XLOOKUP(D694,'Category dict'!$B$1:$B$4,'Category dict'!$A$1:$A$4,0,0,1)</f>
        <v>Business</v>
      </c>
      <c r="N694" s="39" t="str">
        <f>VLOOKUP(H694,'Purpose dict'!$A$1:$B$12,2,0)</f>
        <v>NOT DEFINED</v>
      </c>
    </row>
    <row r="695" hidden="1">
      <c r="A695" s="3" t="s">
        <v>911</v>
      </c>
      <c r="B695" s="34">
        <v>42604.634722222225</v>
      </c>
      <c r="C695" s="34">
        <v>42604.65902777778</v>
      </c>
      <c r="D695" s="35">
        <v>423.0</v>
      </c>
      <c r="E695" s="3" t="s">
        <v>208</v>
      </c>
      <c r="F695" s="3" t="s">
        <v>208</v>
      </c>
      <c r="G695" s="36">
        <v>19.0</v>
      </c>
      <c r="H695" s="35">
        <v>123.0</v>
      </c>
      <c r="I695" s="37">
        <v>0.6347222222222222</v>
      </c>
      <c r="J695" s="37">
        <v>0.6590277777777778</v>
      </c>
      <c r="K695" s="38">
        <f t="shared" si="13"/>
        <v>0.02430555556</v>
      </c>
      <c r="L695" s="39" t="str">
        <f t="shared" si="2"/>
        <v>Day</v>
      </c>
      <c r="M695" s="39" t="str">
        <f t="array" ref="M695">XLOOKUP(D695,'Category dict'!$B$1:$B$4,'Category dict'!$A$1:$A$4,0,0,1)</f>
        <v>Business</v>
      </c>
      <c r="N695" s="39" t="str">
        <f>VLOOKUP(H695,'Purpose dict'!$A$1:$B$12,2,0)</f>
        <v>NOT DEFINED</v>
      </c>
    </row>
    <row r="696" hidden="1">
      <c r="A696" s="3" t="s">
        <v>912</v>
      </c>
      <c r="B696" s="34">
        <v>42604.665972222225</v>
      </c>
      <c r="C696" s="34">
        <v>42604.71944444445</v>
      </c>
      <c r="D696" s="35">
        <v>423.0</v>
      </c>
      <c r="E696" s="3" t="s">
        <v>208</v>
      </c>
      <c r="F696" s="3" t="s">
        <v>208</v>
      </c>
      <c r="G696" s="36">
        <v>19.0</v>
      </c>
      <c r="H696" s="35">
        <v>123.0</v>
      </c>
      <c r="I696" s="37">
        <v>0.6659722222222222</v>
      </c>
      <c r="J696" s="37">
        <v>0.7194444444444444</v>
      </c>
      <c r="K696" s="38">
        <f t="shared" si="13"/>
        <v>0.05347222222</v>
      </c>
      <c r="L696" s="39" t="str">
        <f t="shared" si="2"/>
        <v>Day</v>
      </c>
      <c r="M696" s="39" t="str">
        <f t="array" ref="M696">XLOOKUP(D696,'Category dict'!$B$1:$B$4,'Category dict'!$A$1:$A$4,0,0,1)</f>
        <v>Business</v>
      </c>
      <c r="N696" s="39" t="str">
        <f>VLOOKUP(H696,'Purpose dict'!$A$1:$B$12,2,0)</f>
        <v>NOT DEFINED</v>
      </c>
    </row>
    <row r="697" hidden="1">
      <c r="A697" s="3" t="s">
        <v>913</v>
      </c>
      <c r="B697" s="34">
        <v>42604.83194444444</v>
      </c>
      <c r="C697" s="34">
        <v>42604.868055555555</v>
      </c>
      <c r="D697" s="35">
        <v>423.0</v>
      </c>
      <c r="E697" s="3" t="s">
        <v>208</v>
      </c>
      <c r="F697" s="3" t="s">
        <v>243</v>
      </c>
      <c r="G697" s="36">
        <v>7.9</v>
      </c>
      <c r="H697" s="35">
        <v>123.0</v>
      </c>
      <c r="I697" s="37">
        <v>0.8319444444444445</v>
      </c>
      <c r="J697" s="37">
        <v>0.8680555555555556</v>
      </c>
      <c r="K697" s="38">
        <f t="shared" si="13"/>
        <v>0.03611111111</v>
      </c>
      <c r="L697" s="39" t="str">
        <f t="shared" si="2"/>
        <v>Evening</v>
      </c>
      <c r="M697" s="39" t="str">
        <f t="array" ref="M697">XLOOKUP(D697,'Category dict'!$B$1:$B$4,'Category dict'!$A$1:$A$4,0,0,1)</f>
        <v>Business</v>
      </c>
      <c r="N697" s="39" t="str">
        <f>VLOOKUP(H697,'Purpose dict'!$A$1:$B$12,2,0)</f>
        <v>NOT DEFINED</v>
      </c>
    </row>
    <row r="698" hidden="1">
      <c r="A698" s="3" t="s">
        <v>914</v>
      </c>
      <c r="B698" s="34">
        <v>42604.87013888889</v>
      </c>
      <c r="C698" s="34">
        <v>42604.896527777775</v>
      </c>
      <c r="D698" s="35">
        <v>423.0</v>
      </c>
      <c r="E698" s="3" t="s">
        <v>243</v>
      </c>
      <c r="F698" s="3" t="s">
        <v>243</v>
      </c>
      <c r="G698" s="36">
        <v>4.1</v>
      </c>
      <c r="H698" s="35">
        <v>123.0</v>
      </c>
      <c r="I698" s="37">
        <v>0.8701388888888889</v>
      </c>
      <c r="J698" s="37">
        <v>0.8965277777777778</v>
      </c>
      <c r="K698" s="38">
        <f t="shared" si="13"/>
        <v>0.02638888889</v>
      </c>
      <c r="L698" s="39" t="str">
        <f t="shared" si="2"/>
        <v>Evening</v>
      </c>
      <c r="M698" s="39" t="str">
        <f t="array" ref="M698">XLOOKUP(D698,'Category dict'!$B$1:$B$4,'Category dict'!$A$1:$A$4,0,0,1)</f>
        <v>Business</v>
      </c>
      <c r="N698" s="39" t="str">
        <f>VLOOKUP(H698,'Purpose dict'!$A$1:$B$12,2,0)</f>
        <v>NOT DEFINED</v>
      </c>
    </row>
    <row r="699" hidden="1">
      <c r="A699" s="3" t="s">
        <v>915</v>
      </c>
      <c r="B699" s="34">
        <v>42604.93819444445</v>
      </c>
      <c r="C699" s="34">
        <v>42604.958333333336</v>
      </c>
      <c r="D699" s="35">
        <v>423.0</v>
      </c>
      <c r="E699" s="3" t="s">
        <v>243</v>
      </c>
      <c r="F699" s="3" t="s">
        <v>208</v>
      </c>
      <c r="G699" s="36">
        <v>18.7</v>
      </c>
      <c r="H699" s="35">
        <v>123.0</v>
      </c>
      <c r="I699" s="37">
        <v>0.9381944444444444</v>
      </c>
      <c r="J699" s="37">
        <v>0.9583333333333334</v>
      </c>
      <c r="K699" s="38">
        <f t="shared" si="13"/>
        <v>0.02013888889</v>
      </c>
      <c r="L699" s="39" t="str">
        <f t="shared" si="2"/>
        <v>Evening</v>
      </c>
      <c r="M699" s="39" t="str">
        <f t="array" ref="M699">XLOOKUP(D699,'Category dict'!$B$1:$B$4,'Category dict'!$A$1:$A$4,0,0,1)</f>
        <v>Business</v>
      </c>
      <c r="N699" s="39" t="str">
        <f>VLOOKUP(H699,'Purpose dict'!$A$1:$B$12,2,0)</f>
        <v>NOT DEFINED</v>
      </c>
    </row>
    <row r="700" hidden="1">
      <c r="A700" s="3" t="s">
        <v>916</v>
      </c>
      <c r="B700" s="34">
        <v>42605.34027777778</v>
      </c>
      <c r="C700" s="34">
        <v>42605.350694444445</v>
      </c>
      <c r="D700" s="35">
        <v>423.0</v>
      </c>
      <c r="E700" s="3" t="s">
        <v>208</v>
      </c>
      <c r="F700" s="3" t="s">
        <v>256</v>
      </c>
      <c r="G700" s="36">
        <v>8.7</v>
      </c>
      <c r="H700" s="35">
        <v>123.0</v>
      </c>
      <c r="I700" s="37">
        <v>0.3402777777777778</v>
      </c>
      <c r="J700" s="37">
        <v>0.3506944444444444</v>
      </c>
      <c r="K700" s="38">
        <f t="shared" si="13"/>
        <v>0.01041666667</v>
      </c>
      <c r="L700" s="39" t="str">
        <f t="shared" si="2"/>
        <v>Morning</v>
      </c>
      <c r="M700" s="39" t="str">
        <f t="array" ref="M700">XLOOKUP(D700,'Category dict'!$B$1:$B$4,'Category dict'!$A$1:$A$4,0,0,1)</f>
        <v>Business</v>
      </c>
      <c r="N700" s="39" t="str">
        <f>VLOOKUP(H700,'Purpose dict'!$A$1:$B$12,2,0)</f>
        <v>NOT DEFINED</v>
      </c>
    </row>
    <row r="701" hidden="1">
      <c r="A701" s="3" t="s">
        <v>917</v>
      </c>
      <c r="B701" s="34">
        <v>42605.399305555555</v>
      </c>
      <c r="C701" s="34">
        <v>42605.42291666667</v>
      </c>
      <c r="D701" s="35">
        <v>423.0</v>
      </c>
      <c r="E701" s="3" t="s">
        <v>256</v>
      </c>
      <c r="F701" s="3" t="s">
        <v>208</v>
      </c>
      <c r="G701" s="36">
        <v>7.5</v>
      </c>
      <c r="H701" s="35">
        <v>123.0</v>
      </c>
      <c r="I701" s="37">
        <v>0.3993055555555556</v>
      </c>
      <c r="J701" s="37">
        <v>0.42291666666666666</v>
      </c>
      <c r="K701" s="38">
        <f t="shared" si="13"/>
        <v>0.02361111111</v>
      </c>
      <c r="L701" s="39" t="str">
        <f t="shared" si="2"/>
        <v>Morning</v>
      </c>
      <c r="M701" s="39" t="str">
        <f t="array" ref="M701">XLOOKUP(D701,'Category dict'!$B$1:$B$4,'Category dict'!$A$1:$A$4,0,0,1)</f>
        <v>Business</v>
      </c>
      <c r="N701" s="39" t="str">
        <f>VLOOKUP(H701,'Purpose dict'!$A$1:$B$12,2,0)</f>
        <v>NOT DEFINED</v>
      </c>
    </row>
    <row r="702" hidden="1">
      <c r="A702" s="3" t="s">
        <v>918</v>
      </c>
      <c r="B702" s="34">
        <v>42605.540972222225</v>
      </c>
      <c r="C702" s="34">
        <v>42605.552083333336</v>
      </c>
      <c r="D702" s="35">
        <v>423.0</v>
      </c>
      <c r="E702" s="3" t="s">
        <v>208</v>
      </c>
      <c r="F702" s="3" t="s">
        <v>256</v>
      </c>
      <c r="G702" s="36">
        <v>7.7</v>
      </c>
      <c r="H702" s="35">
        <v>123.0</v>
      </c>
      <c r="I702" s="37">
        <v>0.5409722222222222</v>
      </c>
      <c r="J702" s="37">
        <v>0.5520833333333334</v>
      </c>
      <c r="K702" s="38">
        <f t="shared" si="13"/>
        <v>0.01111111111</v>
      </c>
      <c r="L702" s="39" t="str">
        <f t="shared" si="2"/>
        <v>Day</v>
      </c>
      <c r="M702" s="39" t="str">
        <f t="array" ref="M702">XLOOKUP(D702,'Category dict'!$B$1:$B$4,'Category dict'!$A$1:$A$4,0,0,1)</f>
        <v>Business</v>
      </c>
      <c r="N702" s="39" t="str">
        <f>VLOOKUP(H702,'Purpose dict'!$A$1:$B$12,2,0)</f>
        <v>NOT DEFINED</v>
      </c>
    </row>
    <row r="703" hidden="1">
      <c r="A703" s="3" t="s">
        <v>919</v>
      </c>
      <c r="B703" s="34">
        <v>42605.55486111111</v>
      </c>
      <c r="C703" s="34">
        <v>42605.5625</v>
      </c>
      <c r="D703" s="35">
        <v>423.0</v>
      </c>
      <c r="E703" s="3" t="s">
        <v>256</v>
      </c>
      <c r="F703" s="3" t="s">
        <v>225</v>
      </c>
      <c r="G703" s="36">
        <v>4.4</v>
      </c>
      <c r="H703" s="35">
        <v>123.0</v>
      </c>
      <c r="I703" s="37">
        <v>0.5548611111111111</v>
      </c>
      <c r="J703" s="37">
        <v>0.5625</v>
      </c>
      <c r="K703" s="38">
        <f t="shared" si="13"/>
        <v>0.007638888889</v>
      </c>
      <c r="L703" s="39" t="str">
        <f t="shared" si="2"/>
        <v>Day</v>
      </c>
      <c r="M703" s="39" t="str">
        <f t="array" ref="M703">XLOOKUP(D703,'Category dict'!$B$1:$B$4,'Category dict'!$A$1:$A$4,0,0,1)</f>
        <v>Business</v>
      </c>
      <c r="N703" s="39" t="str">
        <f>VLOOKUP(H703,'Purpose dict'!$A$1:$B$12,2,0)</f>
        <v>NOT DEFINED</v>
      </c>
    </row>
    <row r="704" hidden="1">
      <c r="A704" s="3" t="s">
        <v>920</v>
      </c>
      <c r="B704" s="34">
        <v>42605.575694444444</v>
      </c>
      <c r="C704" s="34">
        <v>42605.58611111111</v>
      </c>
      <c r="D704" s="35">
        <v>423.0</v>
      </c>
      <c r="E704" s="3" t="s">
        <v>225</v>
      </c>
      <c r="F704" s="3" t="s">
        <v>208</v>
      </c>
      <c r="G704" s="36">
        <v>5.0</v>
      </c>
      <c r="H704" s="35">
        <v>123.0</v>
      </c>
      <c r="I704" s="37">
        <v>0.5756944444444444</v>
      </c>
      <c r="J704" s="37">
        <v>0.5861111111111111</v>
      </c>
      <c r="K704" s="38">
        <f t="shared" si="13"/>
        <v>0.01041666667</v>
      </c>
      <c r="L704" s="39" t="str">
        <f t="shared" si="2"/>
        <v>Day</v>
      </c>
      <c r="M704" s="39" t="str">
        <f t="array" ref="M704">XLOOKUP(D704,'Category dict'!$B$1:$B$4,'Category dict'!$A$1:$A$4,0,0,1)</f>
        <v>Business</v>
      </c>
      <c r="N704" s="39" t="str">
        <f>VLOOKUP(H704,'Purpose dict'!$A$1:$B$12,2,0)</f>
        <v>NOT DEFINED</v>
      </c>
    </row>
    <row r="705" hidden="1">
      <c r="A705" s="3" t="s">
        <v>921</v>
      </c>
      <c r="B705" s="34">
        <v>42605.62986111111</v>
      </c>
      <c r="C705" s="34">
        <v>42605.63333333333</v>
      </c>
      <c r="D705" s="35">
        <v>423.0</v>
      </c>
      <c r="E705" s="3" t="s">
        <v>208</v>
      </c>
      <c r="F705" s="3" t="s">
        <v>208</v>
      </c>
      <c r="G705" s="36">
        <v>1.9</v>
      </c>
      <c r="H705" s="35">
        <v>123.0</v>
      </c>
      <c r="I705" s="37">
        <v>0.6298611111111111</v>
      </c>
      <c r="J705" s="37">
        <v>0.6333333333333333</v>
      </c>
      <c r="K705" s="38">
        <f t="shared" si="13"/>
        <v>0.003472222222</v>
      </c>
      <c r="L705" s="39" t="str">
        <f t="shared" si="2"/>
        <v>Day</v>
      </c>
      <c r="M705" s="39" t="str">
        <f t="array" ref="M705">XLOOKUP(D705,'Category dict'!$B$1:$B$4,'Category dict'!$A$1:$A$4,0,0,1)</f>
        <v>Business</v>
      </c>
      <c r="N705" s="39" t="str">
        <f>VLOOKUP(H705,'Purpose dict'!$A$1:$B$12,2,0)</f>
        <v>NOT DEFINED</v>
      </c>
    </row>
    <row r="706" hidden="1">
      <c r="A706" s="3" t="s">
        <v>922</v>
      </c>
      <c r="B706" s="34">
        <v>42605.635416666664</v>
      </c>
      <c r="C706" s="34">
        <v>42605.71944444445</v>
      </c>
      <c r="D706" s="35">
        <v>423.0</v>
      </c>
      <c r="E706" s="3" t="s">
        <v>208</v>
      </c>
      <c r="F706" s="3" t="s">
        <v>208</v>
      </c>
      <c r="G706" s="36">
        <v>7.9</v>
      </c>
      <c r="H706" s="35">
        <v>123.0</v>
      </c>
      <c r="I706" s="37">
        <v>0.6354166666666666</v>
      </c>
      <c r="J706" s="37">
        <v>0.7194444444444444</v>
      </c>
      <c r="K706" s="38">
        <f t="shared" si="13"/>
        <v>0.08402777778</v>
      </c>
      <c r="L706" s="39" t="str">
        <f t="shared" si="2"/>
        <v>Day</v>
      </c>
      <c r="M706" s="39" t="str">
        <f t="array" ref="M706">XLOOKUP(D706,'Category dict'!$B$1:$B$4,'Category dict'!$A$1:$A$4,0,0,1)</f>
        <v>Business</v>
      </c>
      <c r="N706" s="39" t="str">
        <f>VLOOKUP(H706,'Purpose dict'!$A$1:$B$12,2,0)</f>
        <v>NOT DEFINED</v>
      </c>
    </row>
    <row r="707" hidden="1">
      <c r="A707" s="3" t="s">
        <v>923</v>
      </c>
      <c r="B707" s="34">
        <v>42605.7375</v>
      </c>
      <c r="C707" s="34">
        <v>42605.771527777775</v>
      </c>
      <c r="D707" s="35">
        <v>423.0</v>
      </c>
      <c r="E707" s="3" t="s">
        <v>208</v>
      </c>
      <c r="F707" s="3" t="s">
        <v>208</v>
      </c>
      <c r="G707" s="36">
        <v>17.7</v>
      </c>
      <c r="H707" s="35">
        <v>123.0</v>
      </c>
      <c r="I707" s="37">
        <v>0.7375</v>
      </c>
      <c r="J707" s="37">
        <v>0.7715277777777778</v>
      </c>
      <c r="K707" s="38">
        <f t="shared" si="13"/>
        <v>0.03402777778</v>
      </c>
      <c r="L707" s="39" t="str">
        <f t="shared" si="2"/>
        <v>Day</v>
      </c>
      <c r="M707" s="39" t="str">
        <f t="array" ref="M707">XLOOKUP(D707,'Category dict'!$B$1:$B$4,'Category dict'!$A$1:$A$4,0,0,1)</f>
        <v>Business</v>
      </c>
      <c r="N707" s="39" t="str">
        <f>VLOOKUP(H707,'Purpose dict'!$A$1:$B$12,2,0)</f>
        <v>NOT DEFINED</v>
      </c>
    </row>
    <row r="708" hidden="1">
      <c r="A708" s="3" t="s">
        <v>924</v>
      </c>
      <c r="B708" s="34">
        <v>42606.50347222222</v>
      </c>
      <c r="C708" s="34">
        <v>42606.53888888889</v>
      </c>
      <c r="D708" s="35">
        <v>423.0</v>
      </c>
      <c r="E708" s="3" t="s">
        <v>208</v>
      </c>
      <c r="F708" s="3" t="s">
        <v>208</v>
      </c>
      <c r="G708" s="36">
        <v>25.2</v>
      </c>
      <c r="H708" s="35">
        <v>123.0</v>
      </c>
      <c r="I708" s="37">
        <v>0.5034722222222222</v>
      </c>
      <c r="J708" s="37">
        <v>0.5388888888888889</v>
      </c>
      <c r="K708" s="38">
        <f t="shared" si="13"/>
        <v>0.03541666667</v>
      </c>
      <c r="L708" s="39" t="str">
        <f t="shared" si="2"/>
        <v>Day</v>
      </c>
      <c r="M708" s="39" t="str">
        <f t="array" ref="M708">XLOOKUP(D708,'Category dict'!$B$1:$B$4,'Category dict'!$A$1:$A$4,0,0,1)</f>
        <v>Business</v>
      </c>
      <c r="N708" s="39" t="str">
        <f>VLOOKUP(H708,'Purpose dict'!$A$1:$B$12,2,0)</f>
        <v>NOT DEFINED</v>
      </c>
    </row>
    <row r="709" hidden="1">
      <c r="A709" s="3" t="s">
        <v>925</v>
      </c>
      <c r="B709" s="34">
        <v>42606.54236111111</v>
      </c>
      <c r="C709" s="34">
        <v>42606.64236111111</v>
      </c>
      <c r="D709" s="35">
        <v>423.0</v>
      </c>
      <c r="E709" s="3" t="s">
        <v>208</v>
      </c>
      <c r="F709" s="3" t="s">
        <v>208</v>
      </c>
      <c r="G709" s="36">
        <v>96.2</v>
      </c>
      <c r="H709" s="35">
        <v>123.0</v>
      </c>
      <c r="I709" s="37">
        <v>0.5423611111111111</v>
      </c>
      <c r="J709" s="37">
        <v>0.6423611111111112</v>
      </c>
      <c r="K709" s="38">
        <f t="shared" si="13"/>
        <v>0.1</v>
      </c>
      <c r="L709" s="39" t="str">
        <f t="shared" si="2"/>
        <v>Day</v>
      </c>
      <c r="M709" s="39" t="str">
        <f t="array" ref="M709">XLOOKUP(D709,'Category dict'!$B$1:$B$4,'Category dict'!$A$1:$A$4,0,0,1)</f>
        <v>Business</v>
      </c>
      <c r="N709" s="39" t="str">
        <f>VLOOKUP(H709,'Purpose dict'!$A$1:$B$12,2,0)</f>
        <v>NOT DEFINED</v>
      </c>
    </row>
    <row r="710" hidden="1">
      <c r="A710" s="3" t="s">
        <v>926</v>
      </c>
      <c r="B710" s="34">
        <v>42607.63680555556</v>
      </c>
      <c r="C710" s="34">
        <v>42607.68194444444</v>
      </c>
      <c r="D710" s="35">
        <v>423.0</v>
      </c>
      <c r="E710" s="3" t="s">
        <v>208</v>
      </c>
      <c r="F710" s="3" t="s">
        <v>208</v>
      </c>
      <c r="G710" s="36">
        <v>35.0</v>
      </c>
      <c r="H710" s="35">
        <v>123.0</v>
      </c>
      <c r="I710" s="37">
        <v>0.6368055555555555</v>
      </c>
      <c r="J710" s="37">
        <v>0.6819444444444445</v>
      </c>
      <c r="K710" s="38">
        <f t="shared" si="13"/>
        <v>0.04513888889</v>
      </c>
      <c r="L710" s="39" t="str">
        <f t="shared" si="2"/>
        <v>Day</v>
      </c>
      <c r="M710" s="39" t="str">
        <f t="array" ref="M710">XLOOKUP(D710,'Category dict'!$B$1:$B$4,'Category dict'!$A$1:$A$4,0,0,1)</f>
        <v>Business</v>
      </c>
      <c r="N710" s="39" t="str">
        <f>VLOOKUP(H710,'Purpose dict'!$A$1:$B$12,2,0)</f>
        <v>NOT DEFINED</v>
      </c>
    </row>
    <row r="711" hidden="1">
      <c r="A711" s="3" t="s">
        <v>927</v>
      </c>
      <c r="B711" s="34">
        <v>42607.691666666666</v>
      </c>
      <c r="C711" s="34">
        <v>42607.705555555556</v>
      </c>
      <c r="D711" s="35">
        <v>423.0</v>
      </c>
      <c r="E711" s="3" t="s">
        <v>208</v>
      </c>
      <c r="F711" s="3" t="s">
        <v>208</v>
      </c>
      <c r="G711" s="36">
        <v>5.5</v>
      </c>
      <c r="H711" s="35">
        <v>123.0</v>
      </c>
      <c r="I711" s="37">
        <v>0.6916666666666667</v>
      </c>
      <c r="J711" s="37">
        <v>0.7055555555555556</v>
      </c>
      <c r="K711" s="38">
        <f t="shared" si="13"/>
        <v>0.01388888889</v>
      </c>
      <c r="L711" s="39" t="str">
        <f t="shared" si="2"/>
        <v>Day</v>
      </c>
      <c r="M711" s="39" t="str">
        <f t="array" ref="M711">XLOOKUP(D711,'Category dict'!$B$1:$B$4,'Category dict'!$A$1:$A$4,0,0,1)</f>
        <v>Business</v>
      </c>
      <c r="N711" s="39" t="str">
        <f>VLOOKUP(H711,'Purpose dict'!$A$1:$B$12,2,0)</f>
        <v>NOT DEFINED</v>
      </c>
    </row>
    <row r="712" hidden="1">
      <c r="A712" s="3" t="s">
        <v>928</v>
      </c>
      <c r="B712" s="34">
        <v>42607.72152777778</v>
      </c>
      <c r="C712" s="34">
        <v>42607.805555555555</v>
      </c>
      <c r="D712" s="35">
        <v>423.0</v>
      </c>
      <c r="E712" s="3" t="s">
        <v>208</v>
      </c>
      <c r="F712" s="3" t="s">
        <v>208</v>
      </c>
      <c r="G712" s="36">
        <v>50.4</v>
      </c>
      <c r="H712" s="35">
        <v>123.0</v>
      </c>
      <c r="I712" s="37">
        <v>0.7215277777777778</v>
      </c>
      <c r="J712" s="37">
        <v>0.8055555555555556</v>
      </c>
      <c r="K712" s="38">
        <f t="shared" si="13"/>
        <v>0.08402777778</v>
      </c>
      <c r="L712" s="39" t="str">
        <f t="shared" si="2"/>
        <v>Day</v>
      </c>
      <c r="M712" s="39" t="str">
        <f t="array" ref="M712">XLOOKUP(D712,'Category dict'!$B$1:$B$4,'Category dict'!$A$1:$A$4,0,0,1)</f>
        <v>Business</v>
      </c>
      <c r="N712" s="39" t="str">
        <f>VLOOKUP(H712,'Purpose dict'!$A$1:$B$12,2,0)</f>
        <v>NOT DEFINED</v>
      </c>
    </row>
    <row r="713" hidden="1">
      <c r="A713" s="3" t="s">
        <v>929</v>
      </c>
      <c r="B713" s="34">
        <v>42607.80902777778</v>
      </c>
      <c r="C713" s="34">
        <v>42607.83125</v>
      </c>
      <c r="D713" s="35">
        <v>423.0</v>
      </c>
      <c r="E713" s="3" t="s">
        <v>208</v>
      </c>
      <c r="F713" s="3" t="s">
        <v>930</v>
      </c>
      <c r="G713" s="36">
        <v>9.2</v>
      </c>
      <c r="H713" s="35">
        <v>123.0</v>
      </c>
      <c r="I713" s="37">
        <v>0.8090277777777778</v>
      </c>
      <c r="J713" s="37">
        <v>0.83125</v>
      </c>
      <c r="K713" s="38">
        <f t="shared" si="13"/>
        <v>0.02222222222</v>
      </c>
      <c r="L713" s="39" t="str">
        <f t="shared" si="2"/>
        <v>Evening</v>
      </c>
      <c r="M713" s="39" t="str">
        <f t="array" ref="M713">XLOOKUP(D713,'Category dict'!$B$1:$B$4,'Category dict'!$A$1:$A$4,0,0,1)</f>
        <v>Business</v>
      </c>
      <c r="N713" s="39" t="str">
        <f>VLOOKUP(H713,'Purpose dict'!$A$1:$B$12,2,0)</f>
        <v>NOT DEFINED</v>
      </c>
    </row>
    <row r="714" hidden="1">
      <c r="A714" s="3" t="s">
        <v>931</v>
      </c>
      <c r="B714" s="34">
        <v>42607.95694444444</v>
      </c>
      <c r="C714" s="34">
        <v>42607.96944444445</v>
      </c>
      <c r="D714" s="35">
        <v>423.0</v>
      </c>
      <c r="E714" s="3" t="s">
        <v>930</v>
      </c>
      <c r="F714" s="3" t="s">
        <v>208</v>
      </c>
      <c r="G714" s="36">
        <v>7.3</v>
      </c>
      <c r="H714" s="35">
        <v>123.0</v>
      </c>
      <c r="I714" s="37">
        <v>0.9569444444444445</v>
      </c>
      <c r="J714" s="37">
        <v>0.9694444444444444</v>
      </c>
      <c r="K714" s="38">
        <f t="shared" si="13"/>
        <v>0.0125</v>
      </c>
      <c r="L714" s="39" t="str">
        <f t="shared" si="2"/>
        <v>Evening</v>
      </c>
      <c r="M714" s="39" t="str">
        <f t="array" ref="M714">XLOOKUP(D714,'Category dict'!$B$1:$B$4,'Category dict'!$A$1:$A$4,0,0,1)</f>
        <v>Business</v>
      </c>
      <c r="N714" s="39" t="str">
        <f>VLOOKUP(H714,'Purpose dict'!$A$1:$B$12,2,0)</f>
        <v>NOT DEFINED</v>
      </c>
    </row>
    <row r="715" hidden="1">
      <c r="A715" s="3" t="s">
        <v>932</v>
      </c>
      <c r="B715" s="34">
        <v>42608.379166666666</v>
      </c>
      <c r="C715" s="34">
        <v>42608.38888888889</v>
      </c>
      <c r="D715" s="35">
        <v>423.0</v>
      </c>
      <c r="E715" s="3" t="s">
        <v>208</v>
      </c>
      <c r="F715" s="3" t="s">
        <v>208</v>
      </c>
      <c r="G715" s="36">
        <v>5.0</v>
      </c>
      <c r="H715" s="35">
        <v>123.0</v>
      </c>
      <c r="I715" s="37">
        <v>0.37916666666666665</v>
      </c>
      <c r="J715" s="37">
        <v>0.3888888888888889</v>
      </c>
      <c r="K715" s="38">
        <f t="shared" si="13"/>
        <v>0.009722222222</v>
      </c>
      <c r="L715" s="39" t="str">
        <f t="shared" si="2"/>
        <v>Morning</v>
      </c>
      <c r="M715" s="39" t="str">
        <f t="array" ref="M715">XLOOKUP(D715,'Category dict'!$B$1:$B$4,'Category dict'!$A$1:$A$4,0,0,1)</f>
        <v>Business</v>
      </c>
      <c r="N715" s="39" t="str">
        <f>VLOOKUP(H715,'Purpose dict'!$A$1:$B$12,2,0)</f>
        <v>NOT DEFINED</v>
      </c>
    </row>
    <row r="716" hidden="1">
      <c r="A716" s="3" t="s">
        <v>933</v>
      </c>
      <c r="B716" s="34">
        <v>42608.46805555555</v>
      </c>
      <c r="C716" s="34">
        <v>42608.47638888889</v>
      </c>
      <c r="D716" s="35">
        <v>423.0</v>
      </c>
      <c r="E716" s="3" t="s">
        <v>208</v>
      </c>
      <c r="F716" s="3" t="s">
        <v>208</v>
      </c>
      <c r="G716" s="36">
        <v>3.8</v>
      </c>
      <c r="H716" s="35">
        <v>123.0</v>
      </c>
      <c r="I716" s="37">
        <v>0.46805555555555556</v>
      </c>
      <c r="J716" s="37">
        <v>0.47638888888888886</v>
      </c>
      <c r="K716" s="38">
        <f t="shared" si="13"/>
        <v>0.008333333333</v>
      </c>
      <c r="L716" s="39" t="str">
        <f t="shared" si="2"/>
        <v>Morning</v>
      </c>
      <c r="M716" s="39" t="str">
        <f t="array" ref="M716">XLOOKUP(D716,'Category dict'!$B$1:$B$4,'Category dict'!$A$1:$A$4,0,0,1)</f>
        <v>Business</v>
      </c>
      <c r="N716" s="39" t="str">
        <f>VLOOKUP(H716,'Purpose dict'!$A$1:$B$12,2,0)</f>
        <v>NOT DEFINED</v>
      </c>
    </row>
    <row r="717" hidden="1">
      <c r="A717" s="3" t="s">
        <v>934</v>
      </c>
      <c r="B717" s="34">
        <v>42608.506944444445</v>
      </c>
      <c r="C717" s="34">
        <v>42608.51388888889</v>
      </c>
      <c r="D717" s="35">
        <v>423.0</v>
      </c>
      <c r="E717" s="3" t="s">
        <v>208</v>
      </c>
      <c r="F717" s="3" t="s">
        <v>930</v>
      </c>
      <c r="G717" s="36">
        <v>3.9</v>
      </c>
      <c r="H717" s="35">
        <v>123.0</v>
      </c>
      <c r="I717" s="37">
        <v>0.5069444444444444</v>
      </c>
      <c r="J717" s="37">
        <v>0.5138888888888888</v>
      </c>
      <c r="K717" s="38">
        <f t="shared" si="13"/>
        <v>0.006944444444</v>
      </c>
      <c r="L717" s="39" t="str">
        <f t="shared" si="2"/>
        <v>Day</v>
      </c>
      <c r="M717" s="39" t="str">
        <f t="array" ref="M717">XLOOKUP(D717,'Category dict'!$B$1:$B$4,'Category dict'!$A$1:$A$4,0,0,1)</f>
        <v>Business</v>
      </c>
      <c r="N717" s="39" t="str">
        <f>VLOOKUP(H717,'Purpose dict'!$A$1:$B$12,2,0)</f>
        <v>NOT DEFINED</v>
      </c>
    </row>
    <row r="718" hidden="1">
      <c r="A718" s="3" t="s">
        <v>935</v>
      </c>
      <c r="B718" s="34">
        <v>42608.59027777778</v>
      </c>
      <c r="C718" s="34">
        <v>42608.60625</v>
      </c>
      <c r="D718" s="35">
        <v>423.0</v>
      </c>
      <c r="E718" s="3" t="s">
        <v>930</v>
      </c>
      <c r="F718" s="3" t="s">
        <v>930</v>
      </c>
      <c r="G718" s="36">
        <v>7.4</v>
      </c>
      <c r="H718" s="35">
        <v>123.0</v>
      </c>
      <c r="I718" s="37">
        <v>0.5902777777777778</v>
      </c>
      <c r="J718" s="37">
        <v>0.60625</v>
      </c>
      <c r="K718" s="38">
        <f t="shared" si="13"/>
        <v>0.01597222222</v>
      </c>
      <c r="L718" s="39" t="str">
        <f t="shared" si="2"/>
        <v>Day</v>
      </c>
      <c r="M718" s="39" t="str">
        <f t="array" ref="M718">XLOOKUP(D718,'Category dict'!$B$1:$B$4,'Category dict'!$A$1:$A$4,0,0,1)</f>
        <v>Business</v>
      </c>
      <c r="N718" s="39" t="str">
        <f>VLOOKUP(H718,'Purpose dict'!$A$1:$B$12,2,0)</f>
        <v>NOT DEFINED</v>
      </c>
    </row>
    <row r="719">
      <c r="A719" s="3" t="s">
        <v>936</v>
      </c>
      <c r="B719" s="34">
        <v>42608.64097222222</v>
      </c>
      <c r="C719" s="34">
        <v>42608.649305555555</v>
      </c>
      <c r="D719" s="35">
        <v>423.0</v>
      </c>
      <c r="E719" s="3" t="s">
        <v>930</v>
      </c>
      <c r="F719" s="3" t="s">
        <v>930</v>
      </c>
      <c r="G719" s="40">
        <v>1.5</v>
      </c>
      <c r="H719" s="35">
        <v>123.0</v>
      </c>
      <c r="I719" s="37">
        <v>0.6409722222222223</v>
      </c>
      <c r="J719" s="37">
        <v>0.6493055555555556</v>
      </c>
      <c r="K719" s="38">
        <f t="shared" si="13"/>
        <v>0.008333333333</v>
      </c>
      <c r="L719" s="39" t="str">
        <f t="shared" si="2"/>
        <v>Day</v>
      </c>
      <c r="M719" s="39" t="str">
        <f t="array" ref="M719">XLOOKUP(D719,'Category dict'!$B$1:$B$4,'Category dict'!$A$1:$A$4,0,0,1)</f>
        <v>Business</v>
      </c>
      <c r="N719" s="39" t="str">
        <f>VLOOKUP(H719,'Purpose dict'!$A$1:$B$12,2,0)</f>
        <v>NOT DEFINED</v>
      </c>
    </row>
    <row r="720" hidden="1">
      <c r="A720" s="3" t="s">
        <v>937</v>
      </c>
      <c r="B720" s="34">
        <v>42608.665972222225</v>
      </c>
      <c r="C720" s="34">
        <v>42608.683333333334</v>
      </c>
      <c r="D720" s="35">
        <v>423.0</v>
      </c>
      <c r="E720" s="3" t="s">
        <v>930</v>
      </c>
      <c r="F720" s="3" t="s">
        <v>208</v>
      </c>
      <c r="G720" s="36">
        <v>7.9</v>
      </c>
      <c r="H720" s="35">
        <v>123.0</v>
      </c>
      <c r="I720" s="37">
        <v>0.6659722222222222</v>
      </c>
      <c r="J720" s="37">
        <v>0.6833333333333333</v>
      </c>
      <c r="K720" s="38">
        <f t="shared" si="13"/>
        <v>0.01736111111</v>
      </c>
      <c r="L720" s="39" t="str">
        <f t="shared" si="2"/>
        <v>Day</v>
      </c>
      <c r="M720" s="39" t="str">
        <f t="array" ref="M720">XLOOKUP(D720,'Category dict'!$B$1:$B$4,'Category dict'!$A$1:$A$4,0,0,1)</f>
        <v>Business</v>
      </c>
      <c r="N720" s="39" t="str">
        <f>VLOOKUP(H720,'Purpose dict'!$A$1:$B$12,2,0)</f>
        <v>NOT DEFINED</v>
      </c>
    </row>
    <row r="721" hidden="1">
      <c r="A721" s="3" t="s">
        <v>938</v>
      </c>
      <c r="B721" s="34">
        <v>42608.70486111111</v>
      </c>
      <c r="C721" s="34">
        <v>42608.71666666667</v>
      </c>
      <c r="D721" s="35">
        <v>423.0</v>
      </c>
      <c r="E721" s="3" t="s">
        <v>208</v>
      </c>
      <c r="F721" s="3" t="s">
        <v>930</v>
      </c>
      <c r="G721" s="36">
        <v>2.9</v>
      </c>
      <c r="H721" s="35">
        <v>123.0</v>
      </c>
      <c r="I721" s="37">
        <v>0.7048611111111112</v>
      </c>
      <c r="J721" s="37">
        <v>0.7166666666666667</v>
      </c>
      <c r="K721" s="38">
        <f t="shared" si="13"/>
        <v>0.01180555556</v>
      </c>
      <c r="L721" s="39" t="str">
        <f t="shared" si="2"/>
        <v>Day</v>
      </c>
      <c r="M721" s="39" t="str">
        <f t="array" ref="M721">XLOOKUP(D721,'Category dict'!$B$1:$B$4,'Category dict'!$A$1:$A$4,0,0,1)</f>
        <v>Business</v>
      </c>
      <c r="N721" s="39" t="str">
        <f>VLOOKUP(H721,'Purpose dict'!$A$1:$B$12,2,0)</f>
        <v>NOT DEFINED</v>
      </c>
    </row>
    <row r="722" hidden="1">
      <c r="A722" s="3" t="s">
        <v>939</v>
      </c>
      <c r="B722" s="34">
        <v>42608.77916666667</v>
      </c>
      <c r="C722" s="34">
        <v>42608.78888888889</v>
      </c>
      <c r="D722" s="35">
        <v>423.0</v>
      </c>
      <c r="E722" s="3" t="s">
        <v>930</v>
      </c>
      <c r="F722" s="3" t="s">
        <v>930</v>
      </c>
      <c r="G722" s="36">
        <v>3.4</v>
      </c>
      <c r="H722" s="35">
        <v>123.0</v>
      </c>
      <c r="I722" s="37">
        <v>0.7791666666666667</v>
      </c>
      <c r="J722" s="37">
        <v>0.7888888888888889</v>
      </c>
      <c r="K722" s="38">
        <f t="shared" si="13"/>
        <v>0.009722222222</v>
      </c>
      <c r="L722" s="39" t="str">
        <f t="shared" si="2"/>
        <v>Evening</v>
      </c>
      <c r="M722" s="39" t="str">
        <f t="array" ref="M722">XLOOKUP(D722,'Category dict'!$B$1:$B$4,'Category dict'!$A$1:$A$4,0,0,1)</f>
        <v>Business</v>
      </c>
      <c r="N722" s="39" t="str">
        <f>VLOOKUP(H722,'Purpose dict'!$A$1:$B$12,2,0)</f>
        <v>NOT DEFINED</v>
      </c>
    </row>
    <row r="723" hidden="1">
      <c r="A723" s="3" t="s">
        <v>940</v>
      </c>
      <c r="B723" s="34">
        <v>42608.81319444445</v>
      </c>
      <c r="C723" s="34">
        <v>42608.82916666667</v>
      </c>
      <c r="D723" s="35">
        <v>423.0</v>
      </c>
      <c r="E723" s="3" t="s">
        <v>930</v>
      </c>
      <c r="F723" s="3" t="s">
        <v>930</v>
      </c>
      <c r="G723" s="36">
        <v>3.8</v>
      </c>
      <c r="H723" s="35">
        <v>123.0</v>
      </c>
      <c r="I723" s="37">
        <v>0.8131944444444444</v>
      </c>
      <c r="J723" s="37">
        <v>0.8291666666666667</v>
      </c>
      <c r="K723" s="38">
        <f t="shared" si="13"/>
        <v>0.01597222222</v>
      </c>
      <c r="L723" s="39" t="str">
        <f t="shared" si="2"/>
        <v>Evening</v>
      </c>
      <c r="M723" s="39" t="str">
        <f t="array" ref="M723">XLOOKUP(D723,'Category dict'!$B$1:$B$4,'Category dict'!$A$1:$A$4,0,0,1)</f>
        <v>Business</v>
      </c>
      <c r="N723" s="39" t="str">
        <f>VLOOKUP(H723,'Purpose dict'!$A$1:$B$12,2,0)</f>
        <v>NOT DEFINED</v>
      </c>
    </row>
    <row r="724" hidden="1">
      <c r="A724" s="3" t="s">
        <v>941</v>
      </c>
      <c r="B724" s="34">
        <v>42608.8375</v>
      </c>
      <c r="C724" s="34">
        <v>42608.84444444445</v>
      </c>
      <c r="D724" s="35">
        <v>423.0</v>
      </c>
      <c r="E724" s="3" t="s">
        <v>930</v>
      </c>
      <c r="F724" s="3" t="s">
        <v>208</v>
      </c>
      <c r="G724" s="36">
        <v>5.9</v>
      </c>
      <c r="H724" s="35">
        <v>123.0</v>
      </c>
      <c r="I724" s="37">
        <v>0.8375</v>
      </c>
      <c r="J724" s="37">
        <v>0.8444444444444444</v>
      </c>
      <c r="K724" s="38">
        <f t="shared" si="13"/>
        <v>0.006944444444</v>
      </c>
      <c r="L724" s="39" t="str">
        <f t="shared" si="2"/>
        <v>Evening</v>
      </c>
      <c r="M724" s="39" t="str">
        <f t="array" ref="M724">XLOOKUP(D724,'Category dict'!$B$1:$B$4,'Category dict'!$A$1:$A$4,0,0,1)</f>
        <v>Business</v>
      </c>
      <c r="N724" s="39" t="str">
        <f>VLOOKUP(H724,'Purpose dict'!$A$1:$B$12,2,0)</f>
        <v>NOT DEFINED</v>
      </c>
    </row>
    <row r="725" hidden="1">
      <c r="A725" s="3" t="s">
        <v>942</v>
      </c>
      <c r="B725" s="34">
        <v>42609.39861111111</v>
      </c>
      <c r="C725" s="34">
        <v>42609.424305555556</v>
      </c>
      <c r="D725" s="35">
        <v>423.0</v>
      </c>
      <c r="E725" s="3" t="s">
        <v>208</v>
      </c>
      <c r="F725" s="3" t="s">
        <v>930</v>
      </c>
      <c r="G725" s="36">
        <v>9.6</v>
      </c>
      <c r="H725" s="35">
        <v>123.0</v>
      </c>
      <c r="I725" s="37">
        <v>0.39861111111111114</v>
      </c>
      <c r="J725" s="37">
        <v>0.42430555555555555</v>
      </c>
      <c r="K725" s="38">
        <f t="shared" si="13"/>
        <v>0.02569444444</v>
      </c>
      <c r="L725" s="39" t="str">
        <f t="shared" si="2"/>
        <v>Morning</v>
      </c>
      <c r="M725" s="39" t="str">
        <f t="array" ref="M725">XLOOKUP(D725,'Category dict'!$B$1:$B$4,'Category dict'!$A$1:$A$4,0,0,1)</f>
        <v>Business</v>
      </c>
      <c r="N725" s="39" t="str">
        <f>VLOOKUP(H725,'Purpose dict'!$A$1:$B$12,2,0)</f>
        <v>NOT DEFINED</v>
      </c>
    </row>
    <row r="726" hidden="1">
      <c r="A726" s="3" t="s">
        <v>943</v>
      </c>
      <c r="B726" s="34">
        <v>42609.49097222222</v>
      </c>
      <c r="C726" s="34">
        <v>42609.504166666666</v>
      </c>
      <c r="D726" s="35">
        <v>423.0</v>
      </c>
      <c r="E726" s="3" t="s">
        <v>930</v>
      </c>
      <c r="F726" s="3" t="s">
        <v>930</v>
      </c>
      <c r="G726" s="36">
        <v>7.0</v>
      </c>
      <c r="H726" s="35">
        <v>123.0</v>
      </c>
      <c r="I726" s="37">
        <v>0.4909722222222222</v>
      </c>
      <c r="J726" s="37">
        <v>0.5041666666666667</v>
      </c>
      <c r="K726" s="38">
        <f t="shared" si="13"/>
        <v>0.01319444444</v>
      </c>
      <c r="L726" s="39" t="str">
        <f t="shared" si="2"/>
        <v>Morning</v>
      </c>
      <c r="M726" s="39" t="str">
        <f t="array" ref="M726">XLOOKUP(D726,'Category dict'!$B$1:$B$4,'Category dict'!$A$1:$A$4,0,0,1)</f>
        <v>Business</v>
      </c>
      <c r="N726" s="39" t="str">
        <f>VLOOKUP(H726,'Purpose dict'!$A$1:$B$12,2,0)</f>
        <v>NOT DEFINED</v>
      </c>
    </row>
    <row r="727">
      <c r="A727" s="3" t="s">
        <v>944</v>
      </c>
      <c r="B727" s="34">
        <v>42609.50833333333</v>
      </c>
      <c r="C727" s="34">
        <v>42609.51180555556</v>
      </c>
      <c r="D727" s="35">
        <v>423.0</v>
      </c>
      <c r="E727" s="3" t="s">
        <v>930</v>
      </c>
      <c r="F727" s="3" t="s">
        <v>930</v>
      </c>
      <c r="G727" s="40">
        <v>0.9</v>
      </c>
      <c r="H727" s="35">
        <v>123.0</v>
      </c>
      <c r="I727" s="37">
        <v>0.5083333333333333</v>
      </c>
      <c r="J727" s="37">
        <v>0.5118055555555555</v>
      </c>
      <c r="K727" s="38">
        <f t="shared" si="13"/>
        <v>0.003472222222</v>
      </c>
      <c r="L727" s="39" t="str">
        <f t="shared" si="2"/>
        <v>Day</v>
      </c>
      <c r="M727" s="39" t="str">
        <f t="array" ref="M727">XLOOKUP(D727,'Category dict'!$B$1:$B$4,'Category dict'!$A$1:$A$4,0,0,1)</f>
        <v>Business</v>
      </c>
      <c r="N727" s="39" t="str">
        <f>VLOOKUP(H727,'Purpose dict'!$A$1:$B$12,2,0)</f>
        <v>NOT DEFINED</v>
      </c>
    </row>
    <row r="728" hidden="1">
      <c r="A728" s="3" t="s">
        <v>945</v>
      </c>
      <c r="B728" s="34">
        <v>42609.584027777775</v>
      </c>
      <c r="C728" s="34">
        <v>42609.65555555555</v>
      </c>
      <c r="D728" s="35">
        <v>423.0</v>
      </c>
      <c r="E728" s="3" t="s">
        <v>930</v>
      </c>
      <c r="F728" s="3" t="s">
        <v>208</v>
      </c>
      <c r="G728" s="36">
        <v>86.6</v>
      </c>
      <c r="H728" s="35">
        <v>123.0</v>
      </c>
      <c r="I728" s="37">
        <v>0.5840277777777778</v>
      </c>
      <c r="J728" s="37">
        <v>0.6555555555555556</v>
      </c>
      <c r="K728" s="38">
        <f t="shared" si="13"/>
        <v>0.07152777778</v>
      </c>
      <c r="L728" s="39" t="str">
        <f t="shared" si="2"/>
        <v>Day</v>
      </c>
      <c r="M728" s="39" t="str">
        <f t="array" ref="M728">XLOOKUP(D728,'Category dict'!$B$1:$B$4,'Category dict'!$A$1:$A$4,0,0,1)</f>
        <v>Business</v>
      </c>
      <c r="N728" s="39" t="str">
        <f>VLOOKUP(H728,'Purpose dict'!$A$1:$B$12,2,0)</f>
        <v>NOT DEFINED</v>
      </c>
    </row>
    <row r="729" hidden="1">
      <c r="A729" s="3" t="s">
        <v>946</v>
      </c>
      <c r="B729" s="34">
        <v>42609.677083333336</v>
      </c>
      <c r="C729" s="34">
        <v>42609.80069444444</v>
      </c>
      <c r="D729" s="35">
        <v>423.0</v>
      </c>
      <c r="E729" s="3" t="s">
        <v>208</v>
      </c>
      <c r="F729" s="3" t="s">
        <v>208</v>
      </c>
      <c r="G729" s="36">
        <v>156.9</v>
      </c>
      <c r="H729" s="35">
        <v>123.0</v>
      </c>
      <c r="I729" s="37">
        <v>0.6770833333333334</v>
      </c>
      <c r="J729" s="37">
        <v>0.8006944444444445</v>
      </c>
      <c r="K729" s="38">
        <f t="shared" si="13"/>
        <v>0.1236111111</v>
      </c>
      <c r="L729" s="39" t="str">
        <f t="shared" si="2"/>
        <v>Day</v>
      </c>
      <c r="M729" s="39" t="str">
        <f t="array" ref="M729">XLOOKUP(D729,'Category dict'!$B$1:$B$4,'Category dict'!$A$1:$A$4,0,0,1)</f>
        <v>Business</v>
      </c>
      <c r="N729" s="39" t="str">
        <f>VLOOKUP(H729,'Purpose dict'!$A$1:$B$12,2,0)</f>
        <v>NOT DEFINED</v>
      </c>
    </row>
    <row r="730" hidden="1">
      <c r="A730" s="3" t="s">
        <v>947</v>
      </c>
      <c r="B730" s="34">
        <v>42610.41458333333</v>
      </c>
      <c r="C730" s="34">
        <v>42610.42916666667</v>
      </c>
      <c r="D730" s="35">
        <v>423.0</v>
      </c>
      <c r="E730" s="3" t="s">
        <v>208</v>
      </c>
      <c r="F730" s="3" t="s">
        <v>256</v>
      </c>
      <c r="G730" s="36">
        <v>10.1</v>
      </c>
      <c r="H730" s="35">
        <v>123.0</v>
      </c>
      <c r="I730" s="37">
        <v>0.41458333333333336</v>
      </c>
      <c r="J730" s="37">
        <v>0.42916666666666664</v>
      </c>
      <c r="K730" s="38">
        <f t="shared" si="13"/>
        <v>0.01458333333</v>
      </c>
      <c r="L730" s="39" t="str">
        <f t="shared" si="2"/>
        <v>Morning</v>
      </c>
      <c r="M730" s="39" t="str">
        <f t="array" ref="M730">XLOOKUP(D730,'Category dict'!$B$1:$B$4,'Category dict'!$A$1:$A$4,0,0,1)</f>
        <v>Business</v>
      </c>
      <c r="N730" s="39" t="str">
        <f>VLOOKUP(H730,'Purpose dict'!$A$1:$B$12,2,0)</f>
        <v>NOT DEFINED</v>
      </c>
    </row>
    <row r="731" hidden="1">
      <c r="A731" s="3" t="s">
        <v>948</v>
      </c>
      <c r="B731" s="34">
        <v>42610.69375</v>
      </c>
      <c r="C731" s="34">
        <v>42610.70486111111</v>
      </c>
      <c r="D731" s="35">
        <v>423.0</v>
      </c>
      <c r="E731" s="3" t="s">
        <v>256</v>
      </c>
      <c r="F731" s="3" t="s">
        <v>225</v>
      </c>
      <c r="G731" s="36">
        <v>6.2</v>
      </c>
      <c r="H731" s="35">
        <v>123.0</v>
      </c>
      <c r="I731" s="37">
        <v>0.69375</v>
      </c>
      <c r="J731" s="37">
        <v>0.7048611111111112</v>
      </c>
      <c r="K731" s="38">
        <f t="shared" si="13"/>
        <v>0.01111111111</v>
      </c>
      <c r="L731" s="39" t="str">
        <f t="shared" si="2"/>
        <v>Day</v>
      </c>
      <c r="M731" s="39" t="str">
        <f t="array" ref="M731">XLOOKUP(D731,'Category dict'!$B$1:$B$4,'Category dict'!$A$1:$A$4,0,0,1)</f>
        <v>Business</v>
      </c>
      <c r="N731" s="39" t="str">
        <f>VLOOKUP(H731,'Purpose dict'!$A$1:$B$12,2,0)</f>
        <v>NOT DEFINED</v>
      </c>
    </row>
    <row r="732" hidden="1">
      <c r="A732" s="3" t="s">
        <v>949</v>
      </c>
      <c r="B732" s="34">
        <v>42610.73402777778</v>
      </c>
      <c r="C732" s="34">
        <v>42610.74652777778</v>
      </c>
      <c r="D732" s="35">
        <v>423.0</v>
      </c>
      <c r="E732" s="3" t="s">
        <v>225</v>
      </c>
      <c r="F732" s="3" t="s">
        <v>225</v>
      </c>
      <c r="G732" s="36">
        <v>5.3</v>
      </c>
      <c r="H732" s="35">
        <v>123.0</v>
      </c>
      <c r="I732" s="37">
        <v>0.7340277777777777</v>
      </c>
      <c r="J732" s="37">
        <v>0.7465277777777778</v>
      </c>
      <c r="K732" s="38">
        <f t="shared" si="13"/>
        <v>0.0125</v>
      </c>
      <c r="L732" s="39" t="str">
        <f t="shared" si="2"/>
        <v>Day</v>
      </c>
      <c r="M732" s="39" t="str">
        <f t="array" ref="M732">XLOOKUP(D732,'Category dict'!$B$1:$B$4,'Category dict'!$A$1:$A$4,0,0,1)</f>
        <v>Business</v>
      </c>
      <c r="N732" s="39" t="str">
        <f>VLOOKUP(H732,'Purpose dict'!$A$1:$B$12,2,0)</f>
        <v>NOT DEFINED</v>
      </c>
    </row>
    <row r="733" hidden="1">
      <c r="A733" s="3" t="s">
        <v>950</v>
      </c>
      <c r="B733" s="34">
        <v>42610.885416666664</v>
      </c>
      <c r="C733" s="34">
        <v>42610.915972222225</v>
      </c>
      <c r="D733" s="35">
        <v>423.0</v>
      </c>
      <c r="E733" s="3" t="s">
        <v>225</v>
      </c>
      <c r="F733" s="3" t="s">
        <v>208</v>
      </c>
      <c r="G733" s="36">
        <v>12.1</v>
      </c>
      <c r="H733" s="35">
        <v>123.0</v>
      </c>
      <c r="I733" s="37">
        <v>0.8854166666666666</v>
      </c>
      <c r="J733" s="37">
        <v>0.9159722222222222</v>
      </c>
      <c r="K733" s="38">
        <f t="shared" si="13"/>
        <v>0.03055555556</v>
      </c>
      <c r="L733" s="39" t="str">
        <f t="shared" si="2"/>
        <v>Evening</v>
      </c>
      <c r="M733" s="39" t="str">
        <f t="array" ref="M733">XLOOKUP(D733,'Category dict'!$B$1:$B$4,'Category dict'!$A$1:$A$4,0,0,1)</f>
        <v>Business</v>
      </c>
      <c r="N733" s="39" t="str">
        <f>VLOOKUP(H733,'Purpose dict'!$A$1:$B$12,2,0)</f>
        <v>NOT DEFINED</v>
      </c>
    </row>
    <row r="734" hidden="1">
      <c r="A734" s="3" t="s">
        <v>951</v>
      </c>
      <c r="B734" s="34">
        <v>42611.501388888886</v>
      </c>
      <c r="C734" s="34">
        <v>42611.521527777775</v>
      </c>
      <c r="D734" s="35">
        <v>423.0</v>
      </c>
      <c r="E734" s="3" t="s">
        <v>208</v>
      </c>
      <c r="F734" s="3" t="s">
        <v>225</v>
      </c>
      <c r="G734" s="36">
        <v>10.8</v>
      </c>
      <c r="H734" s="35">
        <v>123.0</v>
      </c>
      <c r="I734" s="37">
        <v>0.5013888888888889</v>
      </c>
      <c r="J734" s="37">
        <v>0.5215277777777778</v>
      </c>
      <c r="K734" s="38">
        <f t="shared" si="13"/>
        <v>0.02013888889</v>
      </c>
      <c r="L734" s="39" t="str">
        <f t="shared" si="2"/>
        <v>Day</v>
      </c>
      <c r="M734" s="39" t="str">
        <f t="array" ref="M734">XLOOKUP(D734,'Category dict'!$B$1:$B$4,'Category dict'!$A$1:$A$4,0,0,1)</f>
        <v>Business</v>
      </c>
      <c r="N734" s="39" t="str">
        <f>VLOOKUP(H734,'Purpose dict'!$A$1:$B$12,2,0)</f>
        <v>NOT DEFINED</v>
      </c>
    </row>
    <row r="735" hidden="1">
      <c r="A735" s="3" t="s">
        <v>952</v>
      </c>
      <c r="B735" s="34">
        <v>42611.56805555556</v>
      </c>
      <c r="C735" s="34">
        <v>42611.575</v>
      </c>
      <c r="D735" s="35">
        <v>423.0</v>
      </c>
      <c r="E735" s="3" t="s">
        <v>225</v>
      </c>
      <c r="F735" s="3" t="s">
        <v>225</v>
      </c>
      <c r="G735" s="36">
        <v>4.3</v>
      </c>
      <c r="H735" s="35">
        <v>123.0</v>
      </c>
      <c r="I735" s="37">
        <v>0.5680555555555555</v>
      </c>
      <c r="J735" s="37">
        <v>0.575</v>
      </c>
      <c r="K735" s="38">
        <f t="shared" si="13"/>
        <v>0.006944444444</v>
      </c>
      <c r="L735" s="39" t="str">
        <f t="shared" si="2"/>
        <v>Day</v>
      </c>
      <c r="M735" s="39" t="str">
        <f t="array" ref="M735">XLOOKUP(D735,'Category dict'!$B$1:$B$4,'Category dict'!$A$1:$A$4,0,0,1)</f>
        <v>Business</v>
      </c>
      <c r="N735" s="39" t="str">
        <f>VLOOKUP(H735,'Purpose dict'!$A$1:$B$12,2,0)</f>
        <v>NOT DEFINED</v>
      </c>
    </row>
    <row r="736" hidden="1">
      <c r="A736" s="3" t="s">
        <v>953</v>
      </c>
      <c r="B736" s="34">
        <v>42611.60486111111</v>
      </c>
      <c r="C736" s="34">
        <v>42611.611805555556</v>
      </c>
      <c r="D736" s="35">
        <v>423.0</v>
      </c>
      <c r="E736" s="3" t="s">
        <v>225</v>
      </c>
      <c r="F736" s="3" t="s">
        <v>225</v>
      </c>
      <c r="G736" s="36">
        <v>2.5</v>
      </c>
      <c r="H736" s="35">
        <v>123.0</v>
      </c>
      <c r="I736" s="37">
        <v>0.6048611111111111</v>
      </c>
      <c r="J736" s="37">
        <v>0.6118055555555556</v>
      </c>
      <c r="K736" s="38">
        <f t="shared" si="13"/>
        <v>0.006944444444</v>
      </c>
      <c r="L736" s="39" t="str">
        <f t="shared" si="2"/>
        <v>Day</v>
      </c>
      <c r="M736" s="39" t="str">
        <f t="array" ref="M736">XLOOKUP(D736,'Category dict'!$B$1:$B$4,'Category dict'!$A$1:$A$4,0,0,1)</f>
        <v>Business</v>
      </c>
      <c r="N736" s="39" t="str">
        <f>VLOOKUP(H736,'Purpose dict'!$A$1:$B$12,2,0)</f>
        <v>NOT DEFINED</v>
      </c>
    </row>
    <row r="737" hidden="1">
      <c r="A737" s="3" t="s">
        <v>954</v>
      </c>
      <c r="B737" s="34">
        <v>42611.61736111111</v>
      </c>
      <c r="C737" s="34">
        <v>42611.62777777778</v>
      </c>
      <c r="D737" s="35">
        <v>423.0</v>
      </c>
      <c r="E737" s="3" t="s">
        <v>225</v>
      </c>
      <c r="F737" s="3" t="s">
        <v>208</v>
      </c>
      <c r="G737" s="36">
        <v>5.7</v>
      </c>
      <c r="H737" s="35">
        <v>5.0</v>
      </c>
      <c r="I737" s="37">
        <v>0.6173611111111111</v>
      </c>
      <c r="J737" s="37">
        <v>0.6277777777777778</v>
      </c>
      <c r="K737" s="38">
        <f t="shared" si="13"/>
        <v>0.01041666667</v>
      </c>
      <c r="L737" s="39" t="str">
        <f t="shared" si="2"/>
        <v>Day</v>
      </c>
      <c r="M737" s="39" t="str">
        <f t="array" ref="M737">XLOOKUP(D737,'Category dict'!$B$1:$B$4,'Category dict'!$A$1:$A$4,0,0,1)</f>
        <v>Business</v>
      </c>
      <c r="N737" s="39" t="str">
        <f>VLOOKUP(H737,'Purpose dict'!$A$1:$B$12,2,0)</f>
        <v>Temporary Site</v>
      </c>
    </row>
    <row r="738" hidden="1">
      <c r="A738" s="3" t="s">
        <v>955</v>
      </c>
      <c r="B738" s="34">
        <v>42611.65902777778</v>
      </c>
      <c r="C738" s="34">
        <v>42611.665972222225</v>
      </c>
      <c r="D738" s="35">
        <v>423.0</v>
      </c>
      <c r="E738" s="3" t="s">
        <v>208</v>
      </c>
      <c r="F738" s="3" t="s">
        <v>225</v>
      </c>
      <c r="G738" s="36">
        <v>2.8</v>
      </c>
      <c r="H738" s="35">
        <v>123.0</v>
      </c>
      <c r="I738" s="37">
        <v>0.6590277777777778</v>
      </c>
      <c r="J738" s="37">
        <v>0.6659722222222222</v>
      </c>
      <c r="K738" s="38">
        <f t="shared" si="13"/>
        <v>0.006944444444</v>
      </c>
      <c r="L738" s="39" t="str">
        <f t="shared" si="2"/>
        <v>Day</v>
      </c>
      <c r="M738" s="39" t="str">
        <f t="array" ref="M738">XLOOKUP(D738,'Category dict'!$B$1:$B$4,'Category dict'!$A$1:$A$4,0,0,1)</f>
        <v>Business</v>
      </c>
      <c r="N738" s="39" t="str">
        <f>VLOOKUP(H738,'Purpose dict'!$A$1:$B$12,2,0)</f>
        <v>NOT DEFINED</v>
      </c>
    </row>
    <row r="739" hidden="1">
      <c r="A739" s="3" t="s">
        <v>956</v>
      </c>
      <c r="B739" s="34">
        <v>42611.67083333333</v>
      </c>
      <c r="C739" s="34">
        <v>42611.68125</v>
      </c>
      <c r="D739" s="35">
        <v>423.0</v>
      </c>
      <c r="E739" s="3" t="s">
        <v>225</v>
      </c>
      <c r="F739" s="3" t="s">
        <v>208</v>
      </c>
      <c r="G739" s="36">
        <v>4.0</v>
      </c>
      <c r="H739" s="35">
        <v>123.0</v>
      </c>
      <c r="I739" s="37">
        <v>0.6708333333333333</v>
      </c>
      <c r="J739" s="37">
        <v>0.68125</v>
      </c>
      <c r="K739" s="38">
        <f t="shared" si="13"/>
        <v>0.01041666667</v>
      </c>
      <c r="L739" s="39" t="str">
        <f t="shared" si="2"/>
        <v>Day</v>
      </c>
      <c r="M739" s="39" t="str">
        <f t="array" ref="M739">XLOOKUP(D739,'Category dict'!$B$1:$B$4,'Category dict'!$A$1:$A$4,0,0,1)</f>
        <v>Business</v>
      </c>
      <c r="N739" s="39" t="str">
        <f>VLOOKUP(H739,'Purpose dict'!$A$1:$B$12,2,0)</f>
        <v>NOT DEFINED</v>
      </c>
    </row>
    <row r="740" hidden="1">
      <c r="A740" s="3" t="s">
        <v>957</v>
      </c>
      <c r="B740" s="34">
        <v>42611.725</v>
      </c>
      <c r="C740" s="34">
        <v>42611.736805555556</v>
      </c>
      <c r="D740" s="35">
        <v>423.0</v>
      </c>
      <c r="E740" s="3" t="s">
        <v>208</v>
      </c>
      <c r="F740" s="3" t="s">
        <v>225</v>
      </c>
      <c r="G740" s="36">
        <v>5.5</v>
      </c>
      <c r="H740" s="35">
        <v>123.0</v>
      </c>
      <c r="I740" s="37">
        <v>0.725</v>
      </c>
      <c r="J740" s="37">
        <v>0.7368055555555556</v>
      </c>
      <c r="K740" s="38">
        <f t="shared" si="13"/>
        <v>0.01180555556</v>
      </c>
      <c r="L740" s="39" t="str">
        <f t="shared" si="2"/>
        <v>Day</v>
      </c>
      <c r="M740" s="39" t="str">
        <f t="array" ref="M740">XLOOKUP(D740,'Category dict'!$B$1:$B$4,'Category dict'!$A$1:$A$4,0,0,1)</f>
        <v>Business</v>
      </c>
      <c r="N740" s="39" t="str">
        <f>VLOOKUP(H740,'Purpose dict'!$A$1:$B$12,2,0)</f>
        <v>NOT DEFINED</v>
      </c>
    </row>
    <row r="741" hidden="1">
      <c r="A741" s="3" t="s">
        <v>958</v>
      </c>
      <c r="B741" s="34">
        <v>42611.76875</v>
      </c>
      <c r="C741" s="34">
        <v>42611.775</v>
      </c>
      <c r="D741" s="35">
        <v>423.0</v>
      </c>
      <c r="E741" s="3" t="s">
        <v>225</v>
      </c>
      <c r="F741" s="3" t="s">
        <v>225</v>
      </c>
      <c r="G741" s="36">
        <v>2.6</v>
      </c>
      <c r="H741" s="35">
        <v>123.0</v>
      </c>
      <c r="I741" s="37">
        <v>0.76875</v>
      </c>
      <c r="J741" s="37">
        <v>0.775</v>
      </c>
      <c r="K741" s="38">
        <f t="shared" si="13"/>
        <v>0.00625</v>
      </c>
      <c r="L741" s="39" t="str">
        <f t="shared" si="2"/>
        <v>Evening</v>
      </c>
      <c r="M741" s="39" t="str">
        <f t="array" ref="M741">XLOOKUP(D741,'Category dict'!$B$1:$B$4,'Category dict'!$A$1:$A$4,0,0,1)</f>
        <v>Business</v>
      </c>
      <c r="N741" s="39" t="str">
        <f>VLOOKUP(H741,'Purpose dict'!$A$1:$B$12,2,0)</f>
        <v>NOT DEFINED</v>
      </c>
    </row>
    <row r="742" hidden="1">
      <c r="A742" s="3" t="s">
        <v>959</v>
      </c>
      <c r="B742" s="34">
        <v>42612.49513888889</v>
      </c>
      <c r="C742" s="34">
        <v>42612.50347222222</v>
      </c>
      <c r="D742" s="35">
        <v>423.0</v>
      </c>
      <c r="E742" s="3" t="s">
        <v>208</v>
      </c>
      <c r="F742" s="3" t="s">
        <v>208</v>
      </c>
      <c r="G742" s="36">
        <v>2.1</v>
      </c>
      <c r="H742" s="35">
        <v>123.0</v>
      </c>
      <c r="I742" s="37">
        <v>0.4951388888888889</v>
      </c>
      <c r="J742" s="37">
        <v>0.5034722222222222</v>
      </c>
      <c r="K742" s="38">
        <f t="shared" si="13"/>
        <v>0.008333333333</v>
      </c>
      <c r="L742" s="39" t="str">
        <f t="shared" si="2"/>
        <v>Morning</v>
      </c>
      <c r="M742" s="39" t="str">
        <f t="array" ref="M742">XLOOKUP(D742,'Category dict'!$B$1:$B$4,'Category dict'!$A$1:$A$4,0,0,1)</f>
        <v>Business</v>
      </c>
      <c r="N742" s="39" t="str">
        <f>VLOOKUP(H742,'Purpose dict'!$A$1:$B$12,2,0)</f>
        <v>NOT DEFINED</v>
      </c>
    </row>
    <row r="743" hidden="1">
      <c r="A743" s="3" t="s">
        <v>960</v>
      </c>
      <c r="B743" s="34">
        <v>42612.53194444445</v>
      </c>
      <c r="C743" s="34">
        <v>42612.54791666667</v>
      </c>
      <c r="D743" s="35">
        <v>423.0</v>
      </c>
      <c r="E743" s="3" t="s">
        <v>208</v>
      </c>
      <c r="F743" s="3" t="s">
        <v>225</v>
      </c>
      <c r="G743" s="36">
        <v>8.8</v>
      </c>
      <c r="H743" s="35">
        <v>123.0</v>
      </c>
      <c r="I743" s="37">
        <v>0.5319444444444444</v>
      </c>
      <c r="J743" s="37">
        <v>0.5479166666666667</v>
      </c>
      <c r="K743" s="38">
        <f t="shared" si="13"/>
        <v>0.01597222222</v>
      </c>
      <c r="L743" s="39" t="str">
        <f t="shared" si="2"/>
        <v>Day</v>
      </c>
      <c r="M743" s="39" t="str">
        <f t="array" ref="M743">XLOOKUP(D743,'Category dict'!$B$1:$B$4,'Category dict'!$A$1:$A$4,0,0,1)</f>
        <v>Business</v>
      </c>
      <c r="N743" s="39" t="str">
        <f>VLOOKUP(H743,'Purpose dict'!$A$1:$B$12,2,0)</f>
        <v>NOT DEFINED</v>
      </c>
    </row>
    <row r="744" hidden="1">
      <c r="A744" s="3" t="s">
        <v>961</v>
      </c>
      <c r="B744" s="34">
        <v>42612.55902777778</v>
      </c>
      <c r="C744" s="34">
        <v>42612.57361111111</v>
      </c>
      <c r="D744" s="35">
        <v>423.0</v>
      </c>
      <c r="E744" s="3" t="s">
        <v>225</v>
      </c>
      <c r="F744" s="3" t="s">
        <v>225</v>
      </c>
      <c r="G744" s="36">
        <v>4.4</v>
      </c>
      <c r="H744" s="35">
        <v>123.0</v>
      </c>
      <c r="I744" s="37">
        <v>0.5590277777777778</v>
      </c>
      <c r="J744" s="37">
        <v>0.5736111111111111</v>
      </c>
      <c r="K744" s="38">
        <f t="shared" si="13"/>
        <v>0.01458333333</v>
      </c>
      <c r="L744" s="39" t="str">
        <f t="shared" si="2"/>
        <v>Day</v>
      </c>
      <c r="M744" s="39" t="str">
        <f t="array" ref="M744">XLOOKUP(D744,'Category dict'!$B$1:$B$4,'Category dict'!$A$1:$A$4,0,0,1)</f>
        <v>Business</v>
      </c>
      <c r="N744" s="39" t="str">
        <f>VLOOKUP(H744,'Purpose dict'!$A$1:$B$12,2,0)</f>
        <v>NOT DEFINED</v>
      </c>
    </row>
    <row r="745" hidden="1">
      <c r="A745" s="3" t="s">
        <v>962</v>
      </c>
      <c r="B745" s="34">
        <v>42612.583333333336</v>
      </c>
      <c r="C745" s="34">
        <v>42612.59722222222</v>
      </c>
      <c r="D745" s="35">
        <v>423.0</v>
      </c>
      <c r="E745" s="3" t="s">
        <v>225</v>
      </c>
      <c r="F745" s="3" t="s">
        <v>208</v>
      </c>
      <c r="G745" s="36">
        <v>5.3</v>
      </c>
      <c r="H745" s="35">
        <v>123.0</v>
      </c>
      <c r="I745" s="37">
        <v>0.5833333333333334</v>
      </c>
      <c r="J745" s="37">
        <v>0.5972222222222222</v>
      </c>
      <c r="K745" s="38">
        <f t="shared" si="13"/>
        <v>0.01388888889</v>
      </c>
      <c r="L745" s="39" t="str">
        <f t="shared" si="2"/>
        <v>Day</v>
      </c>
      <c r="M745" s="39" t="str">
        <f t="array" ref="M745">XLOOKUP(D745,'Category dict'!$B$1:$B$4,'Category dict'!$A$1:$A$4,0,0,1)</f>
        <v>Business</v>
      </c>
      <c r="N745" s="39" t="str">
        <f>VLOOKUP(H745,'Purpose dict'!$A$1:$B$12,2,0)</f>
        <v>NOT DEFINED</v>
      </c>
    </row>
    <row r="746" hidden="1">
      <c r="A746" s="3" t="s">
        <v>963</v>
      </c>
      <c r="B746" s="34">
        <v>42612.72708333333</v>
      </c>
      <c r="C746" s="34">
        <v>42612.75625</v>
      </c>
      <c r="D746" s="35">
        <v>423.0</v>
      </c>
      <c r="E746" s="3" t="s">
        <v>208</v>
      </c>
      <c r="F746" s="3" t="s">
        <v>208</v>
      </c>
      <c r="G746" s="36">
        <v>13.0</v>
      </c>
      <c r="H746" s="35">
        <v>123.0</v>
      </c>
      <c r="I746" s="37">
        <v>0.7270833333333333</v>
      </c>
      <c r="J746" s="37">
        <v>0.75625</v>
      </c>
      <c r="K746" s="38">
        <f t="shared" si="13"/>
        <v>0.02916666667</v>
      </c>
      <c r="L746" s="39" t="str">
        <f t="shared" si="2"/>
        <v>Day</v>
      </c>
      <c r="M746" s="39" t="str">
        <f t="array" ref="M746">XLOOKUP(D746,'Category dict'!$B$1:$B$4,'Category dict'!$A$1:$A$4,0,0,1)</f>
        <v>Business</v>
      </c>
      <c r="N746" s="39" t="str">
        <f>VLOOKUP(H746,'Purpose dict'!$A$1:$B$12,2,0)</f>
        <v>NOT DEFINED</v>
      </c>
    </row>
    <row r="747" hidden="1">
      <c r="A747" s="3" t="s">
        <v>964</v>
      </c>
      <c r="B747" s="34">
        <v>42614.49375</v>
      </c>
      <c r="C747" s="34">
        <v>42614.51666666667</v>
      </c>
      <c r="D747" s="35">
        <v>423.0</v>
      </c>
      <c r="E747" s="3" t="s">
        <v>208</v>
      </c>
      <c r="F747" s="3" t="s">
        <v>225</v>
      </c>
      <c r="G747" s="36">
        <v>13.0</v>
      </c>
      <c r="H747" s="35">
        <v>123.0</v>
      </c>
      <c r="I747" s="37">
        <v>0.49375</v>
      </c>
      <c r="J747" s="37">
        <v>0.5166666666666667</v>
      </c>
      <c r="K747" s="38">
        <f t="shared" si="13"/>
        <v>0.02291666667</v>
      </c>
      <c r="L747" s="39" t="str">
        <f t="shared" si="2"/>
        <v>Morning</v>
      </c>
      <c r="M747" s="39" t="str">
        <f t="array" ref="M747">XLOOKUP(D747,'Category dict'!$B$1:$B$4,'Category dict'!$A$1:$A$4,0,0,1)</f>
        <v>Business</v>
      </c>
      <c r="N747" s="39" t="str">
        <f>VLOOKUP(H747,'Purpose dict'!$A$1:$B$12,2,0)</f>
        <v>NOT DEFINED</v>
      </c>
    </row>
    <row r="748" hidden="1">
      <c r="A748" s="3" t="s">
        <v>965</v>
      </c>
      <c r="B748" s="34">
        <v>42614.722916666666</v>
      </c>
      <c r="C748" s="34">
        <v>42614.73333333333</v>
      </c>
      <c r="D748" s="35">
        <v>423.0</v>
      </c>
      <c r="E748" s="3" t="s">
        <v>225</v>
      </c>
      <c r="F748" s="3" t="s">
        <v>208</v>
      </c>
      <c r="G748" s="36">
        <v>10.6</v>
      </c>
      <c r="H748" s="35">
        <v>123.0</v>
      </c>
      <c r="I748" s="37">
        <v>0.7229166666666667</v>
      </c>
      <c r="J748" s="37">
        <v>0.7333333333333333</v>
      </c>
      <c r="K748" s="38">
        <f t="shared" si="13"/>
        <v>0.01041666667</v>
      </c>
      <c r="L748" s="39" t="str">
        <f t="shared" si="2"/>
        <v>Day</v>
      </c>
      <c r="M748" s="39" t="str">
        <f t="array" ref="M748">XLOOKUP(D748,'Category dict'!$B$1:$B$4,'Category dict'!$A$1:$A$4,0,0,1)</f>
        <v>Business</v>
      </c>
      <c r="N748" s="39" t="str">
        <f>VLOOKUP(H748,'Purpose dict'!$A$1:$B$12,2,0)</f>
        <v>NOT DEFINED</v>
      </c>
    </row>
    <row r="749" hidden="1">
      <c r="A749" s="3" t="s">
        <v>966</v>
      </c>
      <c r="B749" s="34">
        <v>42614.78402777778</v>
      </c>
      <c r="C749" s="34">
        <v>42614.79722222222</v>
      </c>
      <c r="D749" s="35">
        <v>423.0</v>
      </c>
      <c r="E749" s="3" t="s">
        <v>208</v>
      </c>
      <c r="F749" s="3" t="s">
        <v>208</v>
      </c>
      <c r="G749" s="36">
        <v>2.2</v>
      </c>
      <c r="H749" s="35">
        <v>123.0</v>
      </c>
      <c r="I749" s="37">
        <v>0.7840277777777778</v>
      </c>
      <c r="J749" s="37">
        <v>0.7972222222222223</v>
      </c>
      <c r="K749" s="38">
        <f t="shared" si="13"/>
        <v>0.01319444444</v>
      </c>
      <c r="L749" s="39" t="str">
        <f t="shared" si="2"/>
        <v>Evening</v>
      </c>
      <c r="M749" s="39" t="str">
        <f t="array" ref="M749">XLOOKUP(D749,'Category dict'!$B$1:$B$4,'Category dict'!$A$1:$A$4,0,0,1)</f>
        <v>Business</v>
      </c>
      <c r="N749" s="39" t="str">
        <f>VLOOKUP(H749,'Purpose dict'!$A$1:$B$12,2,0)</f>
        <v>NOT DEFINED</v>
      </c>
    </row>
    <row r="750" hidden="1">
      <c r="A750" s="3" t="s">
        <v>967</v>
      </c>
      <c r="B750" s="34">
        <v>42615.48402777778</v>
      </c>
      <c r="C750" s="34">
        <v>42615.51666666667</v>
      </c>
      <c r="D750" s="35">
        <v>423.0</v>
      </c>
      <c r="E750" s="3" t="s">
        <v>208</v>
      </c>
      <c r="F750" s="3" t="s">
        <v>225</v>
      </c>
      <c r="G750" s="36">
        <v>9.2</v>
      </c>
      <c r="H750" s="35">
        <v>123.0</v>
      </c>
      <c r="I750" s="37">
        <v>0.4840277777777778</v>
      </c>
      <c r="J750" s="37">
        <v>0.5166666666666667</v>
      </c>
      <c r="K750" s="38">
        <f t="shared" si="13"/>
        <v>0.03263888889</v>
      </c>
      <c r="L750" s="39" t="str">
        <f t="shared" si="2"/>
        <v>Morning</v>
      </c>
      <c r="M750" s="39" t="str">
        <f t="array" ref="M750">XLOOKUP(D750,'Category dict'!$B$1:$B$4,'Category dict'!$A$1:$A$4,0,0,1)</f>
        <v>Business</v>
      </c>
      <c r="N750" s="39" t="str">
        <f>VLOOKUP(H750,'Purpose dict'!$A$1:$B$12,2,0)</f>
        <v>NOT DEFINED</v>
      </c>
    </row>
    <row r="751" hidden="1">
      <c r="A751" s="3" t="s">
        <v>968</v>
      </c>
      <c r="B751" s="34">
        <v>42615.78888888889</v>
      </c>
      <c r="C751" s="34">
        <v>42615.81736111111</v>
      </c>
      <c r="D751" s="35">
        <v>423.0</v>
      </c>
      <c r="E751" s="3" t="s">
        <v>208</v>
      </c>
      <c r="F751" s="3" t="s">
        <v>208</v>
      </c>
      <c r="G751" s="36">
        <v>12.9</v>
      </c>
      <c r="H751" s="35">
        <v>123.0</v>
      </c>
      <c r="I751" s="37">
        <v>0.7888888888888889</v>
      </c>
      <c r="J751" s="37">
        <v>0.8173611111111111</v>
      </c>
      <c r="K751" s="38">
        <f t="shared" si="13"/>
        <v>0.02847222222</v>
      </c>
      <c r="L751" s="39" t="str">
        <f t="shared" si="2"/>
        <v>Evening</v>
      </c>
      <c r="M751" s="39" t="str">
        <f t="array" ref="M751">XLOOKUP(D751,'Category dict'!$B$1:$B$4,'Category dict'!$A$1:$A$4,0,0,1)</f>
        <v>Business</v>
      </c>
      <c r="N751" s="39" t="str">
        <f>VLOOKUP(H751,'Purpose dict'!$A$1:$B$12,2,0)</f>
        <v>NOT DEFINED</v>
      </c>
    </row>
    <row r="752" hidden="1">
      <c r="A752" s="3" t="s">
        <v>969</v>
      </c>
      <c r="B752" s="34">
        <v>42618.43402777778</v>
      </c>
      <c r="C752" s="34">
        <v>42618.447222222225</v>
      </c>
      <c r="D752" s="35">
        <v>423.0</v>
      </c>
      <c r="E752" s="3" t="s">
        <v>208</v>
      </c>
      <c r="F752" s="3" t="s">
        <v>243</v>
      </c>
      <c r="G752" s="36">
        <v>17.2</v>
      </c>
      <c r="H752" s="35">
        <v>123.0</v>
      </c>
      <c r="I752" s="37">
        <v>0.4340277777777778</v>
      </c>
      <c r="J752" s="37">
        <v>0.44722222222222224</v>
      </c>
      <c r="K752" s="38">
        <f t="shared" si="13"/>
        <v>0.01319444444</v>
      </c>
      <c r="L752" s="39" t="str">
        <f t="shared" si="2"/>
        <v>Morning</v>
      </c>
      <c r="M752" s="39" t="str">
        <f t="array" ref="M752">XLOOKUP(D752,'Category dict'!$B$1:$B$4,'Category dict'!$A$1:$A$4,0,0,1)</f>
        <v>Business</v>
      </c>
      <c r="N752" s="39" t="str">
        <f>VLOOKUP(H752,'Purpose dict'!$A$1:$B$12,2,0)</f>
        <v>NOT DEFINED</v>
      </c>
    </row>
    <row r="753" hidden="1">
      <c r="A753" s="3" t="s">
        <v>970</v>
      </c>
      <c r="B753" s="34">
        <v>42623.436111111114</v>
      </c>
      <c r="C753" s="34">
        <v>42623.447916666664</v>
      </c>
      <c r="D753" s="35">
        <v>423.0</v>
      </c>
      <c r="E753" s="3" t="s">
        <v>208</v>
      </c>
      <c r="F753" s="3" t="s">
        <v>208</v>
      </c>
      <c r="G753" s="36">
        <v>2.8</v>
      </c>
      <c r="H753" s="35">
        <v>123.0</v>
      </c>
      <c r="I753" s="37">
        <v>0.4361111111111111</v>
      </c>
      <c r="J753" s="37">
        <v>0.4479166666666667</v>
      </c>
      <c r="K753" s="38">
        <f t="shared" si="13"/>
        <v>0.01180555556</v>
      </c>
      <c r="L753" s="39" t="str">
        <f t="shared" si="2"/>
        <v>Morning</v>
      </c>
      <c r="M753" s="39" t="str">
        <f t="array" ref="M753">XLOOKUP(D753,'Category dict'!$B$1:$B$4,'Category dict'!$A$1:$A$4,0,0,1)</f>
        <v>Business</v>
      </c>
      <c r="N753" s="39" t="str">
        <f>VLOOKUP(H753,'Purpose dict'!$A$1:$B$12,2,0)</f>
        <v>NOT DEFINED</v>
      </c>
    </row>
    <row r="754" hidden="1">
      <c r="A754" s="3" t="s">
        <v>971</v>
      </c>
      <c r="B754" s="34">
        <v>42624.410416666666</v>
      </c>
      <c r="C754" s="34">
        <v>42624.413194444445</v>
      </c>
      <c r="D754" s="35">
        <v>423.0</v>
      </c>
      <c r="E754" s="3" t="s">
        <v>208</v>
      </c>
      <c r="F754" s="3" t="s">
        <v>208</v>
      </c>
      <c r="G754" s="36">
        <v>8.6</v>
      </c>
      <c r="H754" s="35">
        <v>123.0</v>
      </c>
      <c r="I754" s="37">
        <v>0.41041666666666665</v>
      </c>
      <c r="J754" s="37">
        <v>0.4131944444444444</v>
      </c>
      <c r="K754" s="38">
        <f t="shared" si="13"/>
        <v>0.002777777778</v>
      </c>
      <c r="L754" s="39" t="str">
        <f t="shared" si="2"/>
        <v>Morning</v>
      </c>
      <c r="M754" s="39" t="str">
        <f t="array" ref="M754">XLOOKUP(D754,'Category dict'!$B$1:$B$4,'Category dict'!$A$1:$A$4,0,0,1)</f>
        <v>Business</v>
      </c>
      <c r="N754" s="39" t="str">
        <f>VLOOKUP(H754,'Purpose dict'!$A$1:$B$12,2,0)</f>
        <v>NOT DEFINED</v>
      </c>
    </row>
    <row r="755" hidden="1">
      <c r="A755" s="3" t="s">
        <v>972</v>
      </c>
      <c r="B755" s="34">
        <v>42624.90277777778</v>
      </c>
      <c r="C755" s="34">
        <v>42624.90416666667</v>
      </c>
      <c r="D755" s="35">
        <v>423.0</v>
      </c>
      <c r="E755" s="3" t="s">
        <v>208</v>
      </c>
      <c r="F755" s="3" t="s">
        <v>208</v>
      </c>
      <c r="G755" s="36">
        <v>9.8</v>
      </c>
      <c r="H755" s="35">
        <v>123.0</v>
      </c>
      <c r="I755" s="37">
        <v>0.9027777777777778</v>
      </c>
      <c r="J755" s="37">
        <v>0.9041666666666667</v>
      </c>
      <c r="K755" s="38">
        <f t="shared" si="13"/>
        <v>0.001388888889</v>
      </c>
      <c r="L755" s="39" t="str">
        <f t="shared" si="2"/>
        <v>Evening</v>
      </c>
      <c r="M755" s="39" t="str">
        <f t="array" ref="M755">XLOOKUP(D755,'Category dict'!$B$1:$B$4,'Category dict'!$A$1:$A$4,0,0,1)</f>
        <v>Business</v>
      </c>
      <c r="N755" s="39" t="str">
        <f>VLOOKUP(H755,'Purpose dict'!$A$1:$B$12,2,0)</f>
        <v>NOT DEFINED</v>
      </c>
    </row>
    <row r="756" hidden="1">
      <c r="A756" s="3" t="s">
        <v>973</v>
      </c>
      <c r="B756" s="34">
        <v>42625.33819444444</v>
      </c>
      <c r="C756" s="34">
        <v>42625.34166666667</v>
      </c>
      <c r="D756" s="35">
        <v>423.0</v>
      </c>
      <c r="E756" s="3" t="s">
        <v>208</v>
      </c>
      <c r="F756" s="3" t="s">
        <v>208</v>
      </c>
      <c r="G756" s="36">
        <v>3.6</v>
      </c>
      <c r="H756" s="35">
        <v>123.0</v>
      </c>
      <c r="I756" s="37">
        <v>0.33819444444444446</v>
      </c>
      <c r="J756" s="37">
        <v>0.3416666666666667</v>
      </c>
      <c r="K756" s="38">
        <f t="shared" si="13"/>
        <v>0.003472222222</v>
      </c>
      <c r="L756" s="39" t="str">
        <f t="shared" si="2"/>
        <v>Morning</v>
      </c>
      <c r="M756" s="39" t="str">
        <f t="array" ref="M756">XLOOKUP(D756,'Category dict'!$B$1:$B$4,'Category dict'!$A$1:$A$4,0,0,1)</f>
        <v>Business</v>
      </c>
      <c r="N756" s="39" t="str">
        <f>VLOOKUP(H756,'Purpose dict'!$A$1:$B$12,2,0)</f>
        <v>NOT DEFINED</v>
      </c>
    </row>
    <row r="757" hidden="1">
      <c r="A757" s="3" t="s">
        <v>974</v>
      </c>
      <c r="B757" s="34">
        <v>42625.46875</v>
      </c>
      <c r="C757" s="34">
        <v>42625.475</v>
      </c>
      <c r="D757" s="35">
        <v>423.0</v>
      </c>
      <c r="E757" s="3" t="s">
        <v>208</v>
      </c>
      <c r="F757" s="3" t="s">
        <v>208</v>
      </c>
      <c r="G757" s="36">
        <v>1.7</v>
      </c>
      <c r="H757" s="35">
        <v>123.0</v>
      </c>
      <c r="I757" s="37">
        <v>0.46875</v>
      </c>
      <c r="J757" s="37">
        <v>0.475</v>
      </c>
      <c r="K757" s="38">
        <f t="shared" si="13"/>
        <v>0.00625</v>
      </c>
      <c r="L757" s="39" t="str">
        <f t="shared" si="2"/>
        <v>Morning</v>
      </c>
      <c r="M757" s="39" t="str">
        <f t="array" ref="M757">XLOOKUP(D757,'Category dict'!$B$1:$B$4,'Category dict'!$A$1:$A$4,0,0,1)</f>
        <v>Business</v>
      </c>
      <c r="N757" s="39" t="str">
        <f>VLOOKUP(H757,'Purpose dict'!$A$1:$B$12,2,0)</f>
        <v>NOT DEFINED</v>
      </c>
    </row>
    <row r="758" hidden="1">
      <c r="A758" s="3" t="s">
        <v>975</v>
      </c>
      <c r="B758" s="34">
        <v>42625.544444444444</v>
      </c>
      <c r="C758" s="34">
        <v>42625.572222222225</v>
      </c>
      <c r="D758" s="35">
        <v>423.0</v>
      </c>
      <c r="E758" s="3" t="s">
        <v>208</v>
      </c>
      <c r="F758" s="3" t="s">
        <v>208</v>
      </c>
      <c r="G758" s="36">
        <v>11.5</v>
      </c>
      <c r="H758" s="35">
        <v>123.0</v>
      </c>
      <c r="I758" s="37">
        <v>0.5444444444444444</v>
      </c>
      <c r="J758" s="37">
        <v>0.5722222222222222</v>
      </c>
      <c r="K758" s="38">
        <f t="shared" si="13"/>
        <v>0.02777777778</v>
      </c>
      <c r="L758" s="39" t="str">
        <f t="shared" si="2"/>
        <v>Day</v>
      </c>
      <c r="M758" s="39" t="str">
        <f t="array" ref="M758">XLOOKUP(D758,'Category dict'!$B$1:$B$4,'Category dict'!$A$1:$A$4,0,0,1)</f>
        <v>Business</v>
      </c>
      <c r="N758" s="39" t="str">
        <f>VLOOKUP(H758,'Purpose dict'!$A$1:$B$12,2,0)</f>
        <v>NOT DEFINED</v>
      </c>
    </row>
    <row r="759">
      <c r="A759" s="3" t="s">
        <v>976</v>
      </c>
      <c r="B759" s="34">
        <v>42626.705555555556</v>
      </c>
      <c r="C759" s="34">
        <v>42626.70972222222</v>
      </c>
      <c r="D759" s="35">
        <v>423.0</v>
      </c>
      <c r="E759" s="3" t="s">
        <v>208</v>
      </c>
      <c r="F759" s="3" t="s">
        <v>208</v>
      </c>
      <c r="G759" s="40">
        <v>0.7</v>
      </c>
      <c r="H759" s="35">
        <v>123.0</v>
      </c>
      <c r="I759" s="37">
        <v>0.7055555555555556</v>
      </c>
      <c r="J759" s="37">
        <v>0.7097222222222223</v>
      </c>
      <c r="K759" s="38">
        <f t="shared" si="13"/>
        <v>0.004166666667</v>
      </c>
      <c r="L759" s="39" t="str">
        <f t="shared" si="2"/>
        <v>Day</v>
      </c>
      <c r="M759" s="39" t="str">
        <f t="array" ref="M759">XLOOKUP(D759,'Category dict'!$B$1:$B$4,'Category dict'!$A$1:$A$4,0,0,1)</f>
        <v>Business</v>
      </c>
      <c r="N759" s="39" t="str">
        <f>VLOOKUP(H759,'Purpose dict'!$A$1:$B$12,2,0)</f>
        <v>NOT DEFINED</v>
      </c>
    </row>
    <row r="760">
      <c r="A760" s="3" t="s">
        <v>977</v>
      </c>
      <c r="B760" s="34">
        <v>42627.49652777778</v>
      </c>
      <c r="C760" s="34">
        <v>42627.49930555555</v>
      </c>
      <c r="D760" s="35">
        <v>423.0</v>
      </c>
      <c r="E760" s="3" t="s">
        <v>208</v>
      </c>
      <c r="F760" s="3" t="s">
        <v>208</v>
      </c>
      <c r="G760" s="40">
        <v>0.7</v>
      </c>
      <c r="H760" s="35">
        <v>123.0</v>
      </c>
      <c r="I760" s="37">
        <v>0.4965277777777778</v>
      </c>
      <c r="J760" s="37">
        <v>0.49930555555555556</v>
      </c>
      <c r="K760" s="38">
        <f t="shared" si="13"/>
        <v>0.002777777778</v>
      </c>
      <c r="L760" s="39" t="str">
        <f t="shared" si="2"/>
        <v>Morning</v>
      </c>
      <c r="M760" s="39" t="str">
        <f t="array" ref="M760">XLOOKUP(D760,'Category dict'!$B$1:$B$4,'Category dict'!$A$1:$A$4,0,0,1)</f>
        <v>Business</v>
      </c>
      <c r="N760" s="39" t="str">
        <f>VLOOKUP(H760,'Purpose dict'!$A$1:$B$12,2,0)</f>
        <v>NOT DEFINED</v>
      </c>
    </row>
    <row r="761">
      <c r="A761" s="3" t="s">
        <v>978</v>
      </c>
      <c r="B761" s="34">
        <v>42628.85625</v>
      </c>
      <c r="C761" s="34">
        <v>42628.85972222222</v>
      </c>
      <c r="D761" s="35">
        <v>423.0</v>
      </c>
      <c r="E761" s="3" t="s">
        <v>208</v>
      </c>
      <c r="F761" s="3" t="s">
        <v>208</v>
      </c>
      <c r="G761" s="40">
        <v>0.9</v>
      </c>
      <c r="H761" s="35">
        <v>123.0</v>
      </c>
      <c r="I761" s="37">
        <v>0.85625</v>
      </c>
      <c r="J761" s="37">
        <v>0.8597222222222223</v>
      </c>
      <c r="K761" s="38">
        <f t="shared" si="13"/>
        <v>0.003472222222</v>
      </c>
      <c r="L761" s="39" t="str">
        <f t="shared" si="2"/>
        <v>Evening</v>
      </c>
      <c r="M761" s="39" t="str">
        <f t="array" ref="M761">XLOOKUP(D761,'Category dict'!$B$1:$B$4,'Category dict'!$A$1:$A$4,0,0,1)</f>
        <v>Business</v>
      </c>
      <c r="N761" s="39" t="str">
        <f>VLOOKUP(H761,'Purpose dict'!$A$1:$B$12,2,0)</f>
        <v>NOT DEFINED</v>
      </c>
    </row>
    <row r="762" hidden="1">
      <c r="A762" s="3" t="s">
        <v>979</v>
      </c>
      <c r="B762" s="34">
        <v>42631.75486111111</v>
      </c>
      <c r="C762" s="34">
        <v>42631.75763888889</v>
      </c>
      <c r="D762" s="35">
        <v>423.0</v>
      </c>
      <c r="E762" s="3" t="s">
        <v>208</v>
      </c>
      <c r="F762" s="3" t="s">
        <v>208</v>
      </c>
      <c r="G762" s="36">
        <v>9.4</v>
      </c>
      <c r="H762" s="35">
        <v>123.0</v>
      </c>
      <c r="I762" s="37">
        <v>0.7548611111111111</v>
      </c>
      <c r="J762" s="37">
        <v>0.7576388888888889</v>
      </c>
      <c r="K762" s="38">
        <f t="shared" si="13"/>
        <v>0.002777777778</v>
      </c>
      <c r="L762" s="39" t="str">
        <f t="shared" si="2"/>
        <v>Evening</v>
      </c>
      <c r="M762" s="39" t="str">
        <f t="array" ref="M762">XLOOKUP(D762,'Category dict'!$B$1:$B$4,'Category dict'!$A$1:$A$4,0,0,1)</f>
        <v>Business</v>
      </c>
      <c r="N762" s="39" t="str">
        <f>VLOOKUP(H762,'Purpose dict'!$A$1:$B$12,2,0)</f>
        <v>NOT DEFINED</v>
      </c>
    </row>
    <row r="763" hidden="1">
      <c r="A763" s="3" t="s">
        <v>980</v>
      </c>
      <c r="B763" s="34">
        <v>42632.2625</v>
      </c>
      <c r="C763" s="34">
        <v>42632.28402777778</v>
      </c>
      <c r="D763" s="35">
        <v>423.0</v>
      </c>
      <c r="E763" s="3" t="s">
        <v>243</v>
      </c>
      <c r="F763" s="3" t="s">
        <v>208</v>
      </c>
      <c r="G763" s="36">
        <v>18.2</v>
      </c>
      <c r="H763" s="35">
        <v>123.0</v>
      </c>
      <c r="I763" s="37">
        <v>0.2625</v>
      </c>
      <c r="J763" s="37">
        <v>0.28402777777777777</v>
      </c>
      <c r="K763" s="38">
        <f t="shared" si="13"/>
        <v>0.02152777778</v>
      </c>
      <c r="L763" s="39" t="str">
        <f t="shared" si="2"/>
        <v>Morning</v>
      </c>
      <c r="M763" s="39" t="str">
        <f t="array" ref="M763">XLOOKUP(D763,'Category dict'!$B$1:$B$4,'Category dict'!$A$1:$A$4,0,0,1)</f>
        <v>Business</v>
      </c>
      <c r="N763" s="39" t="str">
        <f>VLOOKUP(H763,'Purpose dict'!$A$1:$B$12,2,0)</f>
        <v>NOT DEFINED</v>
      </c>
    </row>
    <row r="764" hidden="1">
      <c r="A764" s="3" t="s">
        <v>981</v>
      </c>
      <c r="B764" s="34">
        <v>42632.61111111111</v>
      </c>
      <c r="C764" s="34">
        <v>42632.62222222222</v>
      </c>
      <c r="D764" s="35">
        <v>423.0</v>
      </c>
      <c r="E764" s="3" t="s">
        <v>208</v>
      </c>
      <c r="F764" s="3" t="s">
        <v>225</v>
      </c>
      <c r="G764" s="36">
        <v>10.5</v>
      </c>
      <c r="H764" s="35">
        <v>123.0</v>
      </c>
      <c r="I764" s="37">
        <v>0.6111111111111112</v>
      </c>
      <c r="J764" s="37">
        <v>0.6222222222222222</v>
      </c>
      <c r="K764" s="38">
        <f t="shared" si="13"/>
        <v>0.01111111111</v>
      </c>
      <c r="L764" s="39" t="str">
        <f t="shared" si="2"/>
        <v>Day</v>
      </c>
      <c r="M764" s="39" t="str">
        <f t="array" ref="M764">XLOOKUP(D764,'Category dict'!$B$1:$B$4,'Category dict'!$A$1:$A$4,0,0,1)</f>
        <v>Business</v>
      </c>
      <c r="N764" s="39" t="str">
        <f>VLOOKUP(H764,'Purpose dict'!$A$1:$B$12,2,0)</f>
        <v>NOT DEFINED</v>
      </c>
    </row>
    <row r="765" hidden="1">
      <c r="A765" s="3" t="s">
        <v>982</v>
      </c>
      <c r="B765" s="34">
        <v>42632.68263888889</v>
      </c>
      <c r="C765" s="34">
        <v>42632.68819444445</v>
      </c>
      <c r="D765" s="35">
        <v>423.0</v>
      </c>
      <c r="E765" s="3" t="s">
        <v>225</v>
      </c>
      <c r="F765" s="3" t="s">
        <v>208</v>
      </c>
      <c r="G765" s="36">
        <v>5.7</v>
      </c>
      <c r="H765" s="35">
        <v>123.0</v>
      </c>
      <c r="I765" s="37">
        <v>0.6826388888888889</v>
      </c>
      <c r="J765" s="37">
        <v>0.6881944444444444</v>
      </c>
      <c r="K765" s="38">
        <f t="shared" si="13"/>
        <v>0.005555555556</v>
      </c>
      <c r="L765" s="39" t="str">
        <f t="shared" si="2"/>
        <v>Day</v>
      </c>
      <c r="M765" s="39" t="str">
        <f t="array" ref="M765">XLOOKUP(D765,'Category dict'!$B$1:$B$4,'Category dict'!$A$1:$A$4,0,0,1)</f>
        <v>Business</v>
      </c>
      <c r="N765" s="39" t="str">
        <f>VLOOKUP(H765,'Purpose dict'!$A$1:$B$12,2,0)</f>
        <v>NOT DEFINED</v>
      </c>
    </row>
    <row r="766" hidden="1">
      <c r="A766" s="3" t="s">
        <v>983</v>
      </c>
      <c r="B766" s="34">
        <v>42632.73333333333</v>
      </c>
      <c r="C766" s="34">
        <v>42632.76388888889</v>
      </c>
      <c r="D766" s="35">
        <v>423.0</v>
      </c>
      <c r="E766" s="3" t="s">
        <v>208</v>
      </c>
      <c r="F766" s="3" t="s">
        <v>208</v>
      </c>
      <c r="G766" s="36">
        <v>18.0</v>
      </c>
      <c r="H766" s="35">
        <v>123.0</v>
      </c>
      <c r="I766" s="37">
        <v>0.7333333333333333</v>
      </c>
      <c r="J766" s="37">
        <v>0.7638888888888888</v>
      </c>
      <c r="K766" s="38">
        <f t="shared" si="13"/>
        <v>0.03055555556</v>
      </c>
      <c r="L766" s="39" t="str">
        <f t="shared" si="2"/>
        <v>Day</v>
      </c>
      <c r="M766" s="39" t="str">
        <f t="array" ref="M766">XLOOKUP(D766,'Category dict'!$B$1:$B$4,'Category dict'!$A$1:$A$4,0,0,1)</f>
        <v>Business</v>
      </c>
      <c r="N766" s="39" t="str">
        <f>VLOOKUP(H766,'Purpose dict'!$A$1:$B$12,2,0)</f>
        <v>NOT DEFINED</v>
      </c>
    </row>
    <row r="767" hidden="1">
      <c r="A767" s="3" t="s">
        <v>984</v>
      </c>
      <c r="B767" s="34">
        <v>42632.79861111111</v>
      </c>
      <c r="C767" s="34">
        <v>42632.825694444444</v>
      </c>
      <c r="D767" s="35">
        <v>423.0</v>
      </c>
      <c r="E767" s="3" t="s">
        <v>208</v>
      </c>
      <c r="F767" s="3" t="s">
        <v>225</v>
      </c>
      <c r="G767" s="36">
        <v>18.3</v>
      </c>
      <c r="H767" s="35">
        <v>123.0</v>
      </c>
      <c r="I767" s="37">
        <v>0.7986111111111112</v>
      </c>
      <c r="J767" s="37">
        <v>0.8256944444444444</v>
      </c>
      <c r="K767" s="38">
        <f t="shared" si="13"/>
        <v>0.02708333333</v>
      </c>
      <c r="L767" s="39" t="str">
        <f t="shared" si="2"/>
        <v>Evening</v>
      </c>
      <c r="M767" s="39" t="str">
        <f t="array" ref="M767">XLOOKUP(D767,'Category dict'!$B$1:$B$4,'Category dict'!$A$1:$A$4,0,0,1)</f>
        <v>Business</v>
      </c>
      <c r="N767" s="39" t="str">
        <f>VLOOKUP(H767,'Purpose dict'!$A$1:$B$12,2,0)</f>
        <v>NOT DEFINED</v>
      </c>
    </row>
    <row r="768" hidden="1">
      <c r="A768" s="3" t="s">
        <v>985</v>
      </c>
      <c r="B768" s="34">
        <v>42633.478472222225</v>
      </c>
      <c r="C768" s="34">
        <v>42633.49166666667</v>
      </c>
      <c r="D768" s="35">
        <v>423.0</v>
      </c>
      <c r="E768" s="3" t="s">
        <v>225</v>
      </c>
      <c r="F768" s="3" t="s">
        <v>208</v>
      </c>
      <c r="G768" s="36">
        <v>16.5</v>
      </c>
      <c r="H768" s="35">
        <v>123.0</v>
      </c>
      <c r="I768" s="37">
        <v>0.47847222222222224</v>
      </c>
      <c r="J768" s="37">
        <v>0.49166666666666664</v>
      </c>
      <c r="K768" s="38">
        <f t="shared" si="13"/>
        <v>0.01319444444</v>
      </c>
      <c r="L768" s="39" t="str">
        <f t="shared" si="2"/>
        <v>Morning</v>
      </c>
      <c r="M768" s="39" t="str">
        <f t="array" ref="M768">XLOOKUP(D768,'Category dict'!$B$1:$B$4,'Category dict'!$A$1:$A$4,0,0,1)</f>
        <v>Business</v>
      </c>
      <c r="N768" s="39" t="str">
        <f>VLOOKUP(H768,'Purpose dict'!$A$1:$B$12,2,0)</f>
        <v>NOT DEFINED</v>
      </c>
    </row>
    <row r="769" hidden="1">
      <c r="A769" s="3" t="s">
        <v>986</v>
      </c>
      <c r="B769" s="34">
        <v>42633.86597222222</v>
      </c>
      <c r="C769" s="34">
        <v>42633.94930555556</v>
      </c>
      <c r="D769" s="35">
        <v>423.0</v>
      </c>
      <c r="E769" s="3" t="s">
        <v>208</v>
      </c>
      <c r="F769" s="3" t="s">
        <v>243</v>
      </c>
      <c r="G769" s="36">
        <v>9.6</v>
      </c>
      <c r="H769" s="35">
        <v>123.0</v>
      </c>
      <c r="I769" s="37">
        <v>0.8659722222222223</v>
      </c>
      <c r="J769" s="37">
        <v>0.9493055555555555</v>
      </c>
      <c r="K769" s="38">
        <f t="shared" si="13"/>
        <v>0.08333333333</v>
      </c>
      <c r="L769" s="39" t="str">
        <f t="shared" si="2"/>
        <v>Evening</v>
      </c>
      <c r="M769" s="39" t="str">
        <f t="array" ref="M769">XLOOKUP(D769,'Category dict'!$B$1:$B$4,'Category dict'!$A$1:$A$4,0,0,1)</f>
        <v>Business</v>
      </c>
      <c r="N769" s="39" t="str">
        <f>VLOOKUP(H769,'Purpose dict'!$A$1:$B$12,2,0)</f>
        <v>NOT DEFINED</v>
      </c>
    </row>
    <row r="770" hidden="1">
      <c r="A770" s="3" t="s">
        <v>987</v>
      </c>
      <c r="B770" s="34">
        <v>42636.552083333336</v>
      </c>
      <c r="C770" s="34">
        <v>42636.569444444445</v>
      </c>
      <c r="D770" s="35">
        <v>423.0</v>
      </c>
      <c r="E770" s="3" t="s">
        <v>988</v>
      </c>
      <c r="F770" s="3" t="s">
        <v>988</v>
      </c>
      <c r="G770" s="36">
        <v>2.9</v>
      </c>
      <c r="H770" s="35">
        <v>123.0</v>
      </c>
      <c r="I770" s="37">
        <v>0.5520833333333334</v>
      </c>
      <c r="J770" s="37">
        <v>0.5694444444444444</v>
      </c>
      <c r="K770" s="38">
        <f t="shared" si="13"/>
        <v>0.01736111111</v>
      </c>
      <c r="L770" s="39" t="str">
        <f t="shared" si="2"/>
        <v>Day</v>
      </c>
      <c r="M770" s="39" t="str">
        <f t="array" ref="M770">XLOOKUP(D770,'Category dict'!$B$1:$B$4,'Category dict'!$A$1:$A$4,0,0,1)</f>
        <v>Business</v>
      </c>
      <c r="N770" s="39" t="str">
        <f>VLOOKUP(H770,'Purpose dict'!$A$1:$B$12,2,0)</f>
        <v>NOT DEFINED</v>
      </c>
    </row>
    <row r="771" hidden="1">
      <c r="A771" s="3" t="s">
        <v>989</v>
      </c>
      <c r="B771" s="34">
        <v>42637.606944444444</v>
      </c>
      <c r="C771" s="34">
        <v>42637.635416666664</v>
      </c>
      <c r="D771" s="35">
        <v>423.0</v>
      </c>
      <c r="E771" s="3" t="s">
        <v>988</v>
      </c>
      <c r="F771" s="3" t="s">
        <v>208</v>
      </c>
      <c r="G771" s="36">
        <v>8.2</v>
      </c>
      <c r="H771" s="35">
        <v>123.0</v>
      </c>
      <c r="I771" s="37">
        <v>0.6069444444444444</v>
      </c>
      <c r="J771" s="37">
        <v>0.6354166666666666</v>
      </c>
      <c r="K771" s="38">
        <f t="shared" si="13"/>
        <v>0.02847222222</v>
      </c>
      <c r="L771" s="39" t="str">
        <f t="shared" si="2"/>
        <v>Day</v>
      </c>
      <c r="M771" s="39" t="str">
        <f t="array" ref="M771">XLOOKUP(D771,'Category dict'!$B$1:$B$4,'Category dict'!$A$1:$A$4,0,0,1)</f>
        <v>Business</v>
      </c>
      <c r="N771" s="39" t="str">
        <f>VLOOKUP(H771,'Purpose dict'!$A$1:$B$12,2,0)</f>
        <v>NOT DEFINED</v>
      </c>
    </row>
    <row r="772" hidden="1">
      <c r="A772" s="3" t="s">
        <v>990</v>
      </c>
      <c r="B772" s="34">
        <v>42637.853472222225</v>
      </c>
      <c r="C772" s="34">
        <v>42637.85625</v>
      </c>
      <c r="D772" s="35">
        <v>423.0</v>
      </c>
      <c r="E772" s="3" t="s">
        <v>208</v>
      </c>
      <c r="F772" s="3" t="s">
        <v>208</v>
      </c>
      <c r="G772" s="36">
        <v>2.4</v>
      </c>
      <c r="H772" s="35">
        <v>123.0</v>
      </c>
      <c r="I772" s="37">
        <v>0.8534722222222222</v>
      </c>
      <c r="J772" s="37">
        <v>0.85625</v>
      </c>
      <c r="K772" s="38">
        <f t="shared" si="13"/>
        <v>0.002777777778</v>
      </c>
      <c r="L772" s="39" t="str">
        <f t="shared" si="2"/>
        <v>Evening</v>
      </c>
      <c r="M772" s="39" t="str">
        <f t="array" ref="M772">XLOOKUP(D772,'Category dict'!$B$1:$B$4,'Category dict'!$A$1:$A$4,0,0,1)</f>
        <v>Business</v>
      </c>
      <c r="N772" s="39" t="str">
        <f>VLOOKUP(H772,'Purpose dict'!$A$1:$B$12,2,0)</f>
        <v>NOT DEFINED</v>
      </c>
    </row>
    <row r="773" hidden="1">
      <c r="A773" s="3" t="s">
        <v>991</v>
      </c>
      <c r="B773" s="34">
        <v>42640.35625</v>
      </c>
      <c r="C773" s="34">
        <v>42640.35763888889</v>
      </c>
      <c r="D773" s="35">
        <v>423.0</v>
      </c>
      <c r="E773" s="3" t="s">
        <v>208</v>
      </c>
      <c r="F773" s="3" t="s">
        <v>208</v>
      </c>
      <c r="G773" s="36">
        <v>5.8</v>
      </c>
      <c r="H773" s="35">
        <v>123.0</v>
      </c>
      <c r="I773" s="37">
        <v>0.35625</v>
      </c>
      <c r="J773" s="37">
        <v>0.3576388888888889</v>
      </c>
      <c r="K773" s="38">
        <f t="shared" si="13"/>
        <v>0.001388888889</v>
      </c>
      <c r="L773" s="39" t="str">
        <f t="shared" si="2"/>
        <v>Morning</v>
      </c>
      <c r="M773" s="39" t="str">
        <f t="array" ref="M773">XLOOKUP(D773,'Category dict'!$B$1:$B$4,'Category dict'!$A$1:$A$4,0,0,1)</f>
        <v>Business</v>
      </c>
      <c r="N773" s="39" t="str">
        <f>VLOOKUP(H773,'Purpose dict'!$A$1:$B$12,2,0)</f>
        <v>NOT DEFINED</v>
      </c>
    </row>
    <row r="774" hidden="1">
      <c r="A774" s="3" t="s">
        <v>992</v>
      </c>
      <c r="B774" s="34">
        <v>42640.55625</v>
      </c>
      <c r="C774" s="34">
        <v>42640.61319444444</v>
      </c>
      <c r="D774" s="35">
        <v>423.0</v>
      </c>
      <c r="E774" s="3" t="s">
        <v>930</v>
      </c>
      <c r="F774" s="3" t="s">
        <v>930</v>
      </c>
      <c r="G774" s="36">
        <v>9.8</v>
      </c>
      <c r="H774" s="35">
        <v>123.0</v>
      </c>
      <c r="I774" s="37">
        <v>0.55625</v>
      </c>
      <c r="J774" s="37">
        <v>0.6131944444444445</v>
      </c>
      <c r="K774" s="38">
        <f t="shared" si="13"/>
        <v>0.05694444444</v>
      </c>
      <c r="L774" s="39" t="str">
        <f t="shared" si="2"/>
        <v>Day</v>
      </c>
      <c r="M774" s="39" t="str">
        <f t="array" ref="M774">XLOOKUP(D774,'Category dict'!$B$1:$B$4,'Category dict'!$A$1:$A$4,0,0,1)</f>
        <v>Business</v>
      </c>
      <c r="N774" s="39" t="str">
        <f>VLOOKUP(H774,'Purpose dict'!$A$1:$B$12,2,0)</f>
        <v>NOT DEFINED</v>
      </c>
    </row>
    <row r="775" hidden="1">
      <c r="A775" s="3" t="s">
        <v>993</v>
      </c>
      <c r="B775" s="34">
        <v>42640.80138888889</v>
      </c>
      <c r="C775" s="34">
        <v>42640.856944444444</v>
      </c>
      <c r="D775" s="35">
        <v>423.0</v>
      </c>
      <c r="E775" s="3" t="s">
        <v>930</v>
      </c>
      <c r="F775" s="3" t="s">
        <v>208</v>
      </c>
      <c r="G775" s="36">
        <v>7.3</v>
      </c>
      <c r="H775" s="35">
        <v>123.0</v>
      </c>
      <c r="I775" s="37">
        <v>0.8013888888888889</v>
      </c>
      <c r="J775" s="37">
        <v>0.8569444444444444</v>
      </c>
      <c r="K775" s="38">
        <f t="shared" si="13"/>
        <v>0.05555555556</v>
      </c>
      <c r="L775" s="39" t="str">
        <f t="shared" si="2"/>
        <v>Evening</v>
      </c>
      <c r="M775" s="39" t="str">
        <f t="array" ref="M775">XLOOKUP(D775,'Category dict'!$B$1:$B$4,'Category dict'!$A$1:$A$4,0,0,1)</f>
        <v>Business</v>
      </c>
      <c r="N775" s="39" t="str">
        <f>VLOOKUP(H775,'Purpose dict'!$A$1:$B$12,2,0)</f>
        <v>NOT DEFINED</v>
      </c>
    </row>
    <row r="776">
      <c r="A776" s="3" t="s">
        <v>994</v>
      </c>
      <c r="B776" s="34">
        <v>42640.87569444445</v>
      </c>
      <c r="C776" s="34">
        <v>42641.10902777778</v>
      </c>
      <c r="D776" s="35">
        <v>423.0</v>
      </c>
      <c r="E776" s="3" t="s">
        <v>208</v>
      </c>
      <c r="F776" s="3" t="s">
        <v>208</v>
      </c>
      <c r="G776" s="40">
        <v>195.6</v>
      </c>
      <c r="H776" s="35">
        <v>123.0</v>
      </c>
      <c r="I776" s="37">
        <v>0.8756944444444444</v>
      </c>
      <c r="J776" s="37">
        <v>0.10902777777777778</v>
      </c>
      <c r="K776" s="41">
        <f>C776-B776</f>
        <v>0.2333333333</v>
      </c>
      <c r="L776" s="39" t="str">
        <f t="shared" si="2"/>
        <v>Evening</v>
      </c>
      <c r="M776" s="39" t="str">
        <f t="array" ref="M776">XLOOKUP(D776,'Category dict'!$B$1:$B$4,'Category dict'!$A$1:$A$4,0,0,1)</f>
        <v>Business</v>
      </c>
      <c r="N776" s="39" t="str">
        <f>VLOOKUP(H776,'Purpose dict'!$A$1:$B$12,2,0)</f>
        <v>NOT DEFINED</v>
      </c>
    </row>
    <row r="777" hidden="1">
      <c r="A777" s="3" t="s">
        <v>995</v>
      </c>
      <c r="B777" s="34">
        <v>42641.722916666666</v>
      </c>
      <c r="C777" s="34">
        <v>42641.816666666666</v>
      </c>
      <c r="D777" s="35">
        <v>423.0</v>
      </c>
      <c r="E777" s="3" t="s">
        <v>225</v>
      </c>
      <c r="F777" s="3" t="s">
        <v>208</v>
      </c>
      <c r="G777" s="36">
        <v>20.5</v>
      </c>
      <c r="H777" s="35">
        <v>123.0</v>
      </c>
      <c r="I777" s="37">
        <v>0.7229166666666667</v>
      </c>
      <c r="J777" s="37">
        <v>0.8166666666666667</v>
      </c>
      <c r="K777" s="38">
        <f t="shared" ref="K777:K810" si="14">J777-I777</f>
        <v>0.09375</v>
      </c>
      <c r="L777" s="39" t="str">
        <f t="shared" si="2"/>
        <v>Day</v>
      </c>
      <c r="M777" s="39" t="str">
        <f t="array" ref="M777">XLOOKUP(D777,'Category dict'!$B$1:$B$4,'Category dict'!$A$1:$A$4,0,0,1)</f>
        <v>Business</v>
      </c>
      <c r="N777" s="39" t="str">
        <f>VLOOKUP(H777,'Purpose dict'!$A$1:$B$12,2,0)</f>
        <v>NOT DEFINED</v>
      </c>
    </row>
    <row r="778" hidden="1">
      <c r="A778" s="3" t="s">
        <v>996</v>
      </c>
      <c r="B778" s="34">
        <v>42642.67569444444</v>
      </c>
      <c r="C778" s="34">
        <v>42642.782638888886</v>
      </c>
      <c r="D778" s="35">
        <v>423.0</v>
      </c>
      <c r="E778" s="3" t="s">
        <v>208</v>
      </c>
      <c r="F778" s="3" t="s">
        <v>225</v>
      </c>
      <c r="G778" s="36">
        <v>12.6</v>
      </c>
      <c r="H778" s="35">
        <v>123.0</v>
      </c>
      <c r="I778" s="37">
        <v>0.6756944444444445</v>
      </c>
      <c r="J778" s="37">
        <v>0.7826388888888889</v>
      </c>
      <c r="K778" s="38">
        <f t="shared" si="14"/>
        <v>0.1069444444</v>
      </c>
      <c r="L778" s="39" t="str">
        <f t="shared" si="2"/>
        <v>Day</v>
      </c>
      <c r="M778" s="39" t="str">
        <f t="array" ref="M778">XLOOKUP(D778,'Category dict'!$B$1:$B$4,'Category dict'!$A$1:$A$4,0,0,1)</f>
        <v>Business</v>
      </c>
      <c r="N778" s="39" t="str">
        <f>VLOOKUP(H778,'Purpose dict'!$A$1:$B$12,2,0)</f>
        <v>NOT DEFINED</v>
      </c>
    </row>
    <row r="779" hidden="1">
      <c r="A779" s="3" t="s">
        <v>997</v>
      </c>
      <c r="B779" s="34">
        <v>42643.73541666667</v>
      </c>
      <c r="C779" s="34">
        <v>42643.84722222222</v>
      </c>
      <c r="D779" s="35">
        <v>423.0</v>
      </c>
      <c r="E779" s="3" t="s">
        <v>225</v>
      </c>
      <c r="F779" s="3" t="s">
        <v>225</v>
      </c>
      <c r="G779" s="36">
        <v>37.7</v>
      </c>
      <c r="H779" s="35">
        <v>123.0</v>
      </c>
      <c r="I779" s="37">
        <v>0.7354166666666667</v>
      </c>
      <c r="J779" s="37">
        <v>0.8472222222222222</v>
      </c>
      <c r="K779" s="38">
        <f t="shared" si="14"/>
        <v>0.1118055556</v>
      </c>
      <c r="L779" s="39" t="str">
        <f t="shared" si="2"/>
        <v>Day</v>
      </c>
      <c r="M779" s="39" t="str">
        <f t="array" ref="M779">XLOOKUP(D779,'Category dict'!$B$1:$B$4,'Category dict'!$A$1:$A$4,0,0,1)</f>
        <v>Business</v>
      </c>
      <c r="N779" s="39" t="str">
        <f>VLOOKUP(H779,'Purpose dict'!$A$1:$B$12,2,0)</f>
        <v>NOT DEFINED</v>
      </c>
    </row>
    <row r="780" hidden="1">
      <c r="A780" s="3" t="s">
        <v>998</v>
      </c>
      <c r="B780" s="34">
        <v>42643.87430555555</v>
      </c>
      <c r="C780" s="34">
        <v>42643.94027777778</v>
      </c>
      <c r="D780" s="35">
        <v>423.0</v>
      </c>
      <c r="E780" s="3" t="s">
        <v>225</v>
      </c>
      <c r="F780" s="3" t="s">
        <v>208</v>
      </c>
      <c r="G780" s="36">
        <v>16.7</v>
      </c>
      <c r="H780" s="35">
        <v>123.0</v>
      </c>
      <c r="I780" s="37">
        <v>0.8743055555555556</v>
      </c>
      <c r="J780" s="37">
        <v>0.9402777777777778</v>
      </c>
      <c r="K780" s="38">
        <f t="shared" si="14"/>
        <v>0.06597222222</v>
      </c>
      <c r="L780" s="39" t="str">
        <f t="shared" si="2"/>
        <v>Evening</v>
      </c>
      <c r="M780" s="39" t="str">
        <f t="array" ref="M780">XLOOKUP(D780,'Category dict'!$B$1:$B$4,'Category dict'!$A$1:$A$4,0,0,1)</f>
        <v>Business</v>
      </c>
      <c r="N780" s="39" t="str">
        <f>VLOOKUP(H780,'Purpose dict'!$A$1:$B$12,2,0)</f>
        <v>NOT DEFINED</v>
      </c>
    </row>
    <row r="781" hidden="1">
      <c r="A781" s="3" t="s">
        <v>999</v>
      </c>
      <c r="B781" s="34">
        <v>42646.714583333334</v>
      </c>
      <c r="C781" s="34">
        <v>42646.71666666667</v>
      </c>
      <c r="D781" s="35">
        <v>423.0</v>
      </c>
      <c r="E781" s="3" t="s">
        <v>208</v>
      </c>
      <c r="F781" s="3" t="s">
        <v>225</v>
      </c>
      <c r="G781" s="36">
        <v>10.5</v>
      </c>
      <c r="H781" s="35">
        <v>123.0</v>
      </c>
      <c r="I781" s="37">
        <v>0.7145833333333333</v>
      </c>
      <c r="J781" s="37">
        <v>0.7166666666666667</v>
      </c>
      <c r="K781" s="38">
        <f t="shared" si="14"/>
        <v>0.002083333333</v>
      </c>
      <c r="L781" s="39" t="str">
        <f t="shared" si="2"/>
        <v>Day</v>
      </c>
      <c r="M781" s="39" t="str">
        <f t="array" ref="M781">XLOOKUP(D781,'Category dict'!$B$1:$B$4,'Category dict'!$A$1:$A$4,0,0,1)</f>
        <v>Business</v>
      </c>
      <c r="N781" s="39" t="str">
        <f>VLOOKUP(H781,'Purpose dict'!$A$1:$B$12,2,0)</f>
        <v>NOT DEFINED</v>
      </c>
    </row>
    <row r="782" hidden="1">
      <c r="A782" s="3" t="s">
        <v>1000</v>
      </c>
      <c r="B782" s="34">
        <v>42646.76180555556</v>
      </c>
      <c r="C782" s="34">
        <v>42646.77361111111</v>
      </c>
      <c r="D782" s="35">
        <v>423.0</v>
      </c>
      <c r="E782" s="3" t="s">
        <v>225</v>
      </c>
      <c r="F782" s="3" t="s">
        <v>225</v>
      </c>
      <c r="G782" s="36">
        <v>2.8</v>
      </c>
      <c r="H782" s="35">
        <v>123.0</v>
      </c>
      <c r="I782" s="37">
        <v>0.7618055555555555</v>
      </c>
      <c r="J782" s="37">
        <v>0.7736111111111111</v>
      </c>
      <c r="K782" s="38">
        <f t="shared" si="14"/>
        <v>0.01180555556</v>
      </c>
      <c r="L782" s="39" t="str">
        <f t="shared" si="2"/>
        <v>Evening</v>
      </c>
      <c r="M782" s="39" t="str">
        <f t="array" ref="M782">XLOOKUP(D782,'Category dict'!$B$1:$B$4,'Category dict'!$A$1:$A$4,0,0,1)</f>
        <v>Business</v>
      </c>
      <c r="N782" s="39" t="str">
        <f>VLOOKUP(H782,'Purpose dict'!$A$1:$B$12,2,0)</f>
        <v>NOT DEFINED</v>
      </c>
    </row>
    <row r="783" hidden="1">
      <c r="A783" s="3" t="s">
        <v>1001</v>
      </c>
      <c r="B783" s="34">
        <v>42646.785416666666</v>
      </c>
      <c r="C783" s="34">
        <v>42646.79236111111</v>
      </c>
      <c r="D783" s="35">
        <v>423.0</v>
      </c>
      <c r="E783" s="3" t="s">
        <v>225</v>
      </c>
      <c r="F783" s="3" t="s">
        <v>225</v>
      </c>
      <c r="G783" s="36">
        <v>1.6</v>
      </c>
      <c r="H783" s="35">
        <v>123.0</v>
      </c>
      <c r="I783" s="37">
        <v>0.7854166666666667</v>
      </c>
      <c r="J783" s="37">
        <v>0.7923611111111111</v>
      </c>
      <c r="K783" s="38">
        <f t="shared" si="14"/>
        <v>0.006944444444</v>
      </c>
      <c r="L783" s="39" t="str">
        <f t="shared" si="2"/>
        <v>Evening</v>
      </c>
      <c r="M783" s="39" t="str">
        <f t="array" ref="M783">XLOOKUP(D783,'Category dict'!$B$1:$B$4,'Category dict'!$A$1:$A$4,0,0,1)</f>
        <v>Business</v>
      </c>
      <c r="N783" s="39" t="str">
        <f>VLOOKUP(H783,'Purpose dict'!$A$1:$B$12,2,0)</f>
        <v>NOT DEFINED</v>
      </c>
    </row>
    <row r="784" hidden="1">
      <c r="A784" s="3" t="s">
        <v>1002</v>
      </c>
      <c r="B784" s="34">
        <v>42646.919444444444</v>
      </c>
      <c r="C784" s="34">
        <v>42646.93958333333</v>
      </c>
      <c r="D784" s="35">
        <v>423.0</v>
      </c>
      <c r="E784" s="3" t="s">
        <v>225</v>
      </c>
      <c r="F784" s="3" t="s">
        <v>208</v>
      </c>
      <c r="G784" s="36">
        <v>12.7</v>
      </c>
      <c r="H784" s="35">
        <v>123.0</v>
      </c>
      <c r="I784" s="37">
        <v>0.9194444444444444</v>
      </c>
      <c r="J784" s="37">
        <v>0.9395833333333333</v>
      </c>
      <c r="K784" s="38">
        <f t="shared" si="14"/>
        <v>0.02013888889</v>
      </c>
      <c r="L784" s="39" t="str">
        <f t="shared" si="2"/>
        <v>Evening</v>
      </c>
      <c r="M784" s="39" t="str">
        <f t="array" ref="M784">XLOOKUP(D784,'Category dict'!$B$1:$B$4,'Category dict'!$A$1:$A$4,0,0,1)</f>
        <v>Business</v>
      </c>
      <c r="N784" s="39" t="str">
        <f>VLOOKUP(H784,'Purpose dict'!$A$1:$B$12,2,0)</f>
        <v>NOT DEFINED</v>
      </c>
    </row>
    <row r="785" hidden="1">
      <c r="A785" s="3" t="s">
        <v>1003</v>
      </c>
      <c r="B785" s="34">
        <v>42647.40972222222</v>
      </c>
      <c r="C785" s="34">
        <v>42647.45277777778</v>
      </c>
      <c r="D785" s="35">
        <v>423.0</v>
      </c>
      <c r="E785" s="3" t="s">
        <v>208</v>
      </c>
      <c r="F785" s="3" t="s">
        <v>208</v>
      </c>
      <c r="G785" s="36">
        <v>28.6</v>
      </c>
      <c r="H785" s="35">
        <v>123.0</v>
      </c>
      <c r="I785" s="37">
        <v>0.4097222222222222</v>
      </c>
      <c r="J785" s="37">
        <v>0.4527777777777778</v>
      </c>
      <c r="K785" s="38">
        <f t="shared" si="14"/>
        <v>0.04305555556</v>
      </c>
      <c r="L785" s="39" t="str">
        <f t="shared" si="2"/>
        <v>Morning</v>
      </c>
      <c r="M785" s="39" t="str">
        <f t="array" ref="M785">XLOOKUP(D785,'Category dict'!$B$1:$B$4,'Category dict'!$A$1:$A$4,0,0,1)</f>
        <v>Business</v>
      </c>
      <c r="N785" s="39" t="str">
        <f>VLOOKUP(H785,'Purpose dict'!$A$1:$B$12,2,0)</f>
        <v>NOT DEFINED</v>
      </c>
    </row>
    <row r="786" hidden="1">
      <c r="A786" s="3" t="s">
        <v>1004</v>
      </c>
      <c r="B786" s="34">
        <v>42647.51180555556</v>
      </c>
      <c r="C786" s="34">
        <v>42647.5125</v>
      </c>
      <c r="D786" s="35">
        <v>423.0</v>
      </c>
      <c r="E786" s="3" t="s">
        <v>208</v>
      </c>
      <c r="F786" s="3" t="s">
        <v>208</v>
      </c>
      <c r="G786" s="36">
        <v>15.1</v>
      </c>
      <c r="H786" s="35">
        <v>123.0</v>
      </c>
      <c r="I786" s="37">
        <v>0.5118055555555555</v>
      </c>
      <c r="J786" s="37">
        <v>0.5125</v>
      </c>
      <c r="K786" s="38">
        <f t="shared" si="14"/>
        <v>0.0006944444444</v>
      </c>
      <c r="L786" s="39" t="str">
        <f t="shared" si="2"/>
        <v>Day</v>
      </c>
      <c r="M786" s="39" t="str">
        <f t="array" ref="M786">XLOOKUP(D786,'Category dict'!$B$1:$B$4,'Category dict'!$A$1:$A$4,0,0,1)</f>
        <v>Business</v>
      </c>
      <c r="N786" s="39" t="str">
        <f>VLOOKUP(H786,'Purpose dict'!$A$1:$B$12,2,0)</f>
        <v>NOT DEFINED</v>
      </c>
    </row>
    <row r="787" hidden="1">
      <c r="A787" s="3" t="s">
        <v>1005</v>
      </c>
      <c r="B787" s="34">
        <v>42649.36736111111</v>
      </c>
      <c r="C787" s="34">
        <v>42649.48333333333</v>
      </c>
      <c r="D787" s="35">
        <v>423.0</v>
      </c>
      <c r="E787" s="3" t="s">
        <v>208</v>
      </c>
      <c r="F787" s="3" t="s">
        <v>243</v>
      </c>
      <c r="G787" s="36">
        <v>17.9</v>
      </c>
      <c r="H787" s="35">
        <v>123.0</v>
      </c>
      <c r="I787" s="37">
        <v>0.36736111111111114</v>
      </c>
      <c r="J787" s="37">
        <v>0.48333333333333334</v>
      </c>
      <c r="K787" s="38">
        <f t="shared" si="14"/>
        <v>0.1159722222</v>
      </c>
      <c r="L787" s="39" t="str">
        <f t="shared" si="2"/>
        <v>Morning</v>
      </c>
      <c r="M787" s="39" t="str">
        <f t="array" ref="M787">XLOOKUP(D787,'Category dict'!$B$1:$B$4,'Category dict'!$A$1:$A$4,0,0,1)</f>
        <v>Business</v>
      </c>
      <c r="N787" s="39" t="str">
        <f>VLOOKUP(H787,'Purpose dict'!$A$1:$B$12,2,0)</f>
        <v>NOT DEFINED</v>
      </c>
    </row>
    <row r="788" hidden="1">
      <c r="A788" s="3" t="s">
        <v>1006</v>
      </c>
      <c r="B788" s="34">
        <v>42649.72430555556</v>
      </c>
      <c r="C788" s="34">
        <v>42649.73611111111</v>
      </c>
      <c r="D788" s="35">
        <v>423.0</v>
      </c>
      <c r="E788" s="3" t="s">
        <v>243</v>
      </c>
      <c r="F788" s="3" t="s">
        <v>208</v>
      </c>
      <c r="G788" s="36">
        <v>112.6</v>
      </c>
      <c r="H788" s="35">
        <v>123.0</v>
      </c>
      <c r="I788" s="37">
        <v>0.7243055555555555</v>
      </c>
      <c r="J788" s="37">
        <v>0.7361111111111112</v>
      </c>
      <c r="K788" s="38">
        <f t="shared" si="14"/>
        <v>0.01180555556</v>
      </c>
      <c r="L788" s="39" t="str">
        <f t="shared" si="2"/>
        <v>Day</v>
      </c>
      <c r="M788" s="39" t="str">
        <f t="array" ref="M788">XLOOKUP(D788,'Category dict'!$B$1:$B$4,'Category dict'!$A$1:$A$4,0,0,1)</f>
        <v>Business</v>
      </c>
      <c r="N788" s="39" t="str">
        <f>VLOOKUP(H788,'Purpose dict'!$A$1:$B$12,2,0)</f>
        <v>NOT DEFINED</v>
      </c>
    </row>
    <row r="789" hidden="1">
      <c r="A789" s="3" t="s">
        <v>1007</v>
      </c>
      <c r="B789" s="34">
        <v>42649.77569444444</v>
      </c>
      <c r="C789" s="34">
        <v>42649.777083333334</v>
      </c>
      <c r="D789" s="35">
        <v>423.0</v>
      </c>
      <c r="E789" s="3" t="s">
        <v>208</v>
      </c>
      <c r="F789" s="3" t="s">
        <v>208</v>
      </c>
      <c r="G789" s="36">
        <v>18.4</v>
      </c>
      <c r="H789" s="35">
        <v>123.0</v>
      </c>
      <c r="I789" s="37">
        <v>0.7756944444444445</v>
      </c>
      <c r="J789" s="37">
        <v>0.7770833333333333</v>
      </c>
      <c r="K789" s="38">
        <f t="shared" si="14"/>
        <v>0.001388888889</v>
      </c>
      <c r="L789" s="39" t="str">
        <f t="shared" si="2"/>
        <v>Evening</v>
      </c>
      <c r="M789" s="39" t="str">
        <f t="array" ref="M789">XLOOKUP(D789,'Category dict'!$B$1:$B$4,'Category dict'!$A$1:$A$4,0,0,1)</f>
        <v>Business</v>
      </c>
      <c r="N789" s="39" t="str">
        <f>VLOOKUP(H789,'Purpose dict'!$A$1:$B$12,2,0)</f>
        <v>NOT DEFINED</v>
      </c>
    </row>
    <row r="790" hidden="1">
      <c r="A790" s="3" t="s">
        <v>1008</v>
      </c>
      <c r="B790" s="34">
        <v>42649.82361111111</v>
      </c>
      <c r="C790" s="34">
        <v>42649.85138888889</v>
      </c>
      <c r="D790" s="35">
        <v>423.0</v>
      </c>
      <c r="E790" s="3" t="s">
        <v>208</v>
      </c>
      <c r="F790" s="3" t="s">
        <v>208</v>
      </c>
      <c r="G790" s="36">
        <v>13.8</v>
      </c>
      <c r="H790" s="35">
        <v>123.0</v>
      </c>
      <c r="I790" s="37">
        <v>0.8236111111111111</v>
      </c>
      <c r="J790" s="37">
        <v>0.8513888888888889</v>
      </c>
      <c r="K790" s="38">
        <f t="shared" si="14"/>
        <v>0.02777777778</v>
      </c>
      <c r="L790" s="39" t="str">
        <f t="shared" si="2"/>
        <v>Evening</v>
      </c>
      <c r="M790" s="39" t="str">
        <f t="array" ref="M790">XLOOKUP(D790,'Category dict'!$B$1:$B$4,'Category dict'!$A$1:$A$4,0,0,1)</f>
        <v>Business</v>
      </c>
      <c r="N790" s="39" t="str">
        <f>VLOOKUP(H790,'Purpose dict'!$A$1:$B$12,2,0)</f>
        <v>NOT DEFINED</v>
      </c>
    </row>
    <row r="791" hidden="1">
      <c r="A791" s="3" t="s">
        <v>1009</v>
      </c>
      <c r="B791" s="34">
        <v>42650.455555555556</v>
      </c>
      <c r="C791" s="34">
        <v>42650.45763888889</v>
      </c>
      <c r="D791" s="35">
        <v>423.0</v>
      </c>
      <c r="E791" s="3" t="s">
        <v>208</v>
      </c>
      <c r="F791" s="3" t="s">
        <v>930</v>
      </c>
      <c r="G791" s="36">
        <v>33.2</v>
      </c>
      <c r="H791" s="35">
        <v>123.0</v>
      </c>
      <c r="I791" s="37">
        <v>0.45555555555555555</v>
      </c>
      <c r="J791" s="37">
        <v>0.4576388888888889</v>
      </c>
      <c r="K791" s="38">
        <f t="shared" si="14"/>
        <v>0.002083333333</v>
      </c>
      <c r="L791" s="39" t="str">
        <f t="shared" si="2"/>
        <v>Morning</v>
      </c>
      <c r="M791" s="39" t="str">
        <f t="array" ref="M791">XLOOKUP(D791,'Category dict'!$B$1:$B$4,'Category dict'!$A$1:$A$4,0,0,1)</f>
        <v>Business</v>
      </c>
      <c r="N791" s="39" t="str">
        <f>VLOOKUP(H791,'Purpose dict'!$A$1:$B$12,2,0)</f>
        <v>NOT DEFINED</v>
      </c>
    </row>
    <row r="792" hidden="1">
      <c r="A792" s="3" t="s">
        <v>1010</v>
      </c>
      <c r="B792" s="34">
        <v>42650.47708333333</v>
      </c>
      <c r="C792" s="34">
        <v>42650.493055555555</v>
      </c>
      <c r="D792" s="35">
        <v>423.0</v>
      </c>
      <c r="E792" s="3" t="s">
        <v>930</v>
      </c>
      <c r="F792" s="3" t="s">
        <v>930</v>
      </c>
      <c r="G792" s="36">
        <v>2.6</v>
      </c>
      <c r="H792" s="35">
        <v>123.0</v>
      </c>
      <c r="I792" s="37">
        <v>0.47708333333333336</v>
      </c>
      <c r="J792" s="37">
        <v>0.4930555555555556</v>
      </c>
      <c r="K792" s="38">
        <f t="shared" si="14"/>
        <v>0.01597222222</v>
      </c>
      <c r="L792" s="39" t="str">
        <f t="shared" si="2"/>
        <v>Morning</v>
      </c>
      <c r="M792" s="39" t="str">
        <f t="array" ref="M792">XLOOKUP(D792,'Category dict'!$B$1:$B$4,'Category dict'!$A$1:$A$4,0,0,1)</f>
        <v>Business</v>
      </c>
      <c r="N792" s="39" t="str">
        <f>VLOOKUP(H792,'Purpose dict'!$A$1:$B$12,2,0)</f>
        <v>NOT DEFINED</v>
      </c>
    </row>
    <row r="793" hidden="1">
      <c r="A793" s="3" t="s">
        <v>1011</v>
      </c>
      <c r="B793" s="34">
        <v>42650.57777777778</v>
      </c>
      <c r="C793" s="34">
        <v>42650.58888888889</v>
      </c>
      <c r="D793" s="35">
        <v>423.0</v>
      </c>
      <c r="E793" s="3" t="s">
        <v>930</v>
      </c>
      <c r="F793" s="3" t="s">
        <v>208</v>
      </c>
      <c r="G793" s="36">
        <v>5.8</v>
      </c>
      <c r="H793" s="35">
        <v>123.0</v>
      </c>
      <c r="I793" s="37">
        <v>0.5777777777777777</v>
      </c>
      <c r="J793" s="37">
        <v>0.5888888888888889</v>
      </c>
      <c r="K793" s="38">
        <f t="shared" si="14"/>
        <v>0.01111111111</v>
      </c>
      <c r="L793" s="39" t="str">
        <f t="shared" si="2"/>
        <v>Day</v>
      </c>
      <c r="M793" s="39" t="str">
        <f t="array" ref="M793">XLOOKUP(D793,'Category dict'!$B$1:$B$4,'Category dict'!$A$1:$A$4,0,0,1)</f>
        <v>Business</v>
      </c>
      <c r="N793" s="39" t="str">
        <f>VLOOKUP(H793,'Purpose dict'!$A$1:$B$12,2,0)</f>
        <v>NOT DEFINED</v>
      </c>
    </row>
    <row r="794" hidden="1">
      <c r="A794" s="3" t="s">
        <v>1012</v>
      </c>
      <c r="B794" s="34">
        <v>42650.603472222225</v>
      </c>
      <c r="C794" s="34">
        <v>42650.63263888889</v>
      </c>
      <c r="D794" s="35">
        <v>423.0</v>
      </c>
      <c r="E794" s="3" t="s">
        <v>208</v>
      </c>
      <c r="F794" s="3" t="s">
        <v>930</v>
      </c>
      <c r="G794" s="36">
        <v>8.3</v>
      </c>
      <c r="H794" s="35">
        <v>123.0</v>
      </c>
      <c r="I794" s="37">
        <v>0.6034722222222222</v>
      </c>
      <c r="J794" s="37">
        <v>0.6326388888888889</v>
      </c>
      <c r="K794" s="38">
        <f t="shared" si="14"/>
        <v>0.02916666667</v>
      </c>
      <c r="L794" s="39" t="str">
        <f t="shared" si="2"/>
        <v>Day</v>
      </c>
      <c r="M794" s="39" t="str">
        <f t="array" ref="M794">XLOOKUP(D794,'Category dict'!$B$1:$B$4,'Category dict'!$A$1:$A$4,0,0,1)</f>
        <v>Business</v>
      </c>
      <c r="N794" s="39" t="str">
        <f>VLOOKUP(H794,'Purpose dict'!$A$1:$B$12,2,0)</f>
        <v>NOT DEFINED</v>
      </c>
    </row>
    <row r="795" hidden="1">
      <c r="A795" s="3" t="s">
        <v>1013</v>
      </c>
      <c r="B795" s="34">
        <v>42650.657638888886</v>
      </c>
      <c r="C795" s="34">
        <v>42650.66805555556</v>
      </c>
      <c r="D795" s="35">
        <v>423.0</v>
      </c>
      <c r="E795" s="3" t="s">
        <v>930</v>
      </c>
      <c r="F795" s="3" t="s">
        <v>930</v>
      </c>
      <c r="G795" s="36">
        <v>2.4</v>
      </c>
      <c r="H795" s="35">
        <v>123.0</v>
      </c>
      <c r="I795" s="37">
        <v>0.6576388888888889</v>
      </c>
      <c r="J795" s="37">
        <v>0.6680555555555555</v>
      </c>
      <c r="K795" s="38">
        <f t="shared" si="14"/>
        <v>0.01041666667</v>
      </c>
      <c r="L795" s="39" t="str">
        <f t="shared" si="2"/>
        <v>Day</v>
      </c>
      <c r="M795" s="39" t="str">
        <f t="array" ref="M795">XLOOKUP(D795,'Category dict'!$B$1:$B$4,'Category dict'!$A$1:$A$4,0,0,1)</f>
        <v>Business</v>
      </c>
      <c r="N795" s="39" t="str">
        <f>VLOOKUP(H795,'Purpose dict'!$A$1:$B$12,2,0)</f>
        <v>NOT DEFINED</v>
      </c>
    </row>
    <row r="796" hidden="1">
      <c r="A796" s="3" t="s">
        <v>1014</v>
      </c>
      <c r="B796" s="34">
        <v>42650.75555555556</v>
      </c>
      <c r="C796" s="34">
        <v>42650.76875</v>
      </c>
      <c r="D796" s="35">
        <v>423.0</v>
      </c>
      <c r="E796" s="3" t="s">
        <v>930</v>
      </c>
      <c r="F796" s="3" t="s">
        <v>930</v>
      </c>
      <c r="G796" s="36">
        <v>3.1</v>
      </c>
      <c r="H796" s="35">
        <v>123.0</v>
      </c>
      <c r="I796" s="37">
        <v>0.7555555555555555</v>
      </c>
      <c r="J796" s="37">
        <v>0.76875</v>
      </c>
      <c r="K796" s="38">
        <f t="shared" si="14"/>
        <v>0.01319444444</v>
      </c>
      <c r="L796" s="39" t="str">
        <f t="shared" si="2"/>
        <v>Evening</v>
      </c>
      <c r="M796" s="39" t="str">
        <f t="array" ref="M796">XLOOKUP(D796,'Category dict'!$B$1:$B$4,'Category dict'!$A$1:$A$4,0,0,1)</f>
        <v>Business</v>
      </c>
      <c r="N796" s="39" t="str">
        <f>VLOOKUP(H796,'Purpose dict'!$A$1:$B$12,2,0)</f>
        <v>NOT DEFINED</v>
      </c>
    </row>
    <row r="797" hidden="1">
      <c r="A797" s="3" t="s">
        <v>1015</v>
      </c>
      <c r="B797" s="34">
        <v>42650.77291666667</v>
      </c>
      <c r="C797" s="34">
        <v>42650.79236111111</v>
      </c>
      <c r="D797" s="35">
        <v>423.0</v>
      </c>
      <c r="E797" s="3" t="s">
        <v>930</v>
      </c>
      <c r="F797" s="3" t="s">
        <v>930</v>
      </c>
      <c r="G797" s="36">
        <v>6.1</v>
      </c>
      <c r="H797" s="35">
        <v>123.0</v>
      </c>
      <c r="I797" s="37">
        <v>0.7729166666666667</v>
      </c>
      <c r="J797" s="37">
        <v>0.7923611111111111</v>
      </c>
      <c r="K797" s="38">
        <f t="shared" si="14"/>
        <v>0.01944444444</v>
      </c>
      <c r="L797" s="39" t="str">
        <f t="shared" si="2"/>
        <v>Evening</v>
      </c>
      <c r="M797" s="39" t="str">
        <f t="array" ref="M797">XLOOKUP(D797,'Category dict'!$B$1:$B$4,'Category dict'!$A$1:$A$4,0,0,1)</f>
        <v>Business</v>
      </c>
      <c r="N797" s="39" t="str">
        <f>VLOOKUP(H797,'Purpose dict'!$A$1:$B$12,2,0)</f>
        <v>NOT DEFINED</v>
      </c>
    </row>
    <row r="798" hidden="1">
      <c r="A798" s="3" t="s">
        <v>1016</v>
      </c>
      <c r="B798" s="34">
        <v>42651.760416666664</v>
      </c>
      <c r="C798" s="34">
        <v>42651.7625</v>
      </c>
      <c r="D798" s="35">
        <v>423.0</v>
      </c>
      <c r="E798" s="3" t="s">
        <v>988</v>
      </c>
      <c r="F798" s="3" t="s">
        <v>208</v>
      </c>
      <c r="G798" s="36">
        <v>8.0</v>
      </c>
      <c r="H798" s="35">
        <v>123.0</v>
      </c>
      <c r="I798" s="37">
        <v>0.7604166666666666</v>
      </c>
      <c r="J798" s="37">
        <v>0.7625</v>
      </c>
      <c r="K798" s="38">
        <f t="shared" si="14"/>
        <v>0.002083333333</v>
      </c>
      <c r="L798" s="39" t="str">
        <f t="shared" si="2"/>
        <v>Evening</v>
      </c>
      <c r="M798" s="39" t="str">
        <f t="array" ref="M798">XLOOKUP(D798,'Category dict'!$B$1:$B$4,'Category dict'!$A$1:$A$4,0,0,1)</f>
        <v>Business</v>
      </c>
      <c r="N798" s="39" t="str">
        <f>VLOOKUP(H798,'Purpose dict'!$A$1:$B$12,2,0)</f>
        <v>NOT DEFINED</v>
      </c>
    </row>
    <row r="799" hidden="1">
      <c r="A799" s="3" t="s">
        <v>1017</v>
      </c>
      <c r="B799" s="34">
        <v>42652.58611111111</v>
      </c>
      <c r="C799" s="34">
        <v>42652.59930555556</v>
      </c>
      <c r="D799" s="35">
        <v>423.0</v>
      </c>
      <c r="E799" s="3" t="s">
        <v>208</v>
      </c>
      <c r="F799" s="3" t="s">
        <v>208</v>
      </c>
      <c r="G799" s="36">
        <v>7.7</v>
      </c>
      <c r="H799" s="35">
        <v>5.0</v>
      </c>
      <c r="I799" s="37">
        <v>0.5861111111111111</v>
      </c>
      <c r="J799" s="37">
        <v>0.5993055555555555</v>
      </c>
      <c r="K799" s="38">
        <f t="shared" si="14"/>
        <v>0.01319444444</v>
      </c>
      <c r="L799" s="39" t="str">
        <f t="shared" si="2"/>
        <v>Day</v>
      </c>
      <c r="M799" s="39" t="str">
        <f t="array" ref="M799">XLOOKUP(D799,'Category dict'!$B$1:$B$4,'Category dict'!$A$1:$A$4,0,0,1)</f>
        <v>Business</v>
      </c>
      <c r="N799" s="39" t="str">
        <f>VLOOKUP(H799,'Purpose dict'!$A$1:$B$12,2,0)</f>
        <v>Temporary Site</v>
      </c>
    </row>
    <row r="800" hidden="1">
      <c r="A800" s="3" t="s">
        <v>1018</v>
      </c>
      <c r="B800" s="34">
        <v>42653.72361111111</v>
      </c>
      <c r="C800" s="34">
        <v>42653.72777777778</v>
      </c>
      <c r="D800" s="35">
        <v>423.0</v>
      </c>
      <c r="E800" s="3" t="s">
        <v>225</v>
      </c>
      <c r="F800" s="3" t="s">
        <v>225</v>
      </c>
      <c r="G800" s="36">
        <v>1.7</v>
      </c>
      <c r="H800" s="35">
        <v>123.0</v>
      </c>
      <c r="I800" s="37">
        <v>0.7236111111111111</v>
      </c>
      <c r="J800" s="37">
        <v>0.7277777777777777</v>
      </c>
      <c r="K800" s="38">
        <f t="shared" si="14"/>
        <v>0.004166666667</v>
      </c>
      <c r="L800" s="39" t="str">
        <f t="shared" si="2"/>
        <v>Day</v>
      </c>
      <c r="M800" s="39" t="str">
        <f t="array" ref="M800">XLOOKUP(D800,'Category dict'!$B$1:$B$4,'Category dict'!$A$1:$A$4,0,0,1)</f>
        <v>Business</v>
      </c>
      <c r="N800" s="39" t="str">
        <f>VLOOKUP(H800,'Purpose dict'!$A$1:$B$12,2,0)</f>
        <v>NOT DEFINED</v>
      </c>
    </row>
    <row r="801" hidden="1">
      <c r="A801" s="3" t="s">
        <v>1019</v>
      </c>
      <c r="B801" s="34">
        <v>42653.73125</v>
      </c>
      <c r="C801" s="34">
        <v>42653.75902777778</v>
      </c>
      <c r="D801" s="35">
        <v>423.0</v>
      </c>
      <c r="E801" s="3" t="s">
        <v>225</v>
      </c>
      <c r="F801" s="3" t="s">
        <v>208</v>
      </c>
      <c r="G801" s="36">
        <v>9.5</v>
      </c>
      <c r="H801" s="35">
        <v>123.0</v>
      </c>
      <c r="I801" s="37">
        <v>0.73125</v>
      </c>
      <c r="J801" s="37">
        <v>0.7590277777777777</v>
      </c>
      <c r="K801" s="38">
        <f t="shared" si="14"/>
        <v>0.02777777778</v>
      </c>
      <c r="L801" s="39" t="str">
        <f t="shared" si="2"/>
        <v>Day</v>
      </c>
      <c r="M801" s="39" t="str">
        <f t="array" ref="M801">XLOOKUP(D801,'Category dict'!$B$1:$B$4,'Category dict'!$A$1:$A$4,0,0,1)</f>
        <v>Business</v>
      </c>
      <c r="N801" s="39" t="str">
        <f>VLOOKUP(H801,'Purpose dict'!$A$1:$B$12,2,0)</f>
        <v>NOT DEFINED</v>
      </c>
    </row>
    <row r="802" hidden="1">
      <c r="A802" s="3" t="s">
        <v>1020</v>
      </c>
      <c r="B802" s="34">
        <v>42654.06041666667</v>
      </c>
      <c r="C802" s="34">
        <v>42654.08888888889</v>
      </c>
      <c r="D802" s="35">
        <v>423.0</v>
      </c>
      <c r="E802" s="3" t="s">
        <v>208</v>
      </c>
      <c r="F802" s="3" t="s">
        <v>243</v>
      </c>
      <c r="G802" s="36">
        <v>17.1</v>
      </c>
      <c r="H802" s="35">
        <v>3.0</v>
      </c>
      <c r="I802" s="37">
        <v>0.06041666666666667</v>
      </c>
      <c r="J802" s="37">
        <v>0.08888888888888889</v>
      </c>
      <c r="K802" s="38">
        <f t="shared" si="14"/>
        <v>0.02847222222</v>
      </c>
      <c r="L802" s="39" t="str">
        <f t="shared" si="2"/>
        <v>Night</v>
      </c>
      <c r="M802" s="39" t="str">
        <f t="array" ref="M802">XLOOKUP(D802,'Category dict'!$B$1:$B$4,'Category dict'!$A$1:$A$4,0,0,1)</f>
        <v>Business</v>
      </c>
      <c r="N802" s="39" t="str">
        <f>VLOOKUP(H802,'Purpose dict'!$A$1:$B$12,2,0)</f>
        <v>Meeting</v>
      </c>
    </row>
    <row r="803" hidden="1">
      <c r="A803" s="3" t="s">
        <v>1021</v>
      </c>
      <c r="B803" s="34">
        <v>42655.80416666667</v>
      </c>
      <c r="C803" s="34">
        <v>42655.80625</v>
      </c>
      <c r="D803" s="35">
        <v>423.0</v>
      </c>
      <c r="E803" s="3" t="s">
        <v>243</v>
      </c>
      <c r="F803" s="3" t="s">
        <v>208</v>
      </c>
      <c r="G803" s="36">
        <v>18.4</v>
      </c>
      <c r="H803" s="35">
        <v>123.0</v>
      </c>
      <c r="I803" s="37">
        <v>0.8041666666666667</v>
      </c>
      <c r="J803" s="37">
        <v>0.80625</v>
      </c>
      <c r="K803" s="38">
        <f t="shared" si="14"/>
        <v>0.002083333333</v>
      </c>
      <c r="L803" s="39" t="str">
        <f t="shared" si="2"/>
        <v>Evening</v>
      </c>
      <c r="M803" s="39" t="str">
        <f t="array" ref="M803">XLOOKUP(D803,'Category dict'!$B$1:$B$4,'Category dict'!$A$1:$A$4,0,0,1)</f>
        <v>Business</v>
      </c>
      <c r="N803" s="39" t="str">
        <f>VLOOKUP(H803,'Purpose dict'!$A$1:$B$12,2,0)</f>
        <v>NOT DEFINED</v>
      </c>
    </row>
    <row r="804" hidden="1">
      <c r="A804" s="3" t="s">
        <v>1022</v>
      </c>
      <c r="B804" s="34">
        <v>42656.47222222222</v>
      </c>
      <c r="C804" s="34">
        <v>42656.498611111114</v>
      </c>
      <c r="D804" s="35">
        <v>423.0</v>
      </c>
      <c r="E804" s="3" t="s">
        <v>208</v>
      </c>
      <c r="F804" s="3" t="s">
        <v>225</v>
      </c>
      <c r="G804" s="36">
        <v>9.8</v>
      </c>
      <c r="H804" s="35">
        <v>123.0</v>
      </c>
      <c r="I804" s="37">
        <v>0.4722222222222222</v>
      </c>
      <c r="J804" s="37">
        <v>0.4986111111111111</v>
      </c>
      <c r="K804" s="38">
        <f t="shared" si="14"/>
        <v>0.02638888889</v>
      </c>
      <c r="L804" s="39" t="str">
        <f t="shared" si="2"/>
        <v>Morning</v>
      </c>
      <c r="M804" s="39" t="str">
        <f t="array" ref="M804">XLOOKUP(D804,'Category dict'!$B$1:$B$4,'Category dict'!$A$1:$A$4,0,0,1)</f>
        <v>Business</v>
      </c>
      <c r="N804" s="39" t="str">
        <f>VLOOKUP(H804,'Purpose dict'!$A$1:$B$12,2,0)</f>
        <v>NOT DEFINED</v>
      </c>
    </row>
    <row r="805">
      <c r="A805" s="3" t="s">
        <v>1023</v>
      </c>
      <c r="B805" s="34">
        <v>42656.50555555556</v>
      </c>
      <c r="C805" s="34">
        <v>42656.509722222225</v>
      </c>
      <c r="D805" s="35">
        <v>423.0</v>
      </c>
      <c r="E805" s="3" t="s">
        <v>225</v>
      </c>
      <c r="F805" s="3" t="s">
        <v>225</v>
      </c>
      <c r="G805" s="40">
        <v>1.0</v>
      </c>
      <c r="H805" s="35">
        <v>123.0</v>
      </c>
      <c r="I805" s="37">
        <v>0.5055555555555555</v>
      </c>
      <c r="J805" s="37">
        <v>0.5097222222222222</v>
      </c>
      <c r="K805" s="38">
        <f t="shared" si="14"/>
        <v>0.004166666667</v>
      </c>
      <c r="L805" s="39" t="str">
        <f t="shared" si="2"/>
        <v>Day</v>
      </c>
      <c r="M805" s="39" t="str">
        <f t="array" ref="M805">XLOOKUP(D805,'Category dict'!$B$1:$B$4,'Category dict'!$A$1:$A$4,0,0,1)</f>
        <v>Business</v>
      </c>
      <c r="N805" s="39" t="str">
        <f>VLOOKUP(H805,'Purpose dict'!$A$1:$B$12,2,0)</f>
        <v>NOT DEFINED</v>
      </c>
    </row>
    <row r="806" hidden="1">
      <c r="A806" s="3" t="s">
        <v>1024</v>
      </c>
      <c r="B806" s="34">
        <v>42656.56736111111</v>
      </c>
      <c r="C806" s="34">
        <v>42656.57361111111</v>
      </c>
      <c r="D806" s="35">
        <v>423.0</v>
      </c>
      <c r="E806" s="3" t="s">
        <v>225</v>
      </c>
      <c r="F806" s="3" t="s">
        <v>225</v>
      </c>
      <c r="G806" s="36">
        <v>2.3</v>
      </c>
      <c r="H806" s="35">
        <v>123.0</v>
      </c>
      <c r="I806" s="37">
        <v>0.5673611111111111</v>
      </c>
      <c r="J806" s="37">
        <v>0.5736111111111111</v>
      </c>
      <c r="K806" s="38">
        <f t="shared" si="14"/>
        <v>0.00625</v>
      </c>
      <c r="L806" s="39" t="str">
        <f t="shared" si="2"/>
        <v>Day</v>
      </c>
      <c r="M806" s="39" t="str">
        <f t="array" ref="M806">XLOOKUP(D806,'Category dict'!$B$1:$B$4,'Category dict'!$A$1:$A$4,0,0,1)</f>
        <v>Business</v>
      </c>
      <c r="N806" s="39" t="str">
        <f>VLOOKUP(H806,'Purpose dict'!$A$1:$B$12,2,0)</f>
        <v>NOT DEFINED</v>
      </c>
    </row>
    <row r="807" hidden="1">
      <c r="A807" s="3" t="s">
        <v>1025</v>
      </c>
      <c r="B807" s="34">
        <v>42656.67222222222</v>
      </c>
      <c r="C807" s="34">
        <v>42656.70347222222</v>
      </c>
      <c r="D807" s="35">
        <v>423.0</v>
      </c>
      <c r="E807" s="3" t="s">
        <v>225</v>
      </c>
      <c r="F807" s="3" t="s">
        <v>208</v>
      </c>
      <c r="G807" s="36">
        <v>10.9</v>
      </c>
      <c r="H807" s="35">
        <v>123.0</v>
      </c>
      <c r="I807" s="37">
        <v>0.6722222222222223</v>
      </c>
      <c r="J807" s="37">
        <v>0.7034722222222223</v>
      </c>
      <c r="K807" s="38">
        <f t="shared" si="14"/>
        <v>0.03125</v>
      </c>
      <c r="L807" s="39" t="str">
        <f t="shared" si="2"/>
        <v>Day</v>
      </c>
      <c r="M807" s="39" t="str">
        <f t="array" ref="M807">XLOOKUP(D807,'Category dict'!$B$1:$B$4,'Category dict'!$A$1:$A$4,0,0,1)</f>
        <v>Business</v>
      </c>
      <c r="N807" s="39" t="str">
        <f>VLOOKUP(H807,'Purpose dict'!$A$1:$B$12,2,0)</f>
        <v>NOT DEFINED</v>
      </c>
    </row>
    <row r="808" hidden="1">
      <c r="A808" s="3" t="s">
        <v>1026</v>
      </c>
      <c r="B808" s="34">
        <v>42657.368055555555</v>
      </c>
      <c r="C808" s="34">
        <v>42657.40555555555</v>
      </c>
      <c r="D808" s="35">
        <v>423.0</v>
      </c>
      <c r="E808" s="3" t="s">
        <v>208</v>
      </c>
      <c r="F808" s="3" t="s">
        <v>243</v>
      </c>
      <c r="G808" s="36">
        <v>12.7</v>
      </c>
      <c r="H808" s="35">
        <v>123.0</v>
      </c>
      <c r="I808" s="37">
        <v>0.3680555555555556</v>
      </c>
      <c r="J808" s="37">
        <v>0.40555555555555556</v>
      </c>
      <c r="K808" s="38">
        <f t="shared" si="14"/>
        <v>0.0375</v>
      </c>
      <c r="L808" s="39" t="str">
        <f t="shared" si="2"/>
        <v>Morning</v>
      </c>
      <c r="M808" s="39" t="str">
        <f t="array" ref="M808">XLOOKUP(D808,'Category dict'!$B$1:$B$4,'Category dict'!$A$1:$A$4,0,0,1)</f>
        <v>Business</v>
      </c>
      <c r="N808" s="39" t="str">
        <f>VLOOKUP(H808,'Purpose dict'!$A$1:$B$12,2,0)</f>
        <v>NOT DEFINED</v>
      </c>
    </row>
    <row r="809" hidden="1">
      <c r="A809" s="3" t="s">
        <v>1027</v>
      </c>
      <c r="B809" s="34">
        <v>42657.427777777775</v>
      </c>
      <c r="C809" s="34">
        <v>42657.45277777778</v>
      </c>
      <c r="D809" s="35">
        <v>423.0</v>
      </c>
      <c r="E809" s="3" t="s">
        <v>243</v>
      </c>
      <c r="F809" s="3" t="s">
        <v>208</v>
      </c>
      <c r="G809" s="36">
        <v>12.4</v>
      </c>
      <c r="H809" s="35">
        <v>123.0</v>
      </c>
      <c r="I809" s="37">
        <v>0.42777777777777776</v>
      </c>
      <c r="J809" s="37">
        <v>0.4527777777777778</v>
      </c>
      <c r="K809" s="38">
        <f t="shared" si="14"/>
        <v>0.025</v>
      </c>
      <c r="L809" s="39" t="str">
        <f t="shared" si="2"/>
        <v>Morning</v>
      </c>
      <c r="M809" s="39" t="str">
        <f t="array" ref="M809">XLOOKUP(D809,'Category dict'!$B$1:$B$4,'Category dict'!$A$1:$A$4,0,0,1)</f>
        <v>Business</v>
      </c>
      <c r="N809" s="39" t="str">
        <f>VLOOKUP(H809,'Purpose dict'!$A$1:$B$12,2,0)</f>
        <v>NOT DEFINED</v>
      </c>
    </row>
    <row r="810" hidden="1">
      <c r="A810" s="3" t="s">
        <v>1028</v>
      </c>
      <c r="B810" s="34">
        <v>42657.66388888889</v>
      </c>
      <c r="C810" s="34">
        <v>42657.680555555555</v>
      </c>
      <c r="D810" s="35">
        <v>423.0</v>
      </c>
      <c r="E810" s="3" t="s">
        <v>208</v>
      </c>
      <c r="F810" s="3" t="s">
        <v>208</v>
      </c>
      <c r="G810" s="36">
        <v>3.8</v>
      </c>
      <c r="H810" s="35">
        <v>123.0</v>
      </c>
      <c r="I810" s="37">
        <v>0.6638888888888889</v>
      </c>
      <c r="J810" s="37">
        <v>0.6805555555555556</v>
      </c>
      <c r="K810" s="38">
        <f t="shared" si="14"/>
        <v>0.01666666667</v>
      </c>
      <c r="L810" s="39" t="str">
        <f t="shared" si="2"/>
        <v>Day</v>
      </c>
      <c r="M810" s="39" t="str">
        <f t="array" ref="M810">XLOOKUP(D810,'Category dict'!$B$1:$B$4,'Category dict'!$A$1:$A$4,0,0,1)</f>
        <v>Business</v>
      </c>
      <c r="N810" s="39" t="str">
        <f>VLOOKUP(H810,'Purpose dict'!$A$1:$B$12,2,0)</f>
        <v>NOT DEFINED</v>
      </c>
    </row>
    <row r="811" hidden="1">
      <c r="A811" s="3" t="s">
        <v>1029</v>
      </c>
      <c r="B811" s="34">
        <v>42657.995833333334</v>
      </c>
      <c r="C811" s="34">
        <v>42658.0875</v>
      </c>
      <c r="D811" s="35">
        <v>423.0</v>
      </c>
      <c r="E811" s="3" t="s">
        <v>208</v>
      </c>
      <c r="F811" s="3" t="s">
        <v>243</v>
      </c>
      <c r="G811" s="36">
        <v>17.0</v>
      </c>
      <c r="H811" s="35">
        <v>3.0</v>
      </c>
      <c r="I811" s="37">
        <v>0.9958333333333333</v>
      </c>
      <c r="J811" s="37">
        <v>0.0875</v>
      </c>
      <c r="K811" s="41">
        <f>C811-B811</f>
        <v>0.09166666667</v>
      </c>
      <c r="L811" s="39" t="str">
        <f t="shared" si="2"/>
        <v>Evening</v>
      </c>
      <c r="M811" s="39" t="str">
        <f t="array" ref="M811">XLOOKUP(D811,'Category dict'!$B$1:$B$4,'Category dict'!$A$1:$A$4,0,0,1)</f>
        <v>Business</v>
      </c>
      <c r="N811" s="39" t="str">
        <f>VLOOKUP(H811,'Purpose dict'!$A$1:$B$12,2,0)</f>
        <v>Meeting</v>
      </c>
    </row>
    <row r="812" hidden="1">
      <c r="A812" s="3" t="s">
        <v>1030</v>
      </c>
      <c r="B812" s="34">
        <v>42658.936111111114</v>
      </c>
      <c r="C812" s="34">
        <v>42658.95</v>
      </c>
      <c r="D812" s="35">
        <v>423.0</v>
      </c>
      <c r="E812" s="3" t="s">
        <v>62</v>
      </c>
      <c r="F812" s="3" t="s">
        <v>62</v>
      </c>
      <c r="G812" s="36">
        <v>6.2</v>
      </c>
      <c r="H812" s="35">
        <v>123.0</v>
      </c>
      <c r="I812" s="37">
        <v>0.9361111111111111</v>
      </c>
      <c r="J812" s="37">
        <v>0.95</v>
      </c>
      <c r="K812" s="38">
        <f t="shared" ref="K812:K1152" si="15">J812-I812</f>
        <v>0.01388888889</v>
      </c>
      <c r="L812" s="39" t="str">
        <f t="shared" si="2"/>
        <v>Evening</v>
      </c>
      <c r="M812" s="39" t="str">
        <f t="array" ref="M812">XLOOKUP(D812,'Category dict'!$B$1:$B$4,'Category dict'!$A$1:$A$4,0,0,1)</f>
        <v>Business</v>
      </c>
      <c r="N812" s="39" t="str">
        <f>VLOOKUP(H812,'Purpose dict'!$A$1:$B$12,2,0)</f>
        <v>NOT DEFINED</v>
      </c>
    </row>
    <row r="813" hidden="1">
      <c r="A813" s="3" t="s">
        <v>1031</v>
      </c>
      <c r="B813" s="34">
        <v>42659.00069444445</v>
      </c>
      <c r="C813" s="34">
        <v>42659.009722222225</v>
      </c>
      <c r="D813" s="35">
        <v>423.0</v>
      </c>
      <c r="E813" s="3" t="s">
        <v>62</v>
      </c>
      <c r="F813" s="3" t="s">
        <v>60</v>
      </c>
      <c r="G813" s="36">
        <v>3.1</v>
      </c>
      <c r="H813" s="35">
        <v>123.0</v>
      </c>
      <c r="I813" s="37">
        <v>6.944444444444445E-4</v>
      </c>
      <c r="J813" s="37">
        <v>0.009722222222222222</v>
      </c>
      <c r="K813" s="38">
        <f t="shared" si="15"/>
        <v>0.009027777778</v>
      </c>
      <c r="L813" s="39" t="str">
        <f t="shared" si="2"/>
        <v>Night</v>
      </c>
      <c r="M813" s="39" t="str">
        <f t="array" ref="M813">XLOOKUP(D813,'Category dict'!$B$1:$B$4,'Category dict'!$A$1:$A$4,0,0,1)</f>
        <v>Business</v>
      </c>
      <c r="N813" s="39" t="str">
        <f>VLOOKUP(H813,'Purpose dict'!$A$1:$B$12,2,0)</f>
        <v>NOT DEFINED</v>
      </c>
    </row>
    <row r="814" hidden="1">
      <c r="A814" s="3" t="s">
        <v>1032</v>
      </c>
      <c r="B814" s="34">
        <v>42659.53611111111</v>
      </c>
      <c r="C814" s="34">
        <v>42659.549305555556</v>
      </c>
      <c r="D814" s="35">
        <v>423.0</v>
      </c>
      <c r="E814" s="3" t="s">
        <v>60</v>
      </c>
      <c r="F814" s="3" t="s">
        <v>101</v>
      </c>
      <c r="G814" s="36">
        <v>10.5</v>
      </c>
      <c r="H814" s="35">
        <v>3.0</v>
      </c>
      <c r="I814" s="37">
        <v>0.5361111111111111</v>
      </c>
      <c r="J814" s="37">
        <v>0.5493055555555556</v>
      </c>
      <c r="K814" s="38">
        <f t="shared" si="15"/>
        <v>0.01319444444</v>
      </c>
      <c r="L814" s="39" t="str">
        <f t="shared" si="2"/>
        <v>Day</v>
      </c>
      <c r="M814" s="39" t="str">
        <f t="array" ref="M814">XLOOKUP(D814,'Category dict'!$B$1:$B$4,'Category dict'!$A$1:$A$4,0,0,1)</f>
        <v>Business</v>
      </c>
      <c r="N814" s="39" t="str">
        <f>VLOOKUP(H814,'Purpose dict'!$A$1:$B$12,2,0)</f>
        <v>Meeting</v>
      </c>
    </row>
    <row r="815" hidden="1">
      <c r="A815" s="3" t="s">
        <v>1033</v>
      </c>
      <c r="B815" s="34">
        <v>42659.61111111111</v>
      </c>
      <c r="C815" s="34">
        <v>42659.62569444445</v>
      </c>
      <c r="D815" s="35">
        <v>423.0</v>
      </c>
      <c r="E815" s="3" t="s">
        <v>101</v>
      </c>
      <c r="F815" s="3" t="s">
        <v>62</v>
      </c>
      <c r="G815" s="36">
        <v>8.1</v>
      </c>
      <c r="H815" s="35">
        <v>123.0</v>
      </c>
      <c r="I815" s="37">
        <v>0.6111111111111112</v>
      </c>
      <c r="J815" s="37">
        <v>0.6256944444444444</v>
      </c>
      <c r="K815" s="38">
        <f t="shared" si="15"/>
        <v>0.01458333333</v>
      </c>
      <c r="L815" s="39" t="str">
        <f t="shared" si="2"/>
        <v>Day</v>
      </c>
      <c r="M815" s="39" t="str">
        <f t="array" ref="M815">XLOOKUP(D815,'Category dict'!$B$1:$B$4,'Category dict'!$A$1:$A$4,0,0,1)</f>
        <v>Business</v>
      </c>
      <c r="N815" s="39" t="str">
        <f>VLOOKUP(H815,'Purpose dict'!$A$1:$B$12,2,0)</f>
        <v>NOT DEFINED</v>
      </c>
    </row>
    <row r="816" hidden="1">
      <c r="A816" s="3" t="s">
        <v>1034</v>
      </c>
      <c r="B816" s="34">
        <v>42659.631944444445</v>
      </c>
      <c r="C816" s="34">
        <v>42659.638194444444</v>
      </c>
      <c r="D816" s="35">
        <v>423.0</v>
      </c>
      <c r="E816" s="3" t="s">
        <v>62</v>
      </c>
      <c r="F816" s="3" t="s">
        <v>60</v>
      </c>
      <c r="G816" s="36">
        <v>3.1</v>
      </c>
      <c r="H816" s="35">
        <v>123.0</v>
      </c>
      <c r="I816" s="37">
        <v>0.6319444444444444</v>
      </c>
      <c r="J816" s="37">
        <v>0.6381944444444444</v>
      </c>
      <c r="K816" s="38">
        <f t="shared" si="15"/>
        <v>0.00625</v>
      </c>
      <c r="L816" s="39" t="str">
        <f t="shared" si="2"/>
        <v>Day</v>
      </c>
      <c r="M816" s="39" t="str">
        <f t="array" ref="M816">XLOOKUP(D816,'Category dict'!$B$1:$B$4,'Category dict'!$A$1:$A$4,0,0,1)</f>
        <v>Business</v>
      </c>
      <c r="N816" s="39" t="str">
        <f>VLOOKUP(H816,'Purpose dict'!$A$1:$B$12,2,0)</f>
        <v>NOT DEFINED</v>
      </c>
    </row>
    <row r="817" hidden="1">
      <c r="A817" s="3" t="s">
        <v>1035</v>
      </c>
      <c r="B817" s="34">
        <v>42659.81041666667</v>
      </c>
      <c r="C817" s="34">
        <v>42659.81458333333</v>
      </c>
      <c r="D817" s="35">
        <v>423.0</v>
      </c>
      <c r="E817" s="3" t="s">
        <v>106</v>
      </c>
      <c r="F817" s="3" t="s">
        <v>497</v>
      </c>
      <c r="G817" s="36">
        <v>2.1</v>
      </c>
      <c r="H817" s="35">
        <v>3.0</v>
      </c>
      <c r="I817" s="37">
        <v>0.8104166666666667</v>
      </c>
      <c r="J817" s="37">
        <v>0.8145833333333333</v>
      </c>
      <c r="K817" s="38">
        <f t="shared" si="15"/>
        <v>0.004166666667</v>
      </c>
      <c r="L817" s="39" t="str">
        <f t="shared" si="2"/>
        <v>Evening</v>
      </c>
      <c r="M817" s="39" t="str">
        <f t="array" ref="M817">XLOOKUP(D817,'Category dict'!$B$1:$B$4,'Category dict'!$A$1:$A$4,0,0,1)</f>
        <v>Business</v>
      </c>
      <c r="N817" s="39" t="str">
        <f>VLOOKUP(H817,'Purpose dict'!$A$1:$B$12,2,0)</f>
        <v>Meeting</v>
      </c>
    </row>
    <row r="818" hidden="1">
      <c r="A818" s="3" t="s">
        <v>1036</v>
      </c>
      <c r="B818" s="34">
        <v>42659.854166666664</v>
      </c>
      <c r="C818" s="34">
        <v>42659.86041666667</v>
      </c>
      <c r="D818" s="35">
        <v>423.0</v>
      </c>
      <c r="E818" s="3" t="s">
        <v>60</v>
      </c>
      <c r="F818" s="3" t="s">
        <v>62</v>
      </c>
      <c r="G818" s="36">
        <v>4.3</v>
      </c>
      <c r="H818" s="35">
        <v>123.0</v>
      </c>
      <c r="I818" s="37">
        <v>0.8541666666666666</v>
      </c>
      <c r="J818" s="37">
        <v>0.8604166666666667</v>
      </c>
      <c r="K818" s="38">
        <f t="shared" si="15"/>
        <v>0.00625</v>
      </c>
      <c r="L818" s="39" t="str">
        <f t="shared" si="2"/>
        <v>Evening</v>
      </c>
      <c r="M818" s="39" t="str">
        <f t="array" ref="M818">XLOOKUP(D818,'Category dict'!$B$1:$B$4,'Category dict'!$A$1:$A$4,0,0,1)</f>
        <v>Business</v>
      </c>
      <c r="N818" s="39" t="str">
        <f>VLOOKUP(H818,'Purpose dict'!$A$1:$B$12,2,0)</f>
        <v>NOT DEFINED</v>
      </c>
    </row>
    <row r="819" hidden="1">
      <c r="A819" s="3" t="s">
        <v>1037</v>
      </c>
      <c r="B819" s="34">
        <v>42659.89861111111</v>
      </c>
      <c r="C819" s="34">
        <v>42659.90347222222</v>
      </c>
      <c r="D819" s="35">
        <v>423.0</v>
      </c>
      <c r="E819" s="3" t="s">
        <v>62</v>
      </c>
      <c r="F819" s="3" t="s">
        <v>60</v>
      </c>
      <c r="G819" s="36">
        <v>2.5</v>
      </c>
      <c r="H819" s="35">
        <v>1.0</v>
      </c>
      <c r="I819" s="37">
        <v>0.8986111111111111</v>
      </c>
      <c r="J819" s="37">
        <v>0.9034722222222222</v>
      </c>
      <c r="K819" s="38">
        <f t="shared" si="15"/>
        <v>0.004861111111</v>
      </c>
      <c r="L819" s="39" t="str">
        <f t="shared" si="2"/>
        <v>Evening</v>
      </c>
      <c r="M819" s="39" t="str">
        <f t="array" ref="M819">XLOOKUP(D819,'Category dict'!$B$1:$B$4,'Category dict'!$A$1:$A$4,0,0,1)</f>
        <v>Business</v>
      </c>
      <c r="N819" s="39" t="str">
        <f>VLOOKUP(H819,'Purpose dict'!$A$1:$B$12,2,0)</f>
        <v>Meal/Entertain</v>
      </c>
    </row>
    <row r="820" hidden="1">
      <c r="A820" s="3" t="s">
        <v>1038</v>
      </c>
      <c r="B820" s="34">
        <v>42660.638194444444</v>
      </c>
      <c r="C820" s="34">
        <v>42660.66458333333</v>
      </c>
      <c r="D820" s="35">
        <v>423.0</v>
      </c>
      <c r="E820" s="3" t="s">
        <v>60</v>
      </c>
      <c r="F820" s="3" t="s">
        <v>111</v>
      </c>
      <c r="G820" s="36">
        <v>20.6</v>
      </c>
      <c r="H820" s="35">
        <v>123.0</v>
      </c>
      <c r="I820" s="37">
        <v>0.6381944444444444</v>
      </c>
      <c r="J820" s="37">
        <v>0.6645833333333333</v>
      </c>
      <c r="K820" s="38">
        <f t="shared" si="15"/>
        <v>0.02638888889</v>
      </c>
      <c r="L820" s="39" t="str">
        <f t="shared" si="2"/>
        <v>Day</v>
      </c>
      <c r="M820" s="39" t="str">
        <f t="array" ref="M820">XLOOKUP(D820,'Category dict'!$B$1:$B$4,'Category dict'!$A$1:$A$4,0,0,1)</f>
        <v>Business</v>
      </c>
      <c r="N820" s="39" t="str">
        <f>VLOOKUP(H820,'Purpose dict'!$A$1:$B$12,2,0)</f>
        <v>NOT DEFINED</v>
      </c>
    </row>
    <row r="821" hidden="1">
      <c r="A821" s="3" t="s">
        <v>1039</v>
      </c>
      <c r="B821" s="34">
        <v>42660.68680555555</v>
      </c>
      <c r="C821" s="34">
        <v>42660.71597222222</v>
      </c>
      <c r="D821" s="35">
        <v>423.0</v>
      </c>
      <c r="E821" s="3" t="s">
        <v>111</v>
      </c>
      <c r="F821" s="3" t="s">
        <v>60</v>
      </c>
      <c r="G821" s="36">
        <v>17.6</v>
      </c>
      <c r="H821" s="35">
        <v>123.0</v>
      </c>
      <c r="I821" s="37">
        <v>0.6868055555555556</v>
      </c>
      <c r="J821" s="37">
        <v>0.7159722222222222</v>
      </c>
      <c r="K821" s="38">
        <f t="shared" si="15"/>
        <v>0.02916666667</v>
      </c>
      <c r="L821" s="39" t="str">
        <f t="shared" si="2"/>
        <v>Day</v>
      </c>
      <c r="M821" s="39" t="str">
        <f t="array" ref="M821">XLOOKUP(D821,'Category dict'!$B$1:$B$4,'Category dict'!$A$1:$A$4,0,0,1)</f>
        <v>Business</v>
      </c>
      <c r="N821" s="39" t="str">
        <f>VLOOKUP(H821,'Purpose dict'!$A$1:$B$12,2,0)</f>
        <v>NOT DEFINED</v>
      </c>
    </row>
    <row r="822" hidden="1">
      <c r="A822" s="3" t="s">
        <v>1040</v>
      </c>
      <c r="B822" s="34">
        <v>42660.751388888886</v>
      </c>
      <c r="C822" s="34">
        <v>42660.76111111111</v>
      </c>
      <c r="D822" s="35">
        <v>423.0</v>
      </c>
      <c r="E822" s="3" t="s">
        <v>60</v>
      </c>
      <c r="F822" s="3" t="s">
        <v>142</v>
      </c>
      <c r="G822" s="36">
        <v>5.6</v>
      </c>
      <c r="H822" s="35">
        <v>123.0</v>
      </c>
      <c r="I822" s="37">
        <v>0.7513888888888889</v>
      </c>
      <c r="J822" s="37">
        <v>0.7611111111111111</v>
      </c>
      <c r="K822" s="38">
        <f t="shared" si="15"/>
        <v>0.009722222222</v>
      </c>
      <c r="L822" s="39" t="str">
        <f t="shared" si="2"/>
        <v>Evening</v>
      </c>
      <c r="M822" s="39" t="str">
        <f t="array" ref="M822">XLOOKUP(D822,'Category dict'!$B$1:$B$4,'Category dict'!$A$1:$A$4,0,0,1)</f>
        <v>Business</v>
      </c>
      <c r="N822" s="39" t="str">
        <f>VLOOKUP(H822,'Purpose dict'!$A$1:$B$12,2,0)</f>
        <v>NOT DEFINED</v>
      </c>
    </row>
    <row r="823" hidden="1">
      <c r="A823" s="3" t="s">
        <v>1041</v>
      </c>
      <c r="B823" s="34">
        <v>42660.771527777775</v>
      </c>
      <c r="C823" s="34">
        <v>42660.78125</v>
      </c>
      <c r="D823" s="35">
        <v>423.0</v>
      </c>
      <c r="E823" s="3" t="s">
        <v>142</v>
      </c>
      <c r="F823" s="3" t="s">
        <v>142</v>
      </c>
      <c r="G823" s="36">
        <v>3.3</v>
      </c>
      <c r="H823" s="35">
        <v>123.0</v>
      </c>
      <c r="I823" s="37">
        <v>0.7715277777777778</v>
      </c>
      <c r="J823" s="37">
        <v>0.78125</v>
      </c>
      <c r="K823" s="38">
        <f t="shared" si="15"/>
        <v>0.009722222222</v>
      </c>
      <c r="L823" s="39" t="str">
        <f t="shared" si="2"/>
        <v>Evening</v>
      </c>
      <c r="M823" s="39" t="str">
        <f t="array" ref="M823">XLOOKUP(D823,'Category dict'!$B$1:$B$4,'Category dict'!$A$1:$A$4,0,0,1)</f>
        <v>Business</v>
      </c>
      <c r="N823" s="39" t="str">
        <f>VLOOKUP(H823,'Purpose dict'!$A$1:$B$12,2,0)</f>
        <v>NOT DEFINED</v>
      </c>
    </row>
    <row r="824" hidden="1">
      <c r="A824" s="3" t="s">
        <v>1042</v>
      </c>
      <c r="B824" s="34">
        <v>42660.79722222222</v>
      </c>
      <c r="C824" s="34">
        <v>42660.80902777778</v>
      </c>
      <c r="D824" s="35">
        <v>423.0</v>
      </c>
      <c r="E824" s="3" t="s">
        <v>142</v>
      </c>
      <c r="F824" s="3" t="s">
        <v>60</v>
      </c>
      <c r="G824" s="36">
        <v>5.3</v>
      </c>
      <c r="H824" s="35">
        <v>123.0</v>
      </c>
      <c r="I824" s="37">
        <v>0.7972222222222223</v>
      </c>
      <c r="J824" s="37">
        <v>0.8090277777777778</v>
      </c>
      <c r="K824" s="38">
        <f t="shared" si="15"/>
        <v>0.01180555556</v>
      </c>
      <c r="L824" s="39" t="str">
        <f t="shared" si="2"/>
        <v>Evening</v>
      </c>
      <c r="M824" s="39" t="str">
        <f t="array" ref="M824">XLOOKUP(D824,'Category dict'!$B$1:$B$4,'Category dict'!$A$1:$A$4,0,0,1)</f>
        <v>Business</v>
      </c>
      <c r="N824" s="39" t="str">
        <f>VLOOKUP(H824,'Purpose dict'!$A$1:$B$12,2,0)</f>
        <v>NOT DEFINED</v>
      </c>
    </row>
    <row r="825" hidden="1">
      <c r="A825" s="3" t="s">
        <v>1043</v>
      </c>
      <c r="B825" s="34">
        <v>42661.34166666667</v>
      </c>
      <c r="C825" s="34">
        <v>42661.34861111111</v>
      </c>
      <c r="D825" s="35">
        <v>423.0</v>
      </c>
      <c r="E825" s="3" t="s">
        <v>106</v>
      </c>
      <c r="F825" s="3" t="s">
        <v>168</v>
      </c>
      <c r="G825" s="36">
        <v>3.3</v>
      </c>
      <c r="H825" s="35">
        <v>123.0</v>
      </c>
      <c r="I825" s="37">
        <v>0.3416666666666667</v>
      </c>
      <c r="J825" s="37">
        <v>0.3486111111111111</v>
      </c>
      <c r="K825" s="38">
        <f t="shared" si="15"/>
        <v>0.006944444444</v>
      </c>
      <c r="L825" s="39" t="str">
        <f t="shared" si="2"/>
        <v>Morning</v>
      </c>
      <c r="M825" s="39" t="str">
        <f t="array" ref="M825">XLOOKUP(D825,'Category dict'!$B$1:$B$4,'Category dict'!$A$1:$A$4,0,0,1)</f>
        <v>Business</v>
      </c>
      <c r="N825" s="39" t="str">
        <f>VLOOKUP(H825,'Purpose dict'!$A$1:$B$12,2,0)</f>
        <v>NOT DEFINED</v>
      </c>
    </row>
    <row r="826" hidden="1">
      <c r="A826" s="3" t="s">
        <v>1044</v>
      </c>
      <c r="B826" s="34">
        <v>42661.37013888889</v>
      </c>
      <c r="C826" s="34">
        <v>42661.376388888886</v>
      </c>
      <c r="D826" s="35">
        <v>423.0</v>
      </c>
      <c r="E826" s="3" t="s">
        <v>168</v>
      </c>
      <c r="F826" s="3" t="s">
        <v>106</v>
      </c>
      <c r="G826" s="36">
        <v>3.3</v>
      </c>
      <c r="H826" s="35">
        <v>123.0</v>
      </c>
      <c r="I826" s="37">
        <v>0.3701388888888889</v>
      </c>
      <c r="J826" s="37">
        <v>0.3763888888888889</v>
      </c>
      <c r="K826" s="38">
        <f t="shared" si="15"/>
        <v>0.00625</v>
      </c>
      <c r="L826" s="39" t="str">
        <f t="shared" si="2"/>
        <v>Morning</v>
      </c>
      <c r="M826" s="39" t="str">
        <f t="array" ref="M826">XLOOKUP(D826,'Category dict'!$B$1:$B$4,'Category dict'!$A$1:$A$4,0,0,1)</f>
        <v>Business</v>
      </c>
      <c r="N826" s="39" t="str">
        <f>VLOOKUP(H826,'Purpose dict'!$A$1:$B$12,2,0)</f>
        <v>NOT DEFINED</v>
      </c>
    </row>
    <row r="827" hidden="1">
      <c r="A827" s="3" t="s">
        <v>1045</v>
      </c>
      <c r="B827" s="34">
        <v>42661.44513888889</v>
      </c>
      <c r="C827" s="34">
        <v>42661.464583333334</v>
      </c>
      <c r="D827" s="35">
        <v>423.0</v>
      </c>
      <c r="E827" s="3" t="s">
        <v>60</v>
      </c>
      <c r="F827" s="3" t="s">
        <v>62</v>
      </c>
      <c r="G827" s="36">
        <v>7.9</v>
      </c>
      <c r="H827" s="35">
        <v>5.0</v>
      </c>
      <c r="I827" s="37">
        <v>0.44513888888888886</v>
      </c>
      <c r="J827" s="37">
        <v>0.46458333333333335</v>
      </c>
      <c r="K827" s="38">
        <f t="shared" si="15"/>
        <v>0.01944444444</v>
      </c>
      <c r="L827" s="39" t="str">
        <f t="shared" si="2"/>
        <v>Morning</v>
      </c>
      <c r="M827" s="39" t="str">
        <f t="array" ref="M827">XLOOKUP(D827,'Category dict'!$B$1:$B$4,'Category dict'!$A$1:$A$4,0,0,1)</f>
        <v>Business</v>
      </c>
      <c r="N827" s="39" t="str">
        <f>VLOOKUP(H827,'Purpose dict'!$A$1:$B$12,2,0)</f>
        <v>Temporary Site</v>
      </c>
    </row>
    <row r="828" hidden="1">
      <c r="A828" s="3" t="s">
        <v>1046</v>
      </c>
      <c r="B828" s="34">
        <v>42661.75833333333</v>
      </c>
      <c r="C828" s="34">
        <v>42661.77291666667</v>
      </c>
      <c r="D828" s="35">
        <v>423.0</v>
      </c>
      <c r="E828" s="3" t="s">
        <v>615</v>
      </c>
      <c r="F828" s="3" t="s">
        <v>616</v>
      </c>
      <c r="G828" s="36">
        <v>13.0</v>
      </c>
      <c r="H828" s="35">
        <v>123.0</v>
      </c>
      <c r="I828" s="37">
        <v>0.7583333333333333</v>
      </c>
      <c r="J828" s="37">
        <v>0.7729166666666667</v>
      </c>
      <c r="K828" s="38">
        <f t="shared" si="15"/>
        <v>0.01458333333</v>
      </c>
      <c r="L828" s="39" t="str">
        <f t="shared" si="2"/>
        <v>Evening</v>
      </c>
      <c r="M828" s="39" t="str">
        <f t="array" ref="M828">XLOOKUP(D828,'Category dict'!$B$1:$B$4,'Category dict'!$A$1:$A$4,0,0,1)</f>
        <v>Business</v>
      </c>
      <c r="N828" s="39" t="str">
        <f>VLOOKUP(H828,'Purpose dict'!$A$1:$B$12,2,0)</f>
        <v>NOT DEFINED</v>
      </c>
    </row>
    <row r="829" hidden="1">
      <c r="A829" s="3" t="s">
        <v>1047</v>
      </c>
      <c r="B829" s="34">
        <v>42661.79375</v>
      </c>
      <c r="C829" s="34">
        <v>42661.80069444444</v>
      </c>
      <c r="D829" s="35">
        <v>423.0</v>
      </c>
      <c r="E829" s="3" t="s">
        <v>616</v>
      </c>
      <c r="F829" s="3" t="s">
        <v>618</v>
      </c>
      <c r="G829" s="36">
        <v>3.0</v>
      </c>
      <c r="H829" s="35">
        <v>123.0</v>
      </c>
      <c r="I829" s="37">
        <v>0.79375</v>
      </c>
      <c r="J829" s="37">
        <v>0.8006944444444445</v>
      </c>
      <c r="K829" s="38">
        <f t="shared" si="15"/>
        <v>0.006944444444</v>
      </c>
      <c r="L829" s="39" t="str">
        <f t="shared" si="2"/>
        <v>Evening</v>
      </c>
      <c r="M829" s="39" t="str">
        <f t="array" ref="M829">XLOOKUP(D829,'Category dict'!$B$1:$B$4,'Category dict'!$A$1:$A$4,0,0,1)</f>
        <v>Business</v>
      </c>
      <c r="N829" s="39" t="str">
        <f>VLOOKUP(H829,'Purpose dict'!$A$1:$B$12,2,0)</f>
        <v>NOT DEFINED</v>
      </c>
    </row>
    <row r="830" hidden="1">
      <c r="A830" s="3" t="s">
        <v>1048</v>
      </c>
      <c r="B830" s="34">
        <v>42661.85486111111</v>
      </c>
      <c r="C830" s="34">
        <v>42661.85902777778</v>
      </c>
      <c r="D830" s="35">
        <v>423.0</v>
      </c>
      <c r="E830" s="3" t="s">
        <v>618</v>
      </c>
      <c r="F830" s="3" t="s">
        <v>616</v>
      </c>
      <c r="G830" s="36">
        <v>3.0</v>
      </c>
      <c r="H830" s="35">
        <v>123.0</v>
      </c>
      <c r="I830" s="37">
        <v>0.8548611111111111</v>
      </c>
      <c r="J830" s="37">
        <v>0.8590277777777777</v>
      </c>
      <c r="K830" s="38">
        <f t="shared" si="15"/>
        <v>0.004166666667</v>
      </c>
      <c r="L830" s="39" t="str">
        <f t="shared" si="2"/>
        <v>Evening</v>
      </c>
      <c r="M830" s="39" t="str">
        <f t="array" ref="M830">XLOOKUP(D830,'Category dict'!$B$1:$B$4,'Category dict'!$A$1:$A$4,0,0,1)</f>
        <v>Business</v>
      </c>
      <c r="N830" s="39" t="str">
        <f>VLOOKUP(H830,'Purpose dict'!$A$1:$B$12,2,0)</f>
        <v>NOT DEFINED</v>
      </c>
    </row>
    <row r="831" hidden="1">
      <c r="A831" s="3" t="s">
        <v>1049</v>
      </c>
      <c r="B831" s="34">
        <v>42662.39791666667</v>
      </c>
      <c r="C831" s="34">
        <v>42662.407638888886</v>
      </c>
      <c r="D831" s="35">
        <v>423.0</v>
      </c>
      <c r="E831" s="3" t="s">
        <v>616</v>
      </c>
      <c r="F831" s="3" t="s">
        <v>615</v>
      </c>
      <c r="G831" s="36">
        <v>3.8</v>
      </c>
      <c r="H831" s="35">
        <v>123.0</v>
      </c>
      <c r="I831" s="37">
        <v>0.39791666666666664</v>
      </c>
      <c r="J831" s="37">
        <v>0.4076388888888889</v>
      </c>
      <c r="K831" s="38">
        <f t="shared" si="15"/>
        <v>0.009722222222</v>
      </c>
      <c r="L831" s="39" t="str">
        <f t="shared" si="2"/>
        <v>Morning</v>
      </c>
      <c r="M831" s="39" t="str">
        <f t="array" ref="M831">XLOOKUP(D831,'Category dict'!$B$1:$B$4,'Category dict'!$A$1:$A$4,0,0,1)</f>
        <v>Business</v>
      </c>
      <c r="N831" s="39" t="str">
        <f>VLOOKUP(H831,'Purpose dict'!$A$1:$B$12,2,0)</f>
        <v>NOT DEFINED</v>
      </c>
    </row>
    <row r="832" hidden="1">
      <c r="A832" s="3" t="s">
        <v>1050</v>
      </c>
      <c r="B832" s="34">
        <v>42662.4125</v>
      </c>
      <c r="C832" s="34">
        <v>42662.43125</v>
      </c>
      <c r="D832" s="35">
        <v>423.0</v>
      </c>
      <c r="E832" s="3" t="s">
        <v>615</v>
      </c>
      <c r="F832" s="3" t="s">
        <v>520</v>
      </c>
      <c r="G832" s="36">
        <v>9.5</v>
      </c>
      <c r="H832" s="35">
        <v>123.0</v>
      </c>
      <c r="I832" s="37">
        <v>0.4125</v>
      </c>
      <c r="J832" s="37">
        <v>0.43125</v>
      </c>
      <c r="K832" s="38">
        <f t="shared" si="15"/>
        <v>0.01875</v>
      </c>
      <c r="L832" s="39" t="str">
        <f t="shared" si="2"/>
        <v>Morning</v>
      </c>
      <c r="M832" s="39" t="str">
        <f t="array" ref="M832">XLOOKUP(D832,'Category dict'!$B$1:$B$4,'Category dict'!$A$1:$A$4,0,0,1)</f>
        <v>Business</v>
      </c>
      <c r="N832" s="39" t="str">
        <f>VLOOKUP(H832,'Purpose dict'!$A$1:$B$12,2,0)</f>
        <v>NOT DEFINED</v>
      </c>
    </row>
    <row r="833" hidden="1">
      <c r="A833" s="3" t="s">
        <v>1051</v>
      </c>
      <c r="B833" s="34">
        <v>42662.572916666664</v>
      </c>
      <c r="C833" s="34">
        <v>42662.580555555556</v>
      </c>
      <c r="D833" s="35">
        <v>423.0</v>
      </c>
      <c r="E833" s="3" t="s">
        <v>1052</v>
      </c>
      <c r="F833" s="3" t="s">
        <v>1053</v>
      </c>
      <c r="G833" s="36">
        <v>1.7</v>
      </c>
      <c r="H833" s="35">
        <v>123.0</v>
      </c>
      <c r="I833" s="37">
        <v>0.5729166666666666</v>
      </c>
      <c r="J833" s="37">
        <v>0.5805555555555556</v>
      </c>
      <c r="K833" s="38">
        <f t="shared" si="15"/>
        <v>0.007638888889</v>
      </c>
      <c r="L833" s="39" t="str">
        <f t="shared" si="2"/>
        <v>Day</v>
      </c>
      <c r="M833" s="39" t="str">
        <f t="array" ref="M833">XLOOKUP(D833,'Category dict'!$B$1:$B$4,'Category dict'!$A$1:$A$4,0,0,1)</f>
        <v>Business</v>
      </c>
      <c r="N833" s="39" t="str">
        <f>VLOOKUP(H833,'Purpose dict'!$A$1:$B$12,2,0)</f>
        <v>NOT DEFINED</v>
      </c>
    </row>
    <row r="834" hidden="1">
      <c r="A834" s="3" t="s">
        <v>1054</v>
      </c>
      <c r="B834" s="34">
        <v>42662.58472222222</v>
      </c>
      <c r="C834" s="34">
        <v>42662.60486111111</v>
      </c>
      <c r="D834" s="35">
        <v>423.0</v>
      </c>
      <c r="E834" s="3" t="s">
        <v>520</v>
      </c>
      <c r="F834" s="3" t="s">
        <v>618</v>
      </c>
      <c r="G834" s="36">
        <v>10.8</v>
      </c>
      <c r="H834" s="35">
        <v>123.0</v>
      </c>
      <c r="I834" s="37">
        <v>0.5847222222222223</v>
      </c>
      <c r="J834" s="37">
        <v>0.6048611111111111</v>
      </c>
      <c r="K834" s="38">
        <f t="shared" si="15"/>
        <v>0.02013888889</v>
      </c>
      <c r="L834" s="39" t="str">
        <f t="shared" si="2"/>
        <v>Day</v>
      </c>
      <c r="M834" s="39" t="str">
        <f t="array" ref="M834">XLOOKUP(D834,'Category dict'!$B$1:$B$4,'Category dict'!$A$1:$A$4,0,0,1)</f>
        <v>Business</v>
      </c>
      <c r="N834" s="39" t="str">
        <f>VLOOKUP(H834,'Purpose dict'!$A$1:$B$12,2,0)</f>
        <v>NOT DEFINED</v>
      </c>
    </row>
    <row r="835" hidden="1">
      <c r="A835" s="3" t="s">
        <v>1055</v>
      </c>
      <c r="B835" s="34">
        <v>42662.65555555555</v>
      </c>
      <c r="C835" s="34">
        <v>42662.66805555556</v>
      </c>
      <c r="D835" s="35">
        <v>423.0</v>
      </c>
      <c r="E835" s="3" t="s">
        <v>1056</v>
      </c>
      <c r="F835" s="3" t="s">
        <v>1057</v>
      </c>
      <c r="G835" s="36">
        <v>4.1</v>
      </c>
      <c r="H835" s="35">
        <v>123.0</v>
      </c>
      <c r="I835" s="37">
        <v>0.6555555555555556</v>
      </c>
      <c r="J835" s="37">
        <v>0.6680555555555555</v>
      </c>
      <c r="K835" s="38">
        <f t="shared" si="15"/>
        <v>0.0125</v>
      </c>
      <c r="L835" s="39" t="str">
        <f t="shared" si="2"/>
        <v>Day</v>
      </c>
      <c r="M835" s="39" t="str">
        <f t="array" ref="M835">XLOOKUP(D835,'Category dict'!$B$1:$B$4,'Category dict'!$A$1:$A$4,0,0,1)</f>
        <v>Business</v>
      </c>
      <c r="N835" s="39" t="str">
        <f>VLOOKUP(H835,'Purpose dict'!$A$1:$B$12,2,0)</f>
        <v>NOT DEFINED</v>
      </c>
    </row>
    <row r="836" hidden="1">
      <c r="A836" s="3" t="s">
        <v>1058</v>
      </c>
      <c r="B836" s="34">
        <v>42662.67083333333</v>
      </c>
      <c r="C836" s="34">
        <v>42662.67986111111</v>
      </c>
      <c r="D836" s="35">
        <v>423.0</v>
      </c>
      <c r="E836" s="3" t="s">
        <v>1057</v>
      </c>
      <c r="F836" s="3" t="s">
        <v>1059</v>
      </c>
      <c r="G836" s="36">
        <v>2.2</v>
      </c>
      <c r="H836" s="35">
        <v>123.0</v>
      </c>
      <c r="I836" s="37">
        <v>0.6708333333333333</v>
      </c>
      <c r="J836" s="37">
        <v>0.6798611111111111</v>
      </c>
      <c r="K836" s="38">
        <f t="shared" si="15"/>
        <v>0.009027777778</v>
      </c>
      <c r="L836" s="39" t="str">
        <f t="shared" si="2"/>
        <v>Day</v>
      </c>
      <c r="M836" s="39" t="str">
        <f t="array" ref="M836">XLOOKUP(D836,'Category dict'!$B$1:$B$4,'Category dict'!$A$1:$A$4,0,0,1)</f>
        <v>Business</v>
      </c>
      <c r="N836" s="39" t="str">
        <f>VLOOKUP(H836,'Purpose dict'!$A$1:$B$12,2,0)</f>
        <v>NOT DEFINED</v>
      </c>
    </row>
    <row r="837" hidden="1">
      <c r="A837" s="3" t="s">
        <v>1060</v>
      </c>
      <c r="B837" s="34">
        <v>42662.68958333333</v>
      </c>
      <c r="C837" s="34">
        <v>42662.709027777775</v>
      </c>
      <c r="D837" s="35">
        <v>423.0</v>
      </c>
      <c r="E837" s="3" t="s">
        <v>618</v>
      </c>
      <c r="F837" s="3" t="s">
        <v>616</v>
      </c>
      <c r="G837" s="36">
        <v>4.6</v>
      </c>
      <c r="H837" s="35">
        <v>123.0</v>
      </c>
      <c r="I837" s="37">
        <v>0.6895833333333333</v>
      </c>
      <c r="J837" s="37">
        <v>0.7090277777777778</v>
      </c>
      <c r="K837" s="38">
        <f t="shared" si="15"/>
        <v>0.01944444444</v>
      </c>
      <c r="L837" s="39" t="str">
        <f t="shared" si="2"/>
        <v>Day</v>
      </c>
      <c r="M837" s="39" t="str">
        <f t="array" ref="M837">XLOOKUP(D837,'Category dict'!$B$1:$B$4,'Category dict'!$A$1:$A$4,0,0,1)</f>
        <v>Business</v>
      </c>
      <c r="N837" s="39" t="str">
        <f>VLOOKUP(H837,'Purpose dict'!$A$1:$B$12,2,0)</f>
        <v>NOT DEFINED</v>
      </c>
    </row>
    <row r="838" hidden="1">
      <c r="A838" s="3" t="s">
        <v>1061</v>
      </c>
      <c r="B838" s="34">
        <v>42663.47638888889</v>
      </c>
      <c r="C838" s="34">
        <v>42663.481944444444</v>
      </c>
      <c r="D838" s="35">
        <v>423.0</v>
      </c>
      <c r="E838" s="3" t="s">
        <v>616</v>
      </c>
      <c r="F838" s="3" t="s">
        <v>618</v>
      </c>
      <c r="G838" s="36">
        <v>3.1</v>
      </c>
      <c r="H838" s="35">
        <v>123.0</v>
      </c>
      <c r="I838" s="37">
        <v>0.47638888888888886</v>
      </c>
      <c r="J838" s="37">
        <v>0.48194444444444445</v>
      </c>
      <c r="K838" s="38">
        <f t="shared" si="15"/>
        <v>0.005555555556</v>
      </c>
      <c r="L838" s="39" t="str">
        <f t="shared" si="2"/>
        <v>Morning</v>
      </c>
      <c r="M838" s="39" t="str">
        <f t="array" ref="M838">XLOOKUP(D838,'Category dict'!$B$1:$B$4,'Category dict'!$A$1:$A$4,0,0,1)</f>
        <v>Business</v>
      </c>
      <c r="N838" s="39" t="str">
        <f>VLOOKUP(H838,'Purpose dict'!$A$1:$B$12,2,0)</f>
        <v>NOT DEFINED</v>
      </c>
    </row>
    <row r="839" hidden="1">
      <c r="A839" s="3" t="s">
        <v>1062</v>
      </c>
      <c r="B839" s="34">
        <v>42663.513194444444</v>
      </c>
      <c r="C839" s="34">
        <v>42663.55347222222</v>
      </c>
      <c r="D839" s="35">
        <v>423.0</v>
      </c>
      <c r="E839" s="3" t="s">
        <v>618</v>
      </c>
      <c r="F839" s="3" t="s">
        <v>1063</v>
      </c>
      <c r="G839" s="36">
        <v>47.7</v>
      </c>
      <c r="H839" s="35">
        <v>123.0</v>
      </c>
      <c r="I839" s="37">
        <v>0.5131944444444444</v>
      </c>
      <c r="J839" s="37">
        <v>0.5534722222222223</v>
      </c>
      <c r="K839" s="38">
        <f t="shared" si="15"/>
        <v>0.04027777778</v>
      </c>
      <c r="L839" s="39" t="str">
        <f t="shared" si="2"/>
        <v>Day</v>
      </c>
      <c r="M839" s="39" t="str">
        <f t="array" ref="M839">XLOOKUP(D839,'Category dict'!$B$1:$B$4,'Category dict'!$A$1:$A$4,0,0,1)</f>
        <v>Business</v>
      </c>
      <c r="N839" s="39" t="str">
        <f>VLOOKUP(H839,'Purpose dict'!$A$1:$B$12,2,0)</f>
        <v>NOT DEFINED</v>
      </c>
    </row>
    <row r="840" hidden="1">
      <c r="A840" s="3" t="s">
        <v>1064</v>
      </c>
      <c r="B840" s="34">
        <v>42663.86388888889</v>
      </c>
      <c r="C840" s="34">
        <v>42663.90069444444</v>
      </c>
      <c r="D840" s="35">
        <v>423.0</v>
      </c>
      <c r="E840" s="3" t="s">
        <v>1063</v>
      </c>
      <c r="F840" s="3" t="s">
        <v>616</v>
      </c>
      <c r="G840" s="36">
        <v>44.6</v>
      </c>
      <c r="H840" s="35">
        <v>123.0</v>
      </c>
      <c r="I840" s="37">
        <v>0.8638888888888889</v>
      </c>
      <c r="J840" s="37">
        <v>0.9006944444444445</v>
      </c>
      <c r="K840" s="38">
        <f t="shared" si="15"/>
        <v>0.03680555556</v>
      </c>
      <c r="L840" s="39" t="str">
        <f t="shared" si="2"/>
        <v>Evening</v>
      </c>
      <c r="M840" s="39" t="str">
        <f t="array" ref="M840">XLOOKUP(D840,'Category dict'!$B$1:$B$4,'Category dict'!$A$1:$A$4,0,0,1)</f>
        <v>Business</v>
      </c>
      <c r="N840" s="39" t="str">
        <f>VLOOKUP(H840,'Purpose dict'!$A$1:$B$12,2,0)</f>
        <v>NOT DEFINED</v>
      </c>
    </row>
    <row r="841" hidden="1">
      <c r="A841" s="3" t="s">
        <v>1065</v>
      </c>
      <c r="B841" s="34">
        <v>42664.42083333333</v>
      </c>
      <c r="C841" s="34">
        <v>42664.43125</v>
      </c>
      <c r="D841" s="35">
        <v>423.0</v>
      </c>
      <c r="E841" s="3" t="s">
        <v>616</v>
      </c>
      <c r="F841" s="3" t="s">
        <v>615</v>
      </c>
      <c r="G841" s="36">
        <v>13.2</v>
      </c>
      <c r="H841" s="35">
        <v>123.0</v>
      </c>
      <c r="I841" s="37">
        <v>0.42083333333333334</v>
      </c>
      <c r="J841" s="37">
        <v>0.43125</v>
      </c>
      <c r="K841" s="38">
        <f t="shared" si="15"/>
        <v>0.01041666667</v>
      </c>
      <c r="L841" s="39" t="str">
        <f t="shared" si="2"/>
        <v>Morning</v>
      </c>
      <c r="M841" s="39" t="str">
        <f t="array" ref="M841">XLOOKUP(D841,'Category dict'!$B$1:$B$4,'Category dict'!$A$1:$A$4,0,0,1)</f>
        <v>Business</v>
      </c>
      <c r="N841" s="39" t="str">
        <f>VLOOKUP(H841,'Purpose dict'!$A$1:$B$12,2,0)</f>
        <v>NOT DEFINED</v>
      </c>
    </row>
    <row r="842" hidden="1">
      <c r="A842" s="3" t="s">
        <v>1066</v>
      </c>
      <c r="B842" s="34">
        <v>42665.0375</v>
      </c>
      <c r="C842" s="34">
        <v>42665.04791666667</v>
      </c>
      <c r="D842" s="35">
        <v>423.0</v>
      </c>
      <c r="E842" s="3" t="s">
        <v>62</v>
      </c>
      <c r="F842" s="3" t="s">
        <v>60</v>
      </c>
      <c r="G842" s="36">
        <v>8.7</v>
      </c>
      <c r="H842" s="35">
        <v>123.0</v>
      </c>
      <c r="I842" s="37">
        <v>0.0375</v>
      </c>
      <c r="J842" s="37">
        <v>0.04791666666666667</v>
      </c>
      <c r="K842" s="38">
        <f t="shared" si="15"/>
        <v>0.01041666667</v>
      </c>
      <c r="L842" s="39" t="str">
        <f t="shared" si="2"/>
        <v>Night</v>
      </c>
      <c r="M842" s="39" t="str">
        <f t="array" ref="M842">XLOOKUP(D842,'Category dict'!$B$1:$B$4,'Category dict'!$A$1:$A$4,0,0,1)</f>
        <v>Business</v>
      </c>
      <c r="N842" s="39" t="str">
        <f>VLOOKUP(H842,'Purpose dict'!$A$1:$B$12,2,0)</f>
        <v>NOT DEFINED</v>
      </c>
    </row>
    <row r="843" hidden="1">
      <c r="A843" s="3" t="s">
        <v>1067</v>
      </c>
      <c r="B843" s="34">
        <v>42665.55972222222</v>
      </c>
      <c r="C843" s="34">
        <v>42665.58541666667</v>
      </c>
      <c r="D843" s="35">
        <v>423.0</v>
      </c>
      <c r="E843" s="3" t="s">
        <v>60</v>
      </c>
      <c r="F843" s="3" t="s">
        <v>111</v>
      </c>
      <c r="G843" s="36">
        <v>17.2</v>
      </c>
      <c r="H843" s="35">
        <v>123.0</v>
      </c>
      <c r="I843" s="37">
        <v>0.5597222222222222</v>
      </c>
      <c r="J843" s="37">
        <v>0.5854166666666667</v>
      </c>
      <c r="K843" s="38">
        <f t="shared" si="15"/>
        <v>0.02569444444</v>
      </c>
      <c r="L843" s="39" t="str">
        <f t="shared" si="2"/>
        <v>Day</v>
      </c>
      <c r="M843" s="39" t="str">
        <f t="array" ref="M843">XLOOKUP(D843,'Category dict'!$B$1:$B$4,'Category dict'!$A$1:$A$4,0,0,1)</f>
        <v>Business</v>
      </c>
      <c r="N843" s="39" t="str">
        <f>VLOOKUP(H843,'Purpose dict'!$A$1:$B$12,2,0)</f>
        <v>NOT DEFINED</v>
      </c>
    </row>
    <row r="844" hidden="1">
      <c r="A844" s="3" t="s">
        <v>1068</v>
      </c>
      <c r="B844" s="34">
        <v>42665.71388888889</v>
      </c>
      <c r="C844" s="34">
        <v>42665.74652777778</v>
      </c>
      <c r="D844" s="35">
        <v>423.0</v>
      </c>
      <c r="E844" s="3" t="s">
        <v>111</v>
      </c>
      <c r="F844" s="3" t="s">
        <v>60</v>
      </c>
      <c r="G844" s="36">
        <v>14.0</v>
      </c>
      <c r="H844" s="35">
        <v>123.0</v>
      </c>
      <c r="I844" s="37">
        <v>0.7138888888888889</v>
      </c>
      <c r="J844" s="37">
        <v>0.7465277777777778</v>
      </c>
      <c r="K844" s="38">
        <f t="shared" si="15"/>
        <v>0.03263888889</v>
      </c>
      <c r="L844" s="39" t="str">
        <f t="shared" si="2"/>
        <v>Day</v>
      </c>
      <c r="M844" s="39" t="str">
        <f t="array" ref="M844">XLOOKUP(D844,'Category dict'!$B$1:$B$4,'Category dict'!$A$1:$A$4,0,0,1)</f>
        <v>Business</v>
      </c>
      <c r="N844" s="39" t="str">
        <f>VLOOKUP(H844,'Purpose dict'!$A$1:$B$12,2,0)</f>
        <v>NOT DEFINED</v>
      </c>
    </row>
    <row r="845" hidden="1">
      <c r="A845" s="3" t="s">
        <v>1069</v>
      </c>
      <c r="B845" s="34">
        <v>42666.39166666667</v>
      </c>
      <c r="C845" s="34">
        <v>42666.42013888889</v>
      </c>
      <c r="D845" s="35">
        <v>423.0</v>
      </c>
      <c r="E845" s="3" t="s">
        <v>60</v>
      </c>
      <c r="F845" s="3" t="s">
        <v>111</v>
      </c>
      <c r="G845" s="36">
        <v>28.1</v>
      </c>
      <c r="H845" s="35">
        <v>123.0</v>
      </c>
      <c r="I845" s="37">
        <v>0.39166666666666666</v>
      </c>
      <c r="J845" s="37">
        <v>0.4201388888888889</v>
      </c>
      <c r="K845" s="38">
        <f t="shared" si="15"/>
        <v>0.02847222222</v>
      </c>
      <c r="L845" s="39" t="str">
        <f t="shared" si="2"/>
        <v>Morning</v>
      </c>
      <c r="M845" s="39" t="str">
        <f t="array" ref="M845">XLOOKUP(D845,'Category dict'!$B$1:$B$4,'Category dict'!$A$1:$A$4,0,0,1)</f>
        <v>Business</v>
      </c>
      <c r="N845" s="39" t="str">
        <f>VLOOKUP(H845,'Purpose dict'!$A$1:$B$12,2,0)</f>
        <v>NOT DEFINED</v>
      </c>
    </row>
    <row r="846" hidden="1">
      <c r="A846" s="3" t="s">
        <v>1070</v>
      </c>
      <c r="B846" s="34">
        <v>42666.51180555556</v>
      </c>
      <c r="C846" s="34">
        <v>42666.540972222225</v>
      </c>
      <c r="D846" s="35">
        <v>423.0</v>
      </c>
      <c r="E846" s="3" t="s">
        <v>111</v>
      </c>
      <c r="F846" s="3" t="s">
        <v>60</v>
      </c>
      <c r="G846" s="36">
        <v>28.2</v>
      </c>
      <c r="H846" s="35">
        <v>123.0</v>
      </c>
      <c r="I846" s="37">
        <v>0.5118055555555555</v>
      </c>
      <c r="J846" s="37">
        <v>0.5409722222222222</v>
      </c>
      <c r="K846" s="38">
        <f t="shared" si="15"/>
        <v>0.02916666667</v>
      </c>
      <c r="L846" s="39" t="str">
        <f t="shared" si="2"/>
        <v>Day</v>
      </c>
      <c r="M846" s="39" t="str">
        <f t="array" ref="M846">XLOOKUP(D846,'Category dict'!$B$1:$B$4,'Category dict'!$A$1:$A$4,0,0,1)</f>
        <v>Business</v>
      </c>
      <c r="N846" s="39" t="str">
        <f>VLOOKUP(H846,'Purpose dict'!$A$1:$B$12,2,0)</f>
        <v>NOT DEFINED</v>
      </c>
    </row>
    <row r="847" hidden="1">
      <c r="A847" s="3" t="s">
        <v>1071</v>
      </c>
      <c r="B847" s="34">
        <v>42666.794444444444</v>
      </c>
      <c r="C847" s="34">
        <v>42666.80138888889</v>
      </c>
      <c r="D847" s="35">
        <v>423.0</v>
      </c>
      <c r="E847" s="3" t="s">
        <v>60</v>
      </c>
      <c r="F847" s="3" t="s">
        <v>62</v>
      </c>
      <c r="G847" s="36">
        <v>3.1</v>
      </c>
      <c r="H847" s="35">
        <v>1.0</v>
      </c>
      <c r="I847" s="37">
        <v>0.7944444444444444</v>
      </c>
      <c r="J847" s="37">
        <v>0.8013888888888889</v>
      </c>
      <c r="K847" s="38">
        <f t="shared" si="15"/>
        <v>0.006944444444</v>
      </c>
      <c r="L847" s="39" t="str">
        <f t="shared" si="2"/>
        <v>Evening</v>
      </c>
      <c r="M847" s="39" t="str">
        <f t="array" ref="M847">XLOOKUP(D847,'Category dict'!$B$1:$B$4,'Category dict'!$A$1:$A$4,0,0,1)</f>
        <v>Business</v>
      </c>
      <c r="N847" s="39" t="str">
        <f>VLOOKUP(H847,'Purpose dict'!$A$1:$B$12,2,0)</f>
        <v>Meal/Entertain</v>
      </c>
    </row>
    <row r="848" hidden="1">
      <c r="A848" s="3" t="s">
        <v>1072</v>
      </c>
      <c r="B848" s="34">
        <v>42666.881944444445</v>
      </c>
      <c r="C848" s="34">
        <v>42666.89236111111</v>
      </c>
      <c r="D848" s="35">
        <v>423.0</v>
      </c>
      <c r="E848" s="3" t="s">
        <v>62</v>
      </c>
      <c r="F848" s="3" t="s">
        <v>60</v>
      </c>
      <c r="G848" s="36">
        <v>3.1</v>
      </c>
      <c r="H848" s="35">
        <v>4.0</v>
      </c>
      <c r="I848" s="37">
        <v>0.8819444444444444</v>
      </c>
      <c r="J848" s="37">
        <v>0.8923611111111112</v>
      </c>
      <c r="K848" s="38">
        <f t="shared" si="15"/>
        <v>0.01041666667</v>
      </c>
      <c r="L848" s="39" t="str">
        <f t="shared" si="2"/>
        <v>Evening</v>
      </c>
      <c r="M848" s="39" t="str">
        <f t="array" ref="M848">XLOOKUP(D848,'Category dict'!$B$1:$B$4,'Category dict'!$A$1:$A$4,0,0,1)</f>
        <v>Business</v>
      </c>
      <c r="N848" s="39" t="str">
        <f>VLOOKUP(H848,'Purpose dict'!$A$1:$B$12,2,0)</f>
        <v>Customer Visit</v>
      </c>
    </row>
    <row r="849" hidden="1">
      <c r="A849" s="3" t="s">
        <v>1073</v>
      </c>
      <c r="B849" s="34">
        <v>42667.62291666667</v>
      </c>
      <c r="C849" s="34">
        <v>42667.643055555556</v>
      </c>
      <c r="D849" s="35">
        <v>423.0</v>
      </c>
      <c r="E849" s="3" t="s">
        <v>60</v>
      </c>
      <c r="F849" s="3" t="s">
        <v>101</v>
      </c>
      <c r="G849" s="36">
        <v>16.4</v>
      </c>
      <c r="H849" s="35">
        <v>123.0</v>
      </c>
      <c r="I849" s="37">
        <v>0.6229166666666667</v>
      </c>
      <c r="J849" s="37">
        <v>0.6430555555555556</v>
      </c>
      <c r="K849" s="38">
        <f t="shared" si="15"/>
        <v>0.02013888889</v>
      </c>
      <c r="L849" s="39" t="str">
        <f t="shared" si="2"/>
        <v>Day</v>
      </c>
      <c r="M849" s="39" t="str">
        <f t="array" ref="M849">XLOOKUP(D849,'Category dict'!$B$1:$B$4,'Category dict'!$A$1:$A$4,0,0,1)</f>
        <v>Business</v>
      </c>
      <c r="N849" s="39" t="str">
        <f>VLOOKUP(H849,'Purpose dict'!$A$1:$B$12,2,0)</f>
        <v>NOT DEFINED</v>
      </c>
    </row>
    <row r="850" hidden="1">
      <c r="A850" s="3" t="s">
        <v>1074</v>
      </c>
      <c r="B850" s="34">
        <v>42667.64791666667</v>
      </c>
      <c r="C850" s="34">
        <v>42667.67569444444</v>
      </c>
      <c r="D850" s="35">
        <v>423.0</v>
      </c>
      <c r="E850" s="3" t="s">
        <v>101</v>
      </c>
      <c r="F850" s="3" t="s">
        <v>62</v>
      </c>
      <c r="G850" s="36">
        <v>15.4</v>
      </c>
      <c r="H850" s="35">
        <v>123.0</v>
      </c>
      <c r="I850" s="37">
        <v>0.6479166666666667</v>
      </c>
      <c r="J850" s="37">
        <v>0.6756944444444445</v>
      </c>
      <c r="K850" s="38">
        <f t="shared" si="15"/>
        <v>0.02777777778</v>
      </c>
      <c r="L850" s="39" t="str">
        <f t="shared" si="2"/>
        <v>Day</v>
      </c>
      <c r="M850" s="39" t="str">
        <f t="array" ref="M850">XLOOKUP(D850,'Category dict'!$B$1:$B$4,'Category dict'!$A$1:$A$4,0,0,1)</f>
        <v>Business</v>
      </c>
      <c r="N850" s="39" t="str">
        <f>VLOOKUP(H850,'Purpose dict'!$A$1:$B$12,2,0)</f>
        <v>NOT DEFINED</v>
      </c>
    </row>
    <row r="851" hidden="1">
      <c r="A851" s="3" t="s">
        <v>1075</v>
      </c>
      <c r="B851" s="34">
        <v>42667.69027777778</v>
      </c>
      <c r="C851" s="34">
        <v>42667.69513888889</v>
      </c>
      <c r="D851" s="35">
        <v>423.0</v>
      </c>
      <c r="E851" s="3" t="s">
        <v>62</v>
      </c>
      <c r="F851" s="3" t="s">
        <v>60</v>
      </c>
      <c r="G851" s="36">
        <v>2.2</v>
      </c>
      <c r="H851" s="35">
        <v>123.0</v>
      </c>
      <c r="I851" s="37">
        <v>0.6902777777777778</v>
      </c>
      <c r="J851" s="37">
        <v>0.6951388888888889</v>
      </c>
      <c r="K851" s="38">
        <f t="shared" si="15"/>
        <v>0.004861111111</v>
      </c>
      <c r="L851" s="39" t="str">
        <f t="shared" si="2"/>
        <v>Day</v>
      </c>
      <c r="M851" s="39" t="str">
        <f t="array" ref="M851">XLOOKUP(D851,'Category dict'!$B$1:$B$4,'Category dict'!$A$1:$A$4,0,0,1)</f>
        <v>Business</v>
      </c>
      <c r="N851" s="39" t="str">
        <f>VLOOKUP(H851,'Purpose dict'!$A$1:$B$12,2,0)</f>
        <v>NOT DEFINED</v>
      </c>
    </row>
    <row r="852" hidden="1">
      <c r="A852" s="3" t="s">
        <v>1076</v>
      </c>
      <c r="B852" s="34">
        <v>42668.56041666667</v>
      </c>
      <c r="C852" s="34">
        <v>42668.58888888889</v>
      </c>
      <c r="D852" s="35">
        <v>423.0</v>
      </c>
      <c r="E852" s="3" t="s">
        <v>60</v>
      </c>
      <c r="F852" s="3" t="s">
        <v>142</v>
      </c>
      <c r="G852" s="36">
        <v>11.2</v>
      </c>
      <c r="H852" s="35">
        <v>123.0</v>
      </c>
      <c r="I852" s="37">
        <v>0.5604166666666667</v>
      </c>
      <c r="J852" s="37">
        <v>0.5888888888888889</v>
      </c>
      <c r="K852" s="38">
        <f t="shared" si="15"/>
        <v>0.02847222222</v>
      </c>
      <c r="L852" s="39" t="str">
        <f t="shared" si="2"/>
        <v>Day</v>
      </c>
      <c r="M852" s="39" t="str">
        <f t="array" ref="M852">XLOOKUP(D852,'Category dict'!$B$1:$B$4,'Category dict'!$A$1:$A$4,0,0,1)</f>
        <v>Business</v>
      </c>
      <c r="N852" s="39" t="str">
        <f>VLOOKUP(H852,'Purpose dict'!$A$1:$B$12,2,0)</f>
        <v>NOT DEFINED</v>
      </c>
    </row>
    <row r="853" hidden="1">
      <c r="A853" s="3" t="s">
        <v>1077</v>
      </c>
      <c r="B853" s="34">
        <v>42668.62777777778</v>
      </c>
      <c r="C853" s="34">
        <v>42668.63263888889</v>
      </c>
      <c r="D853" s="35">
        <v>423.0</v>
      </c>
      <c r="E853" s="3" t="s">
        <v>142</v>
      </c>
      <c r="F853" s="3" t="s">
        <v>1078</v>
      </c>
      <c r="G853" s="36">
        <v>2.2</v>
      </c>
      <c r="H853" s="35">
        <v>123.0</v>
      </c>
      <c r="I853" s="37">
        <v>0.6277777777777778</v>
      </c>
      <c r="J853" s="37">
        <v>0.6326388888888889</v>
      </c>
      <c r="K853" s="38">
        <f t="shared" si="15"/>
        <v>0.004861111111</v>
      </c>
      <c r="L853" s="39" t="str">
        <f t="shared" si="2"/>
        <v>Day</v>
      </c>
      <c r="M853" s="39" t="str">
        <f t="array" ref="M853">XLOOKUP(D853,'Category dict'!$B$1:$B$4,'Category dict'!$A$1:$A$4,0,0,1)</f>
        <v>Business</v>
      </c>
      <c r="N853" s="39" t="str">
        <f>VLOOKUP(H853,'Purpose dict'!$A$1:$B$12,2,0)</f>
        <v>NOT DEFINED</v>
      </c>
    </row>
    <row r="854" hidden="1">
      <c r="A854" s="3" t="s">
        <v>1079</v>
      </c>
      <c r="B854" s="34">
        <v>42668.63611111111</v>
      </c>
      <c r="C854" s="34">
        <v>42668.64791666667</v>
      </c>
      <c r="D854" s="35">
        <v>423.0</v>
      </c>
      <c r="E854" s="3" t="s">
        <v>1078</v>
      </c>
      <c r="F854" s="3" t="s">
        <v>60</v>
      </c>
      <c r="G854" s="36">
        <v>3.6</v>
      </c>
      <c r="H854" s="35">
        <v>123.0</v>
      </c>
      <c r="I854" s="37">
        <v>0.6361111111111111</v>
      </c>
      <c r="J854" s="37">
        <v>0.6479166666666667</v>
      </c>
      <c r="K854" s="38">
        <f t="shared" si="15"/>
        <v>0.01180555556</v>
      </c>
      <c r="L854" s="39" t="str">
        <f t="shared" si="2"/>
        <v>Day</v>
      </c>
      <c r="M854" s="39" t="str">
        <f t="array" ref="M854">XLOOKUP(D854,'Category dict'!$B$1:$B$4,'Category dict'!$A$1:$A$4,0,0,1)</f>
        <v>Business</v>
      </c>
      <c r="N854" s="39" t="str">
        <f>VLOOKUP(H854,'Purpose dict'!$A$1:$B$12,2,0)</f>
        <v>NOT DEFINED</v>
      </c>
    </row>
    <row r="855" hidden="1">
      <c r="A855" s="3" t="s">
        <v>1080</v>
      </c>
      <c r="B855" s="34">
        <v>42668.833333333336</v>
      </c>
      <c r="C855" s="34">
        <v>42668.84097222222</v>
      </c>
      <c r="D855" s="35">
        <v>423.0</v>
      </c>
      <c r="E855" s="3" t="s">
        <v>106</v>
      </c>
      <c r="F855" s="3" t="s">
        <v>547</v>
      </c>
      <c r="G855" s="36">
        <v>3.6</v>
      </c>
      <c r="H855" s="35">
        <v>1.0</v>
      </c>
      <c r="I855" s="37">
        <v>0.8333333333333334</v>
      </c>
      <c r="J855" s="37">
        <v>0.8409722222222222</v>
      </c>
      <c r="K855" s="38">
        <f t="shared" si="15"/>
        <v>0.007638888889</v>
      </c>
      <c r="L855" s="39" t="str">
        <f t="shared" si="2"/>
        <v>Evening</v>
      </c>
      <c r="M855" s="39" t="str">
        <f t="array" ref="M855">XLOOKUP(D855,'Category dict'!$B$1:$B$4,'Category dict'!$A$1:$A$4,0,0,1)</f>
        <v>Business</v>
      </c>
      <c r="N855" s="39" t="str">
        <f>VLOOKUP(H855,'Purpose dict'!$A$1:$B$12,2,0)</f>
        <v>Meal/Entertain</v>
      </c>
    </row>
    <row r="856" hidden="1">
      <c r="A856" s="3" t="s">
        <v>1081</v>
      </c>
      <c r="B856" s="34">
        <v>42668.870833333334</v>
      </c>
      <c r="C856" s="34">
        <v>42668.87708333333</v>
      </c>
      <c r="D856" s="35">
        <v>423.0</v>
      </c>
      <c r="E856" s="3" t="s">
        <v>547</v>
      </c>
      <c r="F856" s="3" t="s">
        <v>497</v>
      </c>
      <c r="G856" s="36">
        <v>4.9</v>
      </c>
      <c r="H856" s="35">
        <v>123.0</v>
      </c>
      <c r="I856" s="37">
        <v>0.8708333333333333</v>
      </c>
      <c r="J856" s="37">
        <v>0.8770833333333333</v>
      </c>
      <c r="K856" s="38">
        <f t="shared" si="15"/>
        <v>0.00625</v>
      </c>
      <c r="L856" s="39" t="str">
        <f t="shared" si="2"/>
        <v>Evening</v>
      </c>
      <c r="M856" s="39" t="str">
        <f t="array" ref="M856">XLOOKUP(D856,'Category dict'!$B$1:$B$4,'Category dict'!$A$1:$A$4,0,0,1)</f>
        <v>Business</v>
      </c>
      <c r="N856" s="39" t="str">
        <f>VLOOKUP(H856,'Purpose dict'!$A$1:$B$12,2,0)</f>
        <v>NOT DEFINED</v>
      </c>
    </row>
    <row r="857" hidden="1">
      <c r="A857" s="3" t="s">
        <v>1082</v>
      </c>
      <c r="B857" s="34">
        <v>42668.933333333334</v>
      </c>
      <c r="C857" s="34">
        <v>42668.947916666664</v>
      </c>
      <c r="D857" s="35">
        <v>423.0</v>
      </c>
      <c r="E857" s="3" t="s">
        <v>497</v>
      </c>
      <c r="F857" s="3" t="s">
        <v>106</v>
      </c>
      <c r="G857" s="36">
        <v>8.7</v>
      </c>
      <c r="H857" s="35">
        <v>2.0</v>
      </c>
      <c r="I857" s="37">
        <v>0.9333333333333333</v>
      </c>
      <c r="J857" s="37">
        <v>0.9479166666666666</v>
      </c>
      <c r="K857" s="38">
        <f t="shared" si="15"/>
        <v>0.01458333333</v>
      </c>
      <c r="L857" s="39" t="str">
        <f t="shared" si="2"/>
        <v>Evening</v>
      </c>
      <c r="M857" s="39" t="str">
        <f t="array" ref="M857">XLOOKUP(D857,'Category dict'!$B$1:$B$4,'Category dict'!$A$1:$A$4,0,0,1)</f>
        <v>Business</v>
      </c>
      <c r="N857" s="39" t="str">
        <f>VLOOKUP(H857,'Purpose dict'!$A$1:$B$12,2,0)</f>
        <v>Errand/Supplies</v>
      </c>
    </row>
    <row r="858" hidden="1">
      <c r="A858" s="3" t="s">
        <v>1083</v>
      </c>
      <c r="B858" s="34">
        <v>42669.80902777778</v>
      </c>
      <c r="C858" s="34">
        <v>42669.81319444445</v>
      </c>
      <c r="D858" s="35">
        <v>423.0</v>
      </c>
      <c r="E858" s="3" t="s">
        <v>106</v>
      </c>
      <c r="F858" s="3" t="s">
        <v>497</v>
      </c>
      <c r="G858" s="36">
        <v>2.1</v>
      </c>
      <c r="H858" s="35">
        <v>3.0</v>
      </c>
      <c r="I858" s="37">
        <v>0.8090277777777778</v>
      </c>
      <c r="J858" s="37">
        <v>0.8131944444444444</v>
      </c>
      <c r="K858" s="38">
        <f t="shared" si="15"/>
        <v>0.004166666667</v>
      </c>
      <c r="L858" s="39" t="str">
        <f t="shared" si="2"/>
        <v>Evening</v>
      </c>
      <c r="M858" s="39" t="str">
        <f t="array" ref="M858">XLOOKUP(D858,'Category dict'!$B$1:$B$4,'Category dict'!$A$1:$A$4,0,0,1)</f>
        <v>Business</v>
      </c>
      <c r="N858" s="39" t="str">
        <f>VLOOKUP(H858,'Purpose dict'!$A$1:$B$12,2,0)</f>
        <v>Meeting</v>
      </c>
    </row>
    <row r="859" hidden="1">
      <c r="A859" s="3" t="s">
        <v>1084</v>
      </c>
      <c r="B859" s="34">
        <v>42669.87013888889</v>
      </c>
      <c r="C859" s="34">
        <v>42669.87708333333</v>
      </c>
      <c r="D859" s="35">
        <v>423.0</v>
      </c>
      <c r="E859" s="3" t="s">
        <v>497</v>
      </c>
      <c r="F859" s="3" t="s">
        <v>106</v>
      </c>
      <c r="G859" s="36">
        <v>2.1</v>
      </c>
      <c r="H859" s="35">
        <v>123.0</v>
      </c>
      <c r="I859" s="37">
        <v>0.8701388888888889</v>
      </c>
      <c r="J859" s="37">
        <v>0.8770833333333333</v>
      </c>
      <c r="K859" s="38">
        <f t="shared" si="15"/>
        <v>0.006944444444</v>
      </c>
      <c r="L859" s="39" t="str">
        <f t="shared" si="2"/>
        <v>Evening</v>
      </c>
      <c r="M859" s="39" t="str">
        <f t="array" ref="M859">XLOOKUP(D859,'Category dict'!$B$1:$B$4,'Category dict'!$A$1:$A$4,0,0,1)</f>
        <v>Business</v>
      </c>
      <c r="N859" s="39" t="str">
        <f>VLOOKUP(H859,'Purpose dict'!$A$1:$B$12,2,0)</f>
        <v>NOT DEFINED</v>
      </c>
    </row>
    <row r="860" hidden="1">
      <c r="A860" s="3" t="s">
        <v>1085</v>
      </c>
      <c r="B860" s="34">
        <v>42670.785416666666</v>
      </c>
      <c r="C860" s="34">
        <v>42670.802777777775</v>
      </c>
      <c r="D860" s="35">
        <v>423.0</v>
      </c>
      <c r="E860" s="3" t="s">
        <v>60</v>
      </c>
      <c r="F860" s="3" t="s">
        <v>62</v>
      </c>
      <c r="G860" s="36">
        <v>8.4</v>
      </c>
      <c r="H860" s="35">
        <v>3.0</v>
      </c>
      <c r="I860" s="37">
        <v>0.7854166666666667</v>
      </c>
      <c r="J860" s="37">
        <v>0.8027777777777778</v>
      </c>
      <c r="K860" s="38">
        <f t="shared" si="15"/>
        <v>0.01736111111</v>
      </c>
      <c r="L860" s="39" t="str">
        <f t="shared" si="2"/>
        <v>Evening</v>
      </c>
      <c r="M860" s="39" t="str">
        <f t="array" ref="M860">XLOOKUP(D860,'Category dict'!$B$1:$B$4,'Category dict'!$A$1:$A$4,0,0,1)</f>
        <v>Business</v>
      </c>
      <c r="N860" s="39" t="str">
        <f>VLOOKUP(H860,'Purpose dict'!$A$1:$B$12,2,0)</f>
        <v>Meeting</v>
      </c>
    </row>
    <row r="861" hidden="1">
      <c r="A861" s="3" t="s">
        <v>1086</v>
      </c>
      <c r="B861" s="34">
        <v>42670.805555555555</v>
      </c>
      <c r="C861" s="34">
        <v>42670.81597222222</v>
      </c>
      <c r="D861" s="35">
        <v>423.0</v>
      </c>
      <c r="E861" s="3" t="s">
        <v>62</v>
      </c>
      <c r="F861" s="3" t="s">
        <v>62</v>
      </c>
      <c r="G861" s="36">
        <v>5.9</v>
      </c>
      <c r="H861" s="35">
        <v>123.0</v>
      </c>
      <c r="I861" s="37">
        <v>0.8055555555555556</v>
      </c>
      <c r="J861" s="37">
        <v>0.8159722222222222</v>
      </c>
      <c r="K861" s="38">
        <f t="shared" si="15"/>
        <v>0.01041666667</v>
      </c>
      <c r="L861" s="39" t="str">
        <f t="shared" si="2"/>
        <v>Evening</v>
      </c>
      <c r="M861" s="39" t="str">
        <f t="array" ref="M861">XLOOKUP(D861,'Category dict'!$B$1:$B$4,'Category dict'!$A$1:$A$4,0,0,1)</f>
        <v>Business</v>
      </c>
      <c r="N861" s="39" t="str">
        <f>VLOOKUP(H861,'Purpose dict'!$A$1:$B$12,2,0)</f>
        <v>NOT DEFINED</v>
      </c>
    </row>
    <row r="862" hidden="1">
      <c r="A862" s="3" t="s">
        <v>1087</v>
      </c>
      <c r="B862" s="34">
        <v>42670.82777777778</v>
      </c>
      <c r="C862" s="34">
        <v>42670.847916666666</v>
      </c>
      <c r="D862" s="35">
        <v>423.0</v>
      </c>
      <c r="E862" s="3" t="s">
        <v>569</v>
      </c>
      <c r="F862" s="3" t="s">
        <v>569</v>
      </c>
      <c r="G862" s="36">
        <v>12.1</v>
      </c>
      <c r="H862" s="35">
        <v>123.0</v>
      </c>
      <c r="I862" s="37">
        <v>0.8277777777777777</v>
      </c>
      <c r="J862" s="37">
        <v>0.8479166666666667</v>
      </c>
      <c r="K862" s="38">
        <f t="shared" si="15"/>
        <v>0.02013888889</v>
      </c>
      <c r="L862" s="39" t="str">
        <f t="shared" si="2"/>
        <v>Evening</v>
      </c>
      <c r="M862" s="39" t="str">
        <f t="array" ref="M862">XLOOKUP(D862,'Category dict'!$B$1:$B$4,'Category dict'!$A$1:$A$4,0,0,1)</f>
        <v>Business</v>
      </c>
      <c r="N862" s="39" t="str">
        <f>VLOOKUP(H862,'Purpose dict'!$A$1:$B$12,2,0)</f>
        <v>NOT DEFINED</v>
      </c>
    </row>
    <row r="863" hidden="1">
      <c r="A863" s="3" t="s">
        <v>1088</v>
      </c>
      <c r="B863" s="34">
        <v>42670.86597222222</v>
      </c>
      <c r="C863" s="34">
        <v>42670.870833333334</v>
      </c>
      <c r="D863" s="35">
        <v>423.0</v>
      </c>
      <c r="E863" s="3" t="s">
        <v>569</v>
      </c>
      <c r="F863" s="3" t="s">
        <v>304</v>
      </c>
      <c r="G863" s="36">
        <v>3.9</v>
      </c>
      <c r="H863" s="35">
        <v>123.0</v>
      </c>
      <c r="I863" s="37">
        <v>0.8659722222222223</v>
      </c>
      <c r="J863" s="37">
        <v>0.8708333333333333</v>
      </c>
      <c r="K863" s="38">
        <f t="shared" si="15"/>
        <v>0.004861111111</v>
      </c>
      <c r="L863" s="39" t="str">
        <f t="shared" si="2"/>
        <v>Evening</v>
      </c>
      <c r="M863" s="39" t="str">
        <f t="array" ref="M863">XLOOKUP(D863,'Category dict'!$B$1:$B$4,'Category dict'!$A$1:$A$4,0,0,1)</f>
        <v>Business</v>
      </c>
      <c r="N863" s="39" t="str">
        <f>VLOOKUP(H863,'Purpose dict'!$A$1:$B$12,2,0)</f>
        <v>NOT DEFINED</v>
      </c>
    </row>
    <row r="864" hidden="1">
      <c r="A864" s="3" t="s">
        <v>1089</v>
      </c>
      <c r="B864" s="34">
        <v>42670.893055555556</v>
      </c>
      <c r="C864" s="34">
        <v>42670.90833333333</v>
      </c>
      <c r="D864" s="35">
        <v>423.0</v>
      </c>
      <c r="E864" s="3" t="s">
        <v>62</v>
      </c>
      <c r="F864" s="3" t="s">
        <v>60</v>
      </c>
      <c r="G864" s="36">
        <v>6.2</v>
      </c>
      <c r="H864" s="35">
        <v>123.0</v>
      </c>
      <c r="I864" s="37">
        <v>0.8930555555555556</v>
      </c>
      <c r="J864" s="37">
        <v>0.9083333333333333</v>
      </c>
      <c r="K864" s="38">
        <f t="shared" si="15"/>
        <v>0.01527777778</v>
      </c>
      <c r="L864" s="39" t="str">
        <f t="shared" si="2"/>
        <v>Evening</v>
      </c>
      <c r="M864" s="39" t="str">
        <f t="array" ref="M864">XLOOKUP(D864,'Category dict'!$B$1:$B$4,'Category dict'!$A$1:$A$4,0,0,1)</f>
        <v>Business</v>
      </c>
      <c r="N864" s="39" t="str">
        <f>VLOOKUP(H864,'Purpose dict'!$A$1:$B$12,2,0)</f>
        <v>NOT DEFINED</v>
      </c>
    </row>
    <row r="865" hidden="1">
      <c r="A865" s="3" t="s">
        <v>1090</v>
      </c>
      <c r="B865" s="34">
        <v>42671.481944444444</v>
      </c>
      <c r="C865" s="34">
        <v>42671.49444444444</v>
      </c>
      <c r="D865" s="35">
        <v>423.0</v>
      </c>
      <c r="E865" s="3" t="s">
        <v>60</v>
      </c>
      <c r="F865" s="3" t="s">
        <v>101</v>
      </c>
      <c r="G865" s="36">
        <v>10.4</v>
      </c>
      <c r="H865" s="35">
        <v>3.0</v>
      </c>
      <c r="I865" s="37">
        <v>0.48194444444444445</v>
      </c>
      <c r="J865" s="37">
        <v>0.49444444444444446</v>
      </c>
      <c r="K865" s="38">
        <f t="shared" si="15"/>
        <v>0.0125</v>
      </c>
      <c r="L865" s="39" t="str">
        <f t="shared" si="2"/>
        <v>Morning</v>
      </c>
      <c r="M865" s="39" t="str">
        <f t="array" ref="M865">XLOOKUP(D865,'Category dict'!$B$1:$B$4,'Category dict'!$A$1:$A$4,0,0,1)</f>
        <v>Business</v>
      </c>
      <c r="N865" s="39" t="str">
        <f>VLOOKUP(H865,'Purpose dict'!$A$1:$B$12,2,0)</f>
        <v>Meeting</v>
      </c>
    </row>
    <row r="866" hidden="1">
      <c r="A866" s="3" t="s">
        <v>1091</v>
      </c>
      <c r="B866" s="34">
        <v>42671.54583333333</v>
      </c>
      <c r="C866" s="34">
        <v>42671.566666666666</v>
      </c>
      <c r="D866" s="35">
        <v>423.0</v>
      </c>
      <c r="E866" s="3" t="s">
        <v>101</v>
      </c>
      <c r="F866" s="3" t="s">
        <v>60</v>
      </c>
      <c r="G866" s="36">
        <v>9.9</v>
      </c>
      <c r="H866" s="35">
        <v>3.0</v>
      </c>
      <c r="I866" s="37">
        <v>0.5458333333333333</v>
      </c>
      <c r="J866" s="37">
        <v>0.5666666666666667</v>
      </c>
      <c r="K866" s="38">
        <f t="shared" si="15"/>
        <v>0.02083333333</v>
      </c>
      <c r="L866" s="39" t="str">
        <f t="shared" si="2"/>
        <v>Day</v>
      </c>
      <c r="M866" s="39" t="str">
        <f t="array" ref="M866">XLOOKUP(D866,'Category dict'!$B$1:$B$4,'Category dict'!$A$1:$A$4,0,0,1)</f>
        <v>Business</v>
      </c>
      <c r="N866" s="39" t="str">
        <f>VLOOKUP(H866,'Purpose dict'!$A$1:$B$12,2,0)</f>
        <v>Meeting</v>
      </c>
    </row>
    <row r="867" hidden="1">
      <c r="A867" s="3" t="s">
        <v>1092</v>
      </c>
      <c r="B867" s="34">
        <v>42671.66180555556</v>
      </c>
      <c r="C867" s="34">
        <v>42671.74930555555</v>
      </c>
      <c r="D867" s="35">
        <v>423.0</v>
      </c>
      <c r="E867" s="3" t="s">
        <v>60</v>
      </c>
      <c r="F867" s="3" t="s">
        <v>1093</v>
      </c>
      <c r="G867" s="36">
        <v>107.0</v>
      </c>
      <c r="H867" s="35">
        <v>3.0</v>
      </c>
      <c r="I867" s="37">
        <v>0.6618055555555555</v>
      </c>
      <c r="J867" s="37">
        <v>0.7493055555555556</v>
      </c>
      <c r="K867" s="38">
        <f t="shared" si="15"/>
        <v>0.0875</v>
      </c>
      <c r="L867" s="39" t="str">
        <f t="shared" si="2"/>
        <v>Day</v>
      </c>
      <c r="M867" s="39" t="str">
        <f t="array" ref="M867">XLOOKUP(D867,'Category dict'!$B$1:$B$4,'Category dict'!$A$1:$A$4,0,0,1)</f>
        <v>Business</v>
      </c>
      <c r="N867" s="39" t="str">
        <f>VLOOKUP(H867,'Purpose dict'!$A$1:$B$12,2,0)</f>
        <v>Meeting</v>
      </c>
    </row>
    <row r="868" hidden="1">
      <c r="A868" s="3" t="s">
        <v>1094</v>
      </c>
      <c r="B868" s="34">
        <v>42671.75902777778</v>
      </c>
      <c r="C868" s="34">
        <v>42671.83819444444</v>
      </c>
      <c r="D868" s="35">
        <v>423.0</v>
      </c>
      <c r="E868" s="3" t="s">
        <v>1093</v>
      </c>
      <c r="F868" s="3" t="s">
        <v>1095</v>
      </c>
      <c r="G868" s="36">
        <v>133.6</v>
      </c>
      <c r="H868" s="35">
        <v>3.0</v>
      </c>
      <c r="I868" s="37">
        <v>0.7590277777777777</v>
      </c>
      <c r="J868" s="37">
        <v>0.8381944444444445</v>
      </c>
      <c r="K868" s="38">
        <f t="shared" si="15"/>
        <v>0.07916666667</v>
      </c>
      <c r="L868" s="39" t="str">
        <f t="shared" si="2"/>
        <v>Evening</v>
      </c>
      <c r="M868" s="39" t="str">
        <f t="array" ref="M868">XLOOKUP(D868,'Category dict'!$B$1:$B$4,'Category dict'!$A$1:$A$4,0,0,1)</f>
        <v>Business</v>
      </c>
      <c r="N868" s="39" t="str">
        <f>VLOOKUP(H868,'Purpose dict'!$A$1:$B$12,2,0)</f>
        <v>Meeting</v>
      </c>
    </row>
    <row r="869" hidden="1">
      <c r="A869" s="3" t="s">
        <v>1096</v>
      </c>
      <c r="B869" s="34">
        <v>42671.842361111114</v>
      </c>
      <c r="C869" s="34">
        <v>42671.916666666664</v>
      </c>
      <c r="D869" s="35">
        <v>423.0</v>
      </c>
      <c r="E869" s="3" t="s">
        <v>1095</v>
      </c>
      <c r="F869" s="3" t="s">
        <v>1097</v>
      </c>
      <c r="G869" s="36">
        <v>91.8</v>
      </c>
      <c r="H869" s="35">
        <v>3.0</v>
      </c>
      <c r="I869" s="37">
        <v>0.8423611111111111</v>
      </c>
      <c r="J869" s="37">
        <v>0.9166666666666666</v>
      </c>
      <c r="K869" s="38">
        <f t="shared" si="15"/>
        <v>0.07430555556</v>
      </c>
      <c r="L869" s="39" t="str">
        <f t="shared" si="2"/>
        <v>Evening</v>
      </c>
      <c r="M869" s="39" t="str">
        <f t="array" ref="M869">XLOOKUP(D869,'Category dict'!$B$1:$B$4,'Category dict'!$A$1:$A$4,0,0,1)</f>
        <v>Business</v>
      </c>
      <c r="N869" s="39" t="str">
        <f>VLOOKUP(H869,'Purpose dict'!$A$1:$B$12,2,0)</f>
        <v>Meeting</v>
      </c>
    </row>
    <row r="870" hidden="1">
      <c r="A870" s="3" t="s">
        <v>1098</v>
      </c>
      <c r="B870" s="34">
        <v>42672.64027777778</v>
      </c>
      <c r="C870" s="34">
        <v>42672.711805555555</v>
      </c>
      <c r="D870" s="35">
        <v>423.0</v>
      </c>
      <c r="E870" s="3" t="s">
        <v>1097</v>
      </c>
      <c r="F870" s="3" t="s">
        <v>1099</v>
      </c>
      <c r="G870" s="36">
        <v>40.7</v>
      </c>
      <c r="H870" s="35">
        <v>3.0</v>
      </c>
      <c r="I870" s="37">
        <v>0.6402777777777777</v>
      </c>
      <c r="J870" s="37">
        <v>0.7118055555555556</v>
      </c>
      <c r="K870" s="38">
        <f t="shared" si="15"/>
        <v>0.07152777778</v>
      </c>
      <c r="L870" s="39" t="str">
        <f t="shared" si="2"/>
        <v>Day</v>
      </c>
      <c r="M870" s="39" t="str">
        <f t="array" ref="M870">XLOOKUP(D870,'Category dict'!$B$1:$B$4,'Category dict'!$A$1:$A$4,0,0,1)</f>
        <v>Business</v>
      </c>
      <c r="N870" s="39" t="str">
        <f>VLOOKUP(H870,'Purpose dict'!$A$1:$B$12,2,0)</f>
        <v>Meeting</v>
      </c>
    </row>
    <row r="871" hidden="1">
      <c r="A871" s="3" t="s">
        <v>1100</v>
      </c>
      <c r="B871" s="34">
        <v>42672.717361111114</v>
      </c>
      <c r="C871" s="34">
        <v>42672.80486111111</v>
      </c>
      <c r="D871" s="35">
        <v>423.0</v>
      </c>
      <c r="E871" s="3" t="s">
        <v>1099</v>
      </c>
      <c r="F871" s="3" t="s">
        <v>1097</v>
      </c>
      <c r="G871" s="36">
        <v>75.7</v>
      </c>
      <c r="H871" s="35">
        <v>123.0</v>
      </c>
      <c r="I871" s="37">
        <v>0.7173611111111111</v>
      </c>
      <c r="J871" s="37">
        <v>0.8048611111111111</v>
      </c>
      <c r="K871" s="38">
        <f t="shared" si="15"/>
        <v>0.0875</v>
      </c>
      <c r="L871" s="39" t="str">
        <f t="shared" si="2"/>
        <v>Day</v>
      </c>
      <c r="M871" s="39" t="str">
        <f t="array" ref="M871">XLOOKUP(D871,'Category dict'!$B$1:$B$4,'Category dict'!$A$1:$A$4,0,0,1)</f>
        <v>Business</v>
      </c>
      <c r="N871" s="39" t="str">
        <f>VLOOKUP(H871,'Purpose dict'!$A$1:$B$12,2,0)</f>
        <v>NOT DEFINED</v>
      </c>
    </row>
    <row r="872" hidden="1">
      <c r="A872" s="3" t="s">
        <v>1101</v>
      </c>
      <c r="B872" s="34">
        <v>42673.325694444444</v>
      </c>
      <c r="C872" s="34">
        <v>42673.354166666664</v>
      </c>
      <c r="D872" s="35">
        <v>423.0</v>
      </c>
      <c r="E872" s="3" t="s">
        <v>1097</v>
      </c>
      <c r="F872" s="3" t="s">
        <v>1102</v>
      </c>
      <c r="G872" s="36">
        <v>29.8</v>
      </c>
      <c r="H872" s="35">
        <v>123.0</v>
      </c>
      <c r="I872" s="37">
        <v>0.32569444444444445</v>
      </c>
      <c r="J872" s="37">
        <v>0.3541666666666667</v>
      </c>
      <c r="K872" s="38">
        <f t="shared" si="15"/>
        <v>0.02847222222</v>
      </c>
      <c r="L872" s="39" t="str">
        <f t="shared" si="2"/>
        <v>Morning</v>
      </c>
      <c r="M872" s="39" t="str">
        <f t="array" ref="M872">XLOOKUP(D872,'Category dict'!$B$1:$B$4,'Category dict'!$A$1:$A$4,0,0,1)</f>
        <v>Business</v>
      </c>
      <c r="N872" s="39" t="str">
        <f>VLOOKUP(H872,'Purpose dict'!$A$1:$B$12,2,0)</f>
        <v>NOT DEFINED</v>
      </c>
    </row>
    <row r="873" hidden="1">
      <c r="A873" s="3" t="s">
        <v>1103</v>
      </c>
      <c r="B873" s="34">
        <v>42673.37986111111</v>
      </c>
      <c r="C873" s="34">
        <v>42673.42291666667</v>
      </c>
      <c r="D873" s="35">
        <v>423.0</v>
      </c>
      <c r="E873" s="3" t="s">
        <v>1102</v>
      </c>
      <c r="F873" s="3" t="s">
        <v>1102</v>
      </c>
      <c r="G873" s="36">
        <v>16.3</v>
      </c>
      <c r="H873" s="35">
        <v>123.0</v>
      </c>
      <c r="I873" s="37">
        <v>0.3798611111111111</v>
      </c>
      <c r="J873" s="37">
        <v>0.42291666666666666</v>
      </c>
      <c r="K873" s="38">
        <f t="shared" si="15"/>
        <v>0.04305555556</v>
      </c>
      <c r="L873" s="39" t="str">
        <f t="shared" si="2"/>
        <v>Morning</v>
      </c>
      <c r="M873" s="39" t="str">
        <f t="array" ref="M873">XLOOKUP(D873,'Category dict'!$B$1:$B$4,'Category dict'!$A$1:$A$4,0,0,1)</f>
        <v>Business</v>
      </c>
      <c r="N873" s="39" t="str">
        <f>VLOOKUP(H873,'Purpose dict'!$A$1:$B$12,2,0)</f>
        <v>NOT DEFINED</v>
      </c>
    </row>
    <row r="874" hidden="1">
      <c r="A874" s="3" t="s">
        <v>1104</v>
      </c>
      <c r="B874" s="34">
        <v>42673.424305555556</v>
      </c>
      <c r="C874" s="34">
        <v>42673.44305555556</v>
      </c>
      <c r="D874" s="35">
        <v>423.0</v>
      </c>
      <c r="E874" s="3" t="s">
        <v>1102</v>
      </c>
      <c r="F874" s="3" t="s">
        <v>1102</v>
      </c>
      <c r="G874" s="36">
        <v>6.5</v>
      </c>
      <c r="H874" s="35">
        <v>123.0</v>
      </c>
      <c r="I874" s="37">
        <v>0.42430555555555555</v>
      </c>
      <c r="J874" s="37">
        <v>0.44305555555555554</v>
      </c>
      <c r="K874" s="38">
        <f t="shared" si="15"/>
        <v>0.01875</v>
      </c>
      <c r="L874" s="39" t="str">
        <f t="shared" si="2"/>
        <v>Morning</v>
      </c>
      <c r="M874" s="39" t="str">
        <f t="array" ref="M874">XLOOKUP(D874,'Category dict'!$B$1:$B$4,'Category dict'!$A$1:$A$4,0,0,1)</f>
        <v>Business</v>
      </c>
      <c r="N874" s="39" t="str">
        <f>VLOOKUP(H874,'Purpose dict'!$A$1:$B$12,2,0)</f>
        <v>NOT DEFINED</v>
      </c>
    </row>
    <row r="875" hidden="1">
      <c r="A875" s="3" t="s">
        <v>1105</v>
      </c>
      <c r="B875" s="34">
        <v>42673.45208333333</v>
      </c>
      <c r="C875" s="34">
        <v>42673.472916666666</v>
      </c>
      <c r="D875" s="35">
        <v>423.0</v>
      </c>
      <c r="E875" s="3" t="s">
        <v>1102</v>
      </c>
      <c r="F875" s="3" t="s">
        <v>1102</v>
      </c>
      <c r="G875" s="36">
        <v>6.3</v>
      </c>
      <c r="H875" s="35">
        <v>123.0</v>
      </c>
      <c r="I875" s="37">
        <v>0.45208333333333334</v>
      </c>
      <c r="J875" s="37">
        <v>0.47291666666666665</v>
      </c>
      <c r="K875" s="38">
        <f t="shared" si="15"/>
        <v>0.02083333333</v>
      </c>
      <c r="L875" s="39" t="str">
        <f t="shared" si="2"/>
        <v>Morning</v>
      </c>
      <c r="M875" s="39" t="str">
        <f t="array" ref="M875">XLOOKUP(D875,'Category dict'!$B$1:$B$4,'Category dict'!$A$1:$A$4,0,0,1)</f>
        <v>Business</v>
      </c>
      <c r="N875" s="39" t="str">
        <f>VLOOKUP(H875,'Purpose dict'!$A$1:$B$12,2,0)</f>
        <v>NOT DEFINED</v>
      </c>
    </row>
    <row r="876" hidden="1">
      <c r="A876" s="3" t="s">
        <v>1106</v>
      </c>
      <c r="B876" s="34">
        <v>42673.51666666667</v>
      </c>
      <c r="C876" s="34">
        <v>42673.524305555555</v>
      </c>
      <c r="D876" s="35">
        <v>423.0</v>
      </c>
      <c r="E876" s="3" t="s">
        <v>1102</v>
      </c>
      <c r="F876" s="3" t="s">
        <v>1107</v>
      </c>
      <c r="G876" s="36">
        <v>6.6</v>
      </c>
      <c r="H876" s="35">
        <v>123.0</v>
      </c>
      <c r="I876" s="37">
        <v>0.5166666666666667</v>
      </c>
      <c r="J876" s="37">
        <v>0.5243055555555556</v>
      </c>
      <c r="K876" s="38">
        <f t="shared" si="15"/>
        <v>0.007638888889</v>
      </c>
      <c r="L876" s="39" t="str">
        <f t="shared" si="2"/>
        <v>Day</v>
      </c>
      <c r="M876" s="39" t="str">
        <f t="array" ref="M876">XLOOKUP(D876,'Category dict'!$B$1:$B$4,'Category dict'!$A$1:$A$4,0,0,1)</f>
        <v>Business</v>
      </c>
      <c r="N876" s="39" t="str">
        <f>VLOOKUP(H876,'Purpose dict'!$A$1:$B$12,2,0)</f>
        <v>NOT DEFINED</v>
      </c>
    </row>
    <row r="877" hidden="1">
      <c r="A877" s="3" t="s">
        <v>1108</v>
      </c>
      <c r="B877" s="34">
        <v>42673.54027777778</v>
      </c>
      <c r="C877" s="34">
        <v>42673.55416666667</v>
      </c>
      <c r="D877" s="35">
        <v>423.0</v>
      </c>
      <c r="E877" s="3" t="s">
        <v>1107</v>
      </c>
      <c r="F877" s="3" t="s">
        <v>1102</v>
      </c>
      <c r="G877" s="36">
        <v>15.2</v>
      </c>
      <c r="H877" s="35">
        <v>123.0</v>
      </c>
      <c r="I877" s="37">
        <v>0.5402777777777777</v>
      </c>
      <c r="J877" s="37">
        <v>0.5541666666666667</v>
      </c>
      <c r="K877" s="38">
        <f t="shared" si="15"/>
        <v>0.01388888889</v>
      </c>
      <c r="L877" s="39" t="str">
        <f t="shared" si="2"/>
        <v>Day</v>
      </c>
      <c r="M877" s="39" t="str">
        <f t="array" ref="M877">XLOOKUP(D877,'Category dict'!$B$1:$B$4,'Category dict'!$A$1:$A$4,0,0,1)</f>
        <v>Business</v>
      </c>
      <c r="N877" s="39" t="str">
        <f>VLOOKUP(H877,'Purpose dict'!$A$1:$B$12,2,0)</f>
        <v>NOT DEFINED</v>
      </c>
    </row>
    <row r="878" hidden="1">
      <c r="A878" s="3" t="s">
        <v>1109</v>
      </c>
      <c r="B878" s="34">
        <v>42673.558333333334</v>
      </c>
      <c r="C878" s="34">
        <v>42673.60902777778</v>
      </c>
      <c r="D878" s="35">
        <v>423.0</v>
      </c>
      <c r="E878" s="3" t="s">
        <v>1102</v>
      </c>
      <c r="F878" s="3" t="s">
        <v>1095</v>
      </c>
      <c r="G878" s="36">
        <v>68.4</v>
      </c>
      <c r="H878" s="35">
        <v>123.0</v>
      </c>
      <c r="I878" s="37">
        <v>0.5583333333333333</v>
      </c>
      <c r="J878" s="37">
        <v>0.6090277777777777</v>
      </c>
      <c r="K878" s="38">
        <f t="shared" si="15"/>
        <v>0.05069444444</v>
      </c>
      <c r="L878" s="39" t="str">
        <f t="shared" si="2"/>
        <v>Day</v>
      </c>
      <c r="M878" s="39" t="str">
        <f t="array" ref="M878">XLOOKUP(D878,'Category dict'!$B$1:$B$4,'Category dict'!$A$1:$A$4,0,0,1)</f>
        <v>Business</v>
      </c>
      <c r="N878" s="39" t="str">
        <f>VLOOKUP(H878,'Purpose dict'!$A$1:$B$12,2,0)</f>
        <v>NOT DEFINED</v>
      </c>
    </row>
    <row r="879">
      <c r="A879" s="3" t="s">
        <v>1110</v>
      </c>
      <c r="B879" s="34">
        <v>42673.64027777778</v>
      </c>
      <c r="C879" s="34">
        <v>42673.76597222222</v>
      </c>
      <c r="D879" s="35">
        <v>423.0</v>
      </c>
      <c r="E879" s="3" t="s">
        <v>1095</v>
      </c>
      <c r="F879" s="3" t="s">
        <v>1111</v>
      </c>
      <c r="G879" s="40">
        <v>195.9</v>
      </c>
      <c r="H879" s="35">
        <v>123.0</v>
      </c>
      <c r="I879" s="37">
        <v>0.6402777777777777</v>
      </c>
      <c r="J879" s="37">
        <v>0.7659722222222223</v>
      </c>
      <c r="K879" s="38">
        <f t="shared" si="15"/>
        <v>0.1256944444</v>
      </c>
      <c r="L879" s="39" t="str">
        <f t="shared" si="2"/>
        <v>Day</v>
      </c>
      <c r="M879" s="39" t="str">
        <f t="array" ref="M879">XLOOKUP(D879,'Category dict'!$B$1:$B$4,'Category dict'!$A$1:$A$4,0,0,1)</f>
        <v>Business</v>
      </c>
      <c r="N879" s="39" t="str">
        <f>VLOOKUP(H879,'Purpose dict'!$A$1:$B$12,2,0)</f>
        <v>NOT DEFINED</v>
      </c>
    </row>
    <row r="880" hidden="1">
      <c r="A880" s="3" t="s">
        <v>1112</v>
      </c>
      <c r="B880" s="34">
        <v>42673.768055555556</v>
      </c>
      <c r="C880" s="34">
        <v>42673.81875</v>
      </c>
      <c r="D880" s="35">
        <v>423.0</v>
      </c>
      <c r="E880" s="3" t="s">
        <v>1111</v>
      </c>
      <c r="F880" s="3" t="s">
        <v>60</v>
      </c>
      <c r="G880" s="36">
        <v>45.2</v>
      </c>
      <c r="H880" s="35">
        <v>123.0</v>
      </c>
      <c r="I880" s="37">
        <v>0.7680555555555556</v>
      </c>
      <c r="J880" s="37">
        <v>0.81875</v>
      </c>
      <c r="K880" s="38">
        <f t="shared" si="15"/>
        <v>0.05069444444</v>
      </c>
      <c r="L880" s="39" t="str">
        <f t="shared" si="2"/>
        <v>Evening</v>
      </c>
      <c r="M880" s="39" t="str">
        <f t="array" ref="M880">XLOOKUP(D880,'Category dict'!$B$1:$B$4,'Category dict'!$A$1:$A$4,0,0,1)</f>
        <v>Business</v>
      </c>
      <c r="N880" s="39" t="str">
        <f>VLOOKUP(H880,'Purpose dict'!$A$1:$B$12,2,0)</f>
        <v>NOT DEFINED</v>
      </c>
    </row>
    <row r="881" hidden="1">
      <c r="A881" s="3" t="s">
        <v>1113</v>
      </c>
      <c r="B881" s="34">
        <v>42674.75763888889</v>
      </c>
      <c r="C881" s="34">
        <v>42674.76388888889</v>
      </c>
      <c r="D881" s="35">
        <v>423.0</v>
      </c>
      <c r="E881" s="3" t="s">
        <v>60</v>
      </c>
      <c r="F881" s="3" t="s">
        <v>62</v>
      </c>
      <c r="G881" s="36">
        <v>3.2</v>
      </c>
      <c r="H881" s="35">
        <v>123.0</v>
      </c>
      <c r="I881" s="37">
        <v>0.7576388888888889</v>
      </c>
      <c r="J881" s="37">
        <v>0.7638888888888888</v>
      </c>
      <c r="K881" s="38">
        <f t="shared" si="15"/>
        <v>0.00625</v>
      </c>
      <c r="L881" s="39" t="str">
        <f t="shared" si="2"/>
        <v>Evening</v>
      </c>
      <c r="M881" s="39" t="str">
        <f t="array" ref="M881">XLOOKUP(D881,'Category dict'!$B$1:$B$4,'Category dict'!$A$1:$A$4,0,0,1)</f>
        <v>Business</v>
      </c>
      <c r="N881" s="39" t="str">
        <f>VLOOKUP(H881,'Purpose dict'!$A$1:$B$12,2,0)</f>
        <v>NOT DEFINED</v>
      </c>
    </row>
    <row r="882" hidden="1">
      <c r="A882" s="3" t="s">
        <v>1114</v>
      </c>
      <c r="B882" s="34">
        <v>42674.782638888886</v>
      </c>
      <c r="C882" s="34">
        <v>42674.802777777775</v>
      </c>
      <c r="D882" s="35">
        <v>423.0</v>
      </c>
      <c r="E882" s="3" t="s">
        <v>62</v>
      </c>
      <c r="F882" s="3" t="s">
        <v>111</v>
      </c>
      <c r="G882" s="36">
        <v>10.3</v>
      </c>
      <c r="H882" s="35">
        <v>123.0</v>
      </c>
      <c r="I882" s="37">
        <v>0.7826388888888889</v>
      </c>
      <c r="J882" s="37">
        <v>0.8027777777777778</v>
      </c>
      <c r="K882" s="38">
        <f t="shared" si="15"/>
        <v>0.02013888889</v>
      </c>
      <c r="L882" s="39" t="str">
        <f t="shared" si="2"/>
        <v>Evening</v>
      </c>
      <c r="M882" s="39" t="str">
        <f t="array" ref="M882">XLOOKUP(D882,'Category dict'!$B$1:$B$4,'Category dict'!$A$1:$A$4,0,0,1)</f>
        <v>Business</v>
      </c>
      <c r="N882" s="39" t="str">
        <f>VLOOKUP(H882,'Purpose dict'!$A$1:$B$12,2,0)</f>
        <v>NOT DEFINED</v>
      </c>
    </row>
    <row r="883" hidden="1">
      <c r="A883" s="3" t="s">
        <v>1115</v>
      </c>
      <c r="B883" s="34">
        <v>42674.84583333333</v>
      </c>
      <c r="C883" s="34">
        <v>42674.86388888889</v>
      </c>
      <c r="D883" s="35">
        <v>423.0</v>
      </c>
      <c r="E883" s="3" t="s">
        <v>111</v>
      </c>
      <c r="F883" s="3" t="s">
        <v>60</v>
      </c>
      <c r="G883" s="36">
        <v>13.1</v>
      </c>
      <c r="H883" s="35">
        <v>123.0</v>
      </c>
      <c r="I883" s="37">
        <v>0.8458333333333333</v>
      </c>
      <c r="J883" s="37">
        <v>0.8638888888888889</v>
      </c>
      <c r="K883" s="38">
        <f t="shared" si="15"/>
        <v>0.01805555556</v>
      </c>
      <c r="L883" s="39" t="str">
        <f t="shared" si="2"/>
        <v>Evening</v>
      </c>
      <c r="M883" s="39" t="str">
        <f t="array" ref="M883">XLOOKUP(D883,'Category dict'!$B$1:$B$4,'Category dict'!$A$1:$A$4,0,0,1)</f>
        <v>Business</v>
      </c>
      <c r="N883" s="39" t="str">
        <f>VLOOKUP(H883,'Purpose dict'!$A$1:$B$12,2,0)</f>
        <v>NOT DEFINED</v>
      </c>
    </row>
    <row r="884" hidden="1">
      <c r="A884" s="3" t="s">
        <v>1116</v>
      </c>
      <c r="B884" s="34">
        <v>42674.90625</v>
      </c>
      <c r="C884" s="34">
        <v>42674.92361111111</v>
      </c>
      <c r="D884" s="35">
        <v>423.0</v>
      </c>
      <c r="E884" s="3" t="s">
        <v>547</v>
      </c>
      <c r="F884" s="3" t="s">
        <v>106</v>
      </c>
      <c r="G884" s="36">
        <v>9.6</v>
      </c>
      <c r="H884" s="35">
        <v>2.0</v>
      </c>
      <c r="I884" s="37">
        <v>0.90625</v>
      </c>
      <c r="J884" s="37">
        <v>0.9236111111111112</v>
      </c>
      <c r="K884" s="38">
        <f t="shared" si="15"/>
        <v>0.01736111111</v>
      </c>
      <c r="L884" s="39" t="str">
        <f t="shared" si="2"/>
        <v>Evening</v>
      </c>
      <c r="M884" s="39" t="str">
        <f t="array" ref="M884">XLOOKUP(D884,'Category dict'!$B$1:$B$4,'Category dict'!$A$1:$A$4,0,0,1)</f>
        <v>Business</v>
      </c>
      <c r="N884" s="39" t="str">
        <f>VLOOKUP(H884,'Purpose dict'!$A$1:$B$12,2,0)</f>
        <v>Errand/Supplies</v>
      </c>
    </row>
    <row r="885" hidden="1">
      <c r="A885" s="3" t="s">
        <v>1117</v>
      </c>
      <c r="B885" s="34">
        <v>42675.493055555555</v>
      </c>
      <c r="C885" s="34">
        <v>42675.51875</v>
      </c>
      <c r="D885" s="35">
        <v>423.0</v>
      </c>
      <c r="E885" s="3" t="s">
        <v>60</v>
      </c>
      <c r="F885" s="3" t="s">
        <v>101</v>
      </c>
      <c r="G885" s="36">
        <v>16.5</v>
      </c>
      <c r="H885" s="35">
        <v>123.0</v>
      </c>
      <c r="I885" s="37">
        <v>0.4930555555555556</v>
      </c>
      <c r="J885" s="37">
        <v>0.51875</v>
      </c>
      <c r="K885" s="38">
        <f t="shared" si="15"/>
        <v>0.02569444444</v>
      </c>
      <c r="L885" s="39" t="str">
        <f t="shared" si="2"/>
        <v>Morning</v>
      </c>
      <c r="M885" s="39" t="str">
        <f t="array" ref="M885">XLOOKUP(D885,'Category dict'!$B$1:$B$4,'Category dict'!$A$1:$A$4,0,0,1)</f>
        <v>Business</v>
      </c>
      <c r="N885" s="39" t="str">
        <f>VLOOKUP(H885,'Purpose dict'!$A$1:$B$12,2,0)</f>
        <v>NOT DEFINED</v>
      </c>
    </row>
    <row r="886" hidden="1">
      <c r="A886" s="3" t="s">
        <v>1118</v>
      </c>
      <c r="B886" s="34">
        <v>42675.68680555555</v>
      </c>
      <c r="C886" s="34">
        <v>42675.70972222222</v>
      </c>
      <c r="D886" s="35">
        <v>423.0</v>
      </c>
      <c r="E886" s="3" t="s">
        <v>101</v>
      </c>
      <c r="F886" s="3" t="s">
        <v>60</v>
      </c>
      <c r="G886" s="36">
        <v>12.8</v>
      </c>
      <c r="H886" s="35">
        <v>123.0</v>
      </c>
      <c r="I886" s="37">
        <v>0.6868055555555556</v>
      </c>
      <c r="J886" s="37">
        <v>0.7097222222222223</v>
      </c>
      <c r="K886" s="38">
        <f t="shared" si="15"/>
        <v>0.02291666667</v>
      </c>
      <c r="L886" s="39" t="str">
        <f t="shared" si="2"/>
        <v>Day</v>
      </c>
      <c r="M886" s="39" t="str">
        <f t="array" ref="M886">XLOOKUP(D886,'Category dict'!$B$1:$B$4,'Category dict'!$A$1:$A$4,0,0,1)</f>
        <v>Business</v>
      </c>
      <c r="N886" s="39" t="str">
        <f>VLOOKUP(H886,'Purpose dict'!$A$1:$B$12,2,0)</f>
        <v>NOT DEFINED</v>
      </c>
    </row>
    <row r="887">
      <c r="A887" s="3" t="s">
        <v>1119</v>
      </c>
      <c r="B887" s="34">
        <v>42675.73263888889</v>
      </c>
      <c r="C887" s="34">
        <v>42675.7375</v>
      </c>
      <c r="D887" s="35">
        <v>423.0</v>
      </c>
      <c r="E887" s="3" t="s">
        <v>106</v>
      </c>
      <c r="F887" s="3" t="s">
        <v>106</v>
      </c>
      <c r="G887" s="40">
        <v>1.2</v>
      </c>
      <c r="H887" s="35">
        <v>123.0</v>
      </c>
      <c r="I887" s="37">
        <v>0.7326388888888888</v>
      </c>
      <c r="J887" s="37">
        <v>0.7375</v>
      </c>
      <c r="K887" s="38">
        <f t="shared" si="15"/>
        <v>0.004861111111</v>
      </c>
      <c r="L887" s="39" t="str">
        <f t="shared" si="2"/>
        <v>Day</v>
      </c>
      <c r="M887" s="39" t="str">
        <f t="array" ref="M887">XLOOKUP(D887,'Category dict'!$B$1:$B$4,'Category dict'!$A$1:$A$4,0,0,1)</f>
        <v>Business</v>
      </c>
      <c r="N887" s="39" t="str">
        <f>VLOOKUP(H887,'Purpose dict'!$A$1:$B$12,2,0)</f>
        <v>NOT DEFINED</v>
      </c>
    </row>
    <row r="888">
      <c r="A888" s="3" t="s">
        <v>1120</v>
      </c>
      <c r="B888" s="34">
        <v>42675.80138888889</v>
      </c>
      <c r="C888" s="34">
        <v>42675.805555555555</v>
      </c>
      <c r="D888" s="35">
        <v>423.0</v>
      </c>
      <c r="E888" s="3" t="s">
        <v>106</v>
      </c>
      <c r="F888" s="3" t="s">
        <v>106</v>
      </c>
      <c r="G888" s="40">
        <v>1.0</v>
      </c>
      <c r="H888" s="35">
        <v>123.0</v>
      </c>
      <c r="I888" s="37">
        <v>0.8013888888888889</v>
      </c>
      <c r="J888" s="37">
        <v>0.8055555555555556</v>
      </c>
      <c r="K888" s="38">
        <f t="shared" si="15"/>
        <v>0.004166666667</v>
      </c>
      <c r="L888" s="39" t="str">
        <f t="shared" si="2"/>
        <v>Evening</v>
      </c>
      <c r="M888" s="39" t="str">
        <f t="array" ref="M888">XLOOKUP(D888,'Category dict'!$B$1:$B$4,'Category dict'!$A$1:$A$4,0,0,1)</f>
        <v>Business</v>
      </c>
      <c r="N888" s="39" t="str">
        <f>VLOOKUP(H888,'Purpose dict'!$A$1:$B$12,2,0)</f>
        <v>NOT DEFINED</v>
      </c>
    </row>
    <row r="889" hidden="1">
      <c r="A889" s="3" t="s">
        <v>1121</v>
      </c>
      <c r="B889" s="34">
        <v>42675.83263888889</v>
      </c>
      <c r="C889" s="34">
        <v>42675.84166666667</v>
      </c>
      <c r="D889" s="35">
        <v>423.0</v>
      </c>
      <c r="E889" s="3" t="s">
        <v>106</v>
      </c>
      <c r="F889" s="3" t="s">
        <v>106</v>
      </c>
      <c r="G889" s="36">
        <v>4.1</v>
      </c>
      <c r="H889" s="35">
        <v>123.0</v>
      </c>
      <c r="I889" s="37">
        <v>0.8326388888888889</v>
      </c>
      <c r="J889" s="37">
        <v>0.8416666666666667</v>
      </c>
      <c r="K889" s="38">
        <f t="shared" si="15"/>
        <v>0.009027777778</v>
      </c>
      <c r="L889" s="39" t="str">
        <f t="shared" si="2"/>
        <v>Evening</v>
      </c>
      <c r="M889" s="39" t="str">
        <f t="array" ref="M889">XLOOKUP(D889,'Category dict'!$B$1:$B$4,'Category dict'!$A$1:$A$4,0,0,1)</f>
        <v>Business</v>
      </c>
      <c r="N889" s="39" t="str">
        <f>VLOOKUP(H889,'Purpose dict'!$A$1:$B$12,2,0)</f>
        <v>NOT DEFINED</v>
      </c>
    </row>
    <row r="890" hidden="1">
      <c r="A890" s="3" t="s">
        <v>1122</v>
      </c>
      <c r="B890" s="34">
        <v>42675.861805555556</v>
      </c>
      <c r="C890" s="34">
        <v>42675.87152777778</v>
      </c>
      <c r="D890" s="35">
        <v>423.0</v>
      </c>
      <c r="E890" s="3" t="s">
        <v>106</v>
      </c>
      <c r="F890" s="3" t="s">
        <v>106</v>
      </c>
      <c r="G890" s="36">
        <v>4.2</v>
      </c>
      <c r="H890" s="35">
        <v>1.0</v>
      </c>
      <c r="I890" s="37">
        <v>0.8618055555555556</v>
      </c>
      <c r="J890" s="37">
        <v>0.8715277777777778</v>
      </c>
      <c r="K890" s="38">
        <f t="shared" si="15"/>
        <v>0.009722222222</v>
      </c>
      <c r="L890" s="39" t="str">
        <f t="shared" si="2"/>
        <v>Evening</v>
      </c>
      <c r="M890" s="39" t="str">
        <f t="array" ref="M890">XLOOKUP(D890,'Category dict'!$B$1:$B$4,'Category dict'!$A$1:$A$4,0,0,1)</f>
        <v>Business</v>
      </c>
      <c r="N890" s="39" t="str">
        <f>VLOOKUP(H890,'Purpose dict'!$A$1:$B$12,2,0)</f>
        <v>Meal/Entertain</v>
      </c>
    </row>
    <row r="891">
      <c r="A891" s="3" t="s">
        <v>1123</v>
      </c>
      <c r="B891" s="34">
        <v>42676.631944444445</v>
      </c>
      <c r="C891" s="34">
        <v>42676.6375</v>
      </c>
      <c r="D891" s="35">
        <v>423.0</v>
      </c>
      <c r="E891" s="3" t="s">
        <v>106</v>
      </c>
      <c r="F891" s="3" t="s">
        <v>123</v>
      </c>
      <c r="G891" s="40">
        <v>1.4</v>
      </c>
      <c r="H891" s="35">
        <v>123.0</v>
      </c>
      <c r="I891" s="37">
        <v>0.6319444444444444</v>
      </c>
      <c r="J891" s="37">
        <v>0.6375</v>
      </c>
      <c r="K891" s="38">
        <f t="shared" si="15"/>
        <v>0.005555555556</v>
      </c>
      <c r="L891" s="39" t="str">
        <f t="shared" si="2"/>
        <v>Day</v>
      </c>
      <c r="M891" s="39" t="str">
        <f t="array" ref="M891">XLOOKUP(D891,'Category dict'!$B$1:$B$4,'Category dict'!$A$1:$A$4,0,0,1)</f>
        <v>Business</v>
      </c>
      <c r="N891" s="39" t="str">
        <f>VLOOKUP(H891,'Purpose dict'!$A$1:$B$12,2,0)</f>
        <v>NOT DEFINED</v>
      </c>
    </row>
    <row r="892" hidden="1">
      <c r="A892" s="3" t="s">
        <v>1124</v>
      </c>
      <c r="B892" s="34">
        <v>42676.65625</v>
      </c>
      <c r="C892" s="34">
        <v>42676.66111111111</v>
      </c>
      <c r="D892" s="35">
        <v>423.0</v>
      </c>
      <c r="E892" s="3" t="s">
        <v>123</v>
      </c>
      <c r="F892" s="3" t="s">
        <v>106</v>
      </c>
      <c r="G892" s="36">
        <v>1.8</v>
      </c>
      <c r="H892" s="35">
        <v>123.0</v>
      </c>
      <c r="I892" s="37">
        <v>0.65625</v>
      </c>
      <c r="J892" s="37">
        <v>0.6611111111111111</v>
      </c>
      <c r="K892" s="38">
        <f t="shared" si="15"/>
        <v>0.004861111111</v>
      </c>
      <c r="L892" s="39" t="str">
        <f t="shared" si="2"/>
        <v>Day</v>
      </c>
      <c r="M892" s="39" t="str">
        <f t="array" ref="M892">XLOOKUP(D892,'Category dict'!$B$1:$B$4,'Category dict'!$A$1:$A$4,0,0,1)</f>
        <v>Business</v>
      </c>
      <c r="N892" s="39" t="str">
        <f>VLOOKUP(H892,'Purpose dict'!$A$1:$B$12,2,0)</f>
        <v>NOT DEFINED</v>
      </c>
    </row>
    <row r="893" hidden="1">
      <c r="A893" s="3" t="s">
        <v>1125</v>
      </c>
      <c r="B893" s="34">
        <v>42676.69861111111</v>
      </c>
      <c r="C893" s="34">
        <v>42676.71597222222</v>
      </c>
      <c r="D893" s="35">
        <v>423.0</v>
      </c>
      <c r="E893" s="3" t="s">
        <v>60</v>
      </c>
      <c r="F893" s="3" t="s">
        <v>62</v>
      </c>
      <c r="G893" s="36">
        <v>8.5</v>
      </c>
      <c r="H893" s="35">
        <v>3.0</v>
      </c>
      <c r="I893" s="37">
        <v>0.6986111111111111</v>
      </c>
      <c r="J893" s="37">
        <v>0.7159722222222222</v>
      </c>
      <c r="K893" s="38">
        <f t="shared" si="15"/>
        <v>0.01736111111</v>
      </c>
      <c r="L893" s="39" t="str">
        <f t="shared" si="2"/>
        <v>Day</v>
      </c>
      <c r="M893" s="39" t="str">
        <f t="array" ref="M893">XLOOKUP(D893,'Category dict'!$B$1:$B$4,'Category dict'!$A$1:$A$4,0,0,1)</f>
        <v>Business</v>
      </c>
      <c r="N893" s="39" t="str">
        <f>VLOOKUP(H893,'Purpose dict'!$A$1:$B$12,2,0)</f>
        <v>Meeting</v>
      </c>
    </row>
    <row r="894" hidden="1">
      <c r="A894" s="3" t="s">
        <v>1126</v>
      </c>
      <c r="B894" s="34">
        <v>42676.731944444444</v>
      </c>
      <c r="C894" s="34">
        <v>42676.74236111111</v>
      </c>
      <c r="D894" s="35">
        <v>423.0</v>
      </c>
      <c r="E894" s="3" t="s">
        <v>62</v>
      </c>
      <c r="F894" s="3" t="s">
        <v>62</v>
      </c>
      <c r="G894" s="36">
        <v>5.0</v>
      </c>
      <c r="H894" s="35">
        <v>123.0</v>
      </c>
      <c r="I894" s="37">
        <v>0.7319444444444444</v>
      </c>
      <c r="J894" s="37">
        <v>0.7423611111111111</v>
      </c>
      <c r="K894" s="38">
        <f t="shared" si="15"/>
        <v>0.01041666667</v>
      </c>
      <c r="L894" s="39" t="str">
        <f t="shared" si="2"/>
        <v>Day</v>
      </c>
      <c r="M894" s="39" t="str">
        <f t="array" ref="M894">XLOOKUP(D894,'Category dict'!$B$1:$B$4,'Category dict'!$A$1:$A$4,0,0,1)</f>
        <v>Business</v>
      </c>
      <c r="N894" s="39" t="str">
        <f>VLOOKUP(H894,'Purpose dict'!$A$1:$B$12,2,0)</f>
        <v>NOT DEFINED</v>
      </c>
    </row>
    <row r="895" hidden="1">
      <c r="A895" s="3" t="s">
        <v>1127</v>
      </c>
      <c r="B895" s="34">
        <v>42676.74513888889</v>
      </c>
      <c r="C895" s="34">
        <v>42676.75</v>
      </c>
      <c r="D895" s="35">
        <v>423.0</v>
      </c>
      <c r="E895" s="3" t="s">
        <v>62</v>
      </c>
      <c r="F895" s="3" t="s">
        <v>60</v>
      </c>
      <c r="G895" s="36">
        <v>3.8</v>
      </c>
      <c r="H895" s="35">
        <v>123.0</v>
      </c>
      <c r="I895" s="37">
        <v>0.7451388888888889</v>
      </c>
      <c r="J895" s="37">
        <v>0.75</v>
      </c>
      <c r="K895" s="38">
        <f t="shared" si="15"/>
        <v>0.004861111111</v>
      </c>
      <c r="L895" s="39" t="str">
        <f t="shared" si="2"/>
        <v>Day</v>
      </c>
      <c r="M895" s="39" t="str">
        <f t="array" ref="M895">XLOOKUP(D895,'Category dict'!$B$1:$B$4,'Category dict'!$A$1:$A$4,0,0,1)</f>
        <v>Business</v>
      </c>
      <c r="N895" s="39" t="str">
        <f>VLOOKUP(H895,'Purpose dict'!$A$1:$B$12,2,0)</f>
        <v>NOT DEFINED</v>
      </c>
    </row>
    <row r="896" hidden="1">
      <c r="A896" s="3" t="s">
        <v>1128</v>
      </c>
      <c r="B896" s="34">
        <v>42677.47777777778</v>
      </c>
      <c r="C896" s="34">
        <v>42677.481944444444</v>
      </c>
      <c r="D896" s="35">
        <v>423.0</v>
      </c>
      <c r="E896" s="3" t="s">
        <v>106</v>
      </c>
      <c r="F896" s="3" t="s">
        <v>120</v>
      </c>
      <c r="G896" s="36">
        <v>2.5</v>
      </c>
      <c r="H896" s="35">
        <v>123.0</v>
      </c>
      <c r="I896" s="37">
        <v>0.4777777777777778</v>
      </c>
      <c r="J896" s="37">
        <v>0.48194444444444445</v>
      </c>
      <c r="K896" s="38">
        <f t="shared" si="15"/>
        <v>0.004166666667</v>
      </c>
      <c r="L896" s="39" t="str">
        <f t="shared" si="2"/>
        <v>Morning</v>
      </c>
      <c r="M896" s="39" t="str">
        <f t="array" ref="M896">XLOOKUP(D896,'Category dict'!$B$1:$B$4,'Category dict'!$A$1:$A$4,0,0,1)</f>
        <v>Business</v>
      </c>
      <c r="N896" s="39" t="str">
        <f>VLOOKUP(H896,'Purpose dict'!$A$1:$B$12,2,0)</f>
        <v>NOT DEFINED</v>
      </c>
    </row>
    <row r="897" hidden="1">
      <c r="A897" s="3" t="s">
        <v>1129</v>
      </c>
      <c r="B897" s="34">
        <v>42677.529861111114</v>
      </c>
      <c r="C897" s="34">
        <v>42677.53402777778</v>
      </c>
      <c r="D897" s="35">
        <v>423.0</v>
      </c>
      <c r="E897" s="3" t="s">
        <v>120</v>
      </c>
      <c r="F897" s="3" t="s">
        <v>106</v>
      </c>
      <c r="G897" s="36">
        <v>2.4</v>
      </c>
      <c r="H897" s="35">
        <v>123.0</v>
      </c>
      <c r="I897" s="37">
        <v>0.5298611111111111</v>
      </c>
      <c r="J897" s="37">
        <v>0.5340277777777778</v>
      </c>
      <c r="K897" s="38">
        <f t="shared" si="15"/>
        <v>0.004166666667</v>
      </c>
      <c r="L897" s="39" t="str">
        <f t="shared" si="2"/>
        <v>Day</v>
      </c>
      <c r="M897" s="39" t="str">
        <f t="array" ref="M897">XLOOKUP(D897,'Category dict'!$B$1:$B$4,'Category dict'!$A$1:$A$4,0,0,1)</f>
        <v>Business</v>
      </c>
      <c r="N897" s="39" t="str">
        <f>VLOOKUP(H897,'Purpose dict'!$A$1:$B$12,2,0)</f>
        <v>NOT DEFINED</v>
      </c>
    </row>
    <row r="898">
      <c r="A898" s="3" t="s">
        <v>1130</v>
      </c>
      <c r="B898" s="34">
        <v>42677.57083333333</v>
      </c>
      <c r="C898" s="34">
        <v>42677.57430555556</v>
      </c>
      <c r="D898" s="35">
        <v>423.0</v>
      </c>
      <c r="E898" s="3" t="s">
        <v>106</v>
      </c>
      <c r="F898" s="3" t="s">
        <v>123</v>
      </c>
      <c r="G898" s="40">
        <v>1.4</v>
      </c>
      <c r="H898" s="35">
        <v>123.0</v>
      </c>
      <c r="I898" s="37">
        <v>0.5708333333333333</v>
      </c>
      <c r="J898" s="37">
        <v>0.5743055555555555</v>
      </c>
      <c r="K898" s="38">
        <f t="shared" si="15"/>
        <v>0.003472222222</v>
      </c>
      <c r="L898" s="39" t="str">
        <f t="shared" si="2"/>
        <v>Day</v>
      </c>
      <c r="M898" s="39" t="str">
        <f t="array" ref="M898">XLOOKUP(D898,'Category dict'!$B$1:$B$4,'Category dict'!$A$1:$A$4,0,0,1)</f>
        <v>Business</v>
      </c>
      <c r="N898" s="39" t="str">
        <f>VLOOKUP(H898,'Purpose dict'!$A$1:$B$12,2,0)</f>
        <v>NOT DEFINED</v>
      </c>
    </row>
    <row r="899" hidden="1">
      <c r="A899" s="3" t="s">
        <v>1131</v>
      </c>
      <c r="B899" s="34">
        <v>42677.592361111114</v>
      </c>
      <c r="C899" s="34">
        <v>42677.60138888889</v>
      </c>
      <c r="D899" s="35">
        <v>423.0</v>
      </c>
      <c r="E899" s="3" t="s">
        <v>123</v>
      </c>
      <c r="F899" s="3" t="s">
        <v>106</v>
      </c>
      <c r="G899" s="36">
        <v>1.8</v>
      </c>
      <c r="H899" s="35">
        <v>123.0</v>
      </c>
      <c r="I899" s="37">
        <v>0.5923611111111111</v>
      </c>
      <c r="J899" s="37">
        <v>0.6013888888888889</v>
      </c>
      <c r="K899" s="38">
        <f t="shared" si="15"/>
        <v>0.009027777778</v>
      </c>
      <c r="L899" s="39" t="str">
        <f t="shared" si="2"/>
        <v>Day</v>
      </c>
      <c r="M899" s="39" t="str">
        <f t="array" ref="M899">XLOOKUP(D899,'Category dict'!$B$1:$B$4,'Category dict'!$A$1:$A$4,0,0,1)</f>
        <v>Business</v>
      </c>
      <c r="N899" s="39" t="str">
        <f>VLOOKUP(H899,'Purpose dict'!$A$1:$B$12,2,0)</f>
        <v>NOT DEFINED</v>
      </c>
    </row>
    <row r="900" hidden="1">
      <c r="A900" s="3" t="s">
        <v>1132</v>
      </c>
      <c r="B900" s="34">
        <v>42677.785416666666</v>
      </c>
      <c r="C900" s="34">
        <v>42677.79722222222</v>
      </c>
      <c r="D900" s="35">
        <v>423.0</v>
      </c>
      <c r="E900" s="3" t="s">
        <v>60</v>
      </c>
      <c r="F900" s="3" t="s">
        <v>62</v>
      </c>
      <c r="G900" s="36">
        <v>3.1</v>
      </c>
      <c r="H900" s="35">
        <v>1.0</v>
      </c>
      <c r="I900" s="37">
        <v>0.7854166666666667</v>
      </c>
      <c r="J900" s="37">
        <v>0.7972222222222223</v>
      </c>
      <c r="K900" s="38">
        <f t="shared" si="15"/>
        <v>0.01180555556</v>
      </c>
      <c r="L900" s="39" t="str">
        <f t="shared" si="2"/>
        <v>Evening</v>
      </c>
      <c r="M900" s="39" t="str">
        <f t="array" ref="M900">XLOOKUP(D900,'Category dict'!$B$1:$B$4,'Category dict'!$A$1:$A$4,0,0,1)</f>
        <v>Business</v>
      </c>
      <c r="N900" s="39" t="str">
        <f>VLOOKUP(H900,'Purpose dict'!$A$1:$B$12,2,0)</f>
        <v>Meal/Entertain</v>
      </c>
    </row>
    <row r="901" hidden="1">
      <c r="A901" s="3" t="s">
        <v>1133</v>
      </c>
      <c r="B901" s="34">
        <v>42677.94861111111</v>
      </c>
      <c r="C901" s="34">
        <v>42677.95694444444</v>
      </c>
      <c r="D901" s="35">
        <v>423.0</v>
      </c>
      <c r="E901" s="3" t="s">
        <v>62</v>
      </c>
      <c r="F901" s="3" t="s">
        <v>60</v>
      </c>
      <c r="G901" s="36">
        <v>3.1</v>
      </c>
      <c r="H901" s="35">
        <v>4.0</v>
      </c>
      <c r="I901" s="37">
        <v>0.9486111111111111</v>
      </c>
      <c r="J901" s="37">
        <v>0.9569444444444445</v>
      </c>
      <c r="K901" s="38">
        <f t="shared" si="15"/>
        <v>0.008333333333</v>
      </c>
      <c r="L901" s="39" t="str">
        <f t="shared" si="2"/>
        <v>Evening</v>
      </c>
      <c r="M901" s="39" t="str">
        <f t="array" ref="M901">XLOOKUP(D901,'Category dict'!$B$1:$B$4,'Category dict'!$A$1:$A$4,0,0,1)</f>
        <v>Business</v>
      </c>
      <c r="N901" s="39" t="str">
        <f>VLOOKUP(H901,'Purpose dict'!$A$1:$B$12,2,0)</f>
        <v>Customer Visit</v>
      </c>
    </row>
    <row r="902" hidden="1">
      <c r="A902" s="3" t="s">
        <v>1134</v>
      </c>
      <c r="B902" s="34">
        <v>42678.41805555556</v>
      </c>
      <c r="C902" s="34">
        <v>42678.42916666667</v>
      </c>
      <c r="D902" s="35">
        <v>423.0</v>
      </c>
      <c r="E902" s="3" t="s">
        <v>60</v>
      </c>
      <c r="F902" s="3" t="s">
        <v>62</v>
      </c>
      <c r="G902" s="36">
        <v>7.9</v>
      </c>
      <c r="H902" s="35">
        <v>5.0</v>
      </c>
      <c r="I902" s="37">
        <v>0.41805555555555557</v>
      </c>
      <c r="J902" s="37">
        <v>0.42916666666666664</v>
      </c>
      <c r="K902" s="38">
        <f t="shared" si="15"/>
        <v>0.01111111111</v>
      </c>
      <c r="L902" s="39" t="str">
        <f t="shared" si="2"/>
        <v>Morning</v>
      </c>
      <c r="M902" s="39" t="str">
        <f t="array" ref="M902">XLOOKUP(D902,'Category dict'!$B$1:$B$4,'Category dict'!$A$1:$A$4,0,0,1)</f>
        <v>Business</v>
      </c>
      <c r="N902" s="39" t="str">
        <f>VLOOKUP(H902,'Purpose dict'!$A$1:$B$12,2,0)</f>
        <v>Temporary Site</v>
      </c>
    </row>
    <row r="903" hidden="1">
      <c r="A903" s="3" t="s">
        <v>1135</v>
      </c>
      <c r="B903" s="34">
        <v>42678.759722222225</v>
      </c>
      <c r="C903" s="34">
        <v>42678.76458333333</v>
      </c>
      <c r="D903" s="35">
        <v>423.0</v>
      </c>
      <c r="E903" s="3" t="s">
        <v>1063</v>
      </c>
      <c r="F903" s="3" t="s">
        <v>1136</v>
      </c>
      <c r="G903" s="36">
        <v>3.8</v>
      </c>
      <c r="H903" s="35">
        <v>123.0</v>
      </c>
      <c r="I903" s="37">
        <v>0.7597222222222222</v>
      </c>
      <c r="J903" s="37">
        <v>0.7645833333333333</v>
      </c>
      <c r="K903" s="38">
        <f t="shared" si="15"/>
        <v>0.004861111111</v>
      </c>
      <c r="L903" s="39" t="str">
        <f t="shared" si="2"/>
        <v>Evening</v>
      </c>
      <c r="M903" s="39" t="str">
        <f t="array" ref="M903">XLOOKUP(D903,'Category dict'!$B$1:$B$4,'Category dict'!$A$1:$A$4,0,0,1)</f>
        <v>Business</v>
      </c>
      <c r="N903" s="39" t="str">
        <f>VLOOKUP(H903,'Purpose dict'!$A$1:$B$12,2,0)</f>
        <v>NOT DEFINED</v>
      </c>
    </row>
    <row r="904" hidden="1">
      <c r="A904" s="3" t="s">
        <v>1137</v>
      </c>
      <c r="B904" s="34">
        <v>42678.87777777778</v>
      </c>
      <c r="C904" s="34">
        <v>42678.88888888889</v>
      </c>
      <c r="D904" s="35">
        <v>423.0</v>
      </c>
      <c r="E904" s="3" t="s">
        <v>1138</v>
      </c>
      <c r="F904" s="3" t="s">
        <v>1139</v>
      </c>
      <c r="G904" s="36">
        <v>4.3</v>
      </c>
      <c r="H904" s="35">
        <v>123.0</v>
      </c>
      <c r="I904" s="37">
        <v>0.8777777777777778</v>
      </c>
      <c r="J904" s="37">
        <v>0.8888888888888888</v>
      </c>
      <c r="K904" s="38">
        <f t="shared" si="15"/>
        <v>0.01111111111</v>
      </c>
      <c r="L904" s="39" t="str">
        <f t="shared" si="2"/>
        <v>Evening</v>
      </c>
      <c r="M904" s="39" t="str">
        <f t="array" ref="M904">XLOOKUP(D904,'Category dict'!$B$1:$B$4,'Category dict'!$A$1:$A$4,0,0,1)</f>
        <v>Business</v>
      </c>
      <c r="N904" s="39" t="str">
        <f>VLOOKUP(H904,'Purpose dict'!$A$1:$B$12,2,0)</f>
        <v>NOT DEFINED</v>
      </c>
    </row>
    <row r="905" hidden="1">
      <c r="A905" s="3" t="s">
        <v>1140</v>
      </c>
      <c r="B905" s="34">
        <v>42678.925</v>
      </c>
      <c r="C905" s="34">
        <v>42678.93402777778</v>
      </c>
      <c r="D905" s="35">
        <v>423.0</v>
      </c>
      <c r="E905" s="3" t="s">
        <v>1139</v>
      </c>
      <c r="F905" s="3" t="s">
        <v>1138</v>
      </c>
      <c r="G905" s="36">
        <v>3.9</v>
      </c>
      <c r="H905" s="35">
        <v>123.0</v>
      </c>
      <c r="I905" s="37">
        <v>0.925</v>
      </c>
      <c r="J905" s="37">
        <v>0.9340277777777778</v>
      </c>
      <c r="K905" s="38">
        <f t="shared" si="15"/>
        <v>0.009027777778</v>
      </c>
      <c r="L905" s="39" t="str">
        <f t="shared" si="2"/>
        <v>Evening</v>
      </c>
      <c r="M905" s="39" t="str">
        <f t="array" ref="M905">XLOOKUP(D905,'Category dict'!$B$1:$B$4,'Category dict'!$A$1:$A$4,0,0,1)</f>
        <v>Business</v>
      </c>
      <c r="N905" s="39" t="str">
        <f>VLOOKUP(H905,'Purpose dict'!$A$1:$B$12,2,0)</f>
        <v>NOT DEFINED</v>
      </c>
    </row>
    <row r="906" hidden="1">
      <c r="A906" s="3" t="s">
        <v>1141</v>
      </c>
      <c r="B906" s="34">
        <v>42679.356944444444</v>
      </c>
      <c r="C906" s="34">
        <v>42679.36319444444</v>
      </c>
      <c r="D906" s="35">
        <v>423.0</v>
      </c>
      <c r="E906" s="3" t="s">
        <v>1138</v>
      </c>
      <c r="F906" s="3" t="s">
        <v>1142</v>
      </c>
      <c r="G906" s="36">
        <v>2.2</v>
      </c>
      <c r="H906" s="35">
        <v>123.0</v>
      </c>
      <c r="I906" s="37">
        <v>0.35694444444444445</v>
      </c>
      <c r="J906" s="37">
        <v>0.36319444444444443</v>
      </c>
      <c r="K906" s="38">
        <f t="shared" si="15"/>
        <v>0.00625</v>
      </c>
      <c r="L906" s="39" t="str">
        <f t="shared" si="2"/>
        <v>Morning</v>
      </c>
      <c r="M906" s="39" t="str">
        <f t="array" ref="M906">XLOOKUP(D906,'Category dict'!$B$1:$B$4,'Category dict'!$A$1:$A$4,0,0,1)</f>
        <v>Business</v>
      </c>
      <c r="N906" s="39" t="str">
        <f>VLOOKUP(H906,'Purpose dict'!$A$1:$B$12,2,0)</f>
        <v>NOT DEFINED</v>
      </c>
    </row>
    <row r="907" hidden="1">
      <c r="A907" s="3" t="s">
        <v>1143</v>
      </c>
      <c r="B907" s="34">
        <v>42679.728472222225</v>
      </c>
      <c r="C907" s="34">
        <v>42679.73611111111</v>
      </c>
      <c r="D907" s="35">
        <v>423.0</v>
      </c>
      <c r="E907" s="3" t="s">
        <v>1142</v>
      </c>
      <c r="F907" s="3" t="s">
        <v>1138</v>
      </c>
      <c r="G907" s="36">
        <v>2.8</v>
      </c>
      <c r="H907" s="35">
        <v>123.0</v>
      </c>
      <c r="I907" s="37">
        <v>0.7284722222222222</v>
      </c>
      <c r="J907" s="37">
        <v>0.7361111111111112</v>
      </c>
      <c r="K907" s="38">
        <f t="shared" si="15"/>
        <v>0.007638888889</v>
      </c>
      <c r="L907" s="39" t="str">
        <f t="shared" si="2"/>
        <v>Day</v>
      </c>
      <c r="M907" s="39" t="str">
        <f t="array" ref="M907">XLOOKUP(D907,'Category dict'!$B$1:$B$4,'Category dict'!$A$1:$A$4,0,0,1)</f>
        <v>Business</v>
      </c>
      <c r="N907" s="39" t="str">
        <f>VLOOKUP(H907,'Purpose dict'!$A$1:$B$12,2,0)</f>
        <v>NOT DEFINED</v>
      </c>
    </row>
    <row r="908" hidden="1">
      <c r="A908" s="3" t="s">
        <v>1144</v>
      </c>
      <c r="B908" s="34">
        <v>42679.805555555555</v>
      </c>
      <c r="C908" s="34">
        <v>42679.811111111114</v>
      </c>
      <c r="D908" s="35">
        <v>423.0</v>
      </c>
      <c r="E908" s="3" t="s">
        <v>1138</v>
      </c>
      <c r="F908" s="3" t="s">
        <v>1138</v>
      </c>
      <c r="G908" s="36">
        <v>2.2</v>
      </c>
      <c r="H908" s="35">
        <v>123.0</v>
      </c>
      <c r="I908" s="37">
        <v>0.8055555555555556</v>
      </c>
      <c r="J908" s="37">
        <v>0.8111111111111111</v>
      </c>
      <c r="K908" s="38">
        <f t="shared" si="15"/>
        <v>0.005555555556</v>
      </c>
      <c r="L908" s="39" t="str">
        <f t="shared" si="2"/>
        <v>Evening</v>
      </c>
      <c r="M908" s="39" t="str">
        <f t="array" ref="M908">XLOOKUP(D908,'Category dict'!$B$1:$B$4,'Category dict'!$A$1:$A$4,0,0,1)</f>
        <v>Business</v>
      </c>
      <c r="N908" s="39" t="str">
        <f>VLOOKUP(H908,'Purpose dict'!$A$1:$B$12,2,0)</f>
        <v>NOT DEFINED</v>
      </c>
    </row>
    <row r="909" hidden="1">
      <c r="A909" s="3" t="s">
        <v>1145</v>
      </c>
      <c r="B909" s="34">
        <v>42680.45138888889</v>
      </c>
      <c r="C909" s="34">
        <v>42680.46111111111</v>
      </c>
      <c r="D909" s="35">
        <v>423.0</v>
      </c>
      <c r="E909" s="3" t="s">
        <v>1138</v>
      </c>
      <c r="F909" s="3" t="s">
        <v>1142</v>
      </c>
      <c r="G909" s="36">
        <v>2.4</v>
      </c>
      <c r="H909" s="35">
        <v>123.0</v>
      </c>
      <c r="I909" s="37">
        <v>0.4513888888888889</v>
      </c>
      <c r="J909" s="37">
        <v>0.46111111111111114</v>
      </c>
      <c r="K909" s="38">
        <f t="shared" si="15"/>
        <v>0.009722222222</v>
      </c>
      <c r="L909" s="39" t="str">
        <f t="shared" si="2"/>
        <v>Morning</v>
      </c>
      <c r="M909" s="39" t="str">
        <f t="array" ref="M909">XLOOKUP(D909,'Category dict'!$B$1:$B$4,'Category dict'!$A$1:$A$4,0,0,1)</f>
        <v>Business</v>
      </c>
      <c r="N909" s="39" t="str">
        <f>VLOOKUP(H909,'Purpose dict'!$A$1:$B$12,2,0)</f>
        <v>NOT DEFINED</v>
      </c>
    </row>
    <row r="910" hidden="1">
      <c r="A910" s="3" t="s">
        <v>1146</v>
      </c>
      <c r="B910" s="34">
        <v>42680.67013888889</v>
      </c>
      <c r="C910" s="34">
        <v>42680.68194444444</v>
      </c>
      <c r="D910" s="35">
        <v>423.0</v>
      </c>
      <c r="E910" s="3" t="s">
        <v>1142</v>
      </c>
      <c r="F910" s="3" t="s">
        <v>1138</v>
      </c>
      <c r="G910" s="36">
        <v>2.8</v>
      </c>
      <c r="H910" s="35">
        <v>3.0</v>
      </c>
      <c r="I910" s="37">
        <v>0.6701388888888888</v>
      </c>
      <c r="J910" s="37">
        <v>0.6819444444444445</v>
      </c>
      <c r="K910" s="38">
        <f t="shared" si="15"/>
        <v>0.01180555556</v>
      </c>
      <c r="L910" s="39" t="str">
        <f t="shared" si="2"/>
        <v>Day</v>
      </c>
      <c r="M910" s="39" t="str">
        <f t="array" ref="M910">XLOOKUP(D910,'Category dict'!$B$1:$B$4,'Category dict'!$A$1:$A$4,0,0,1)</f>
        <v>Business</v>
      </c>
      <c r="N910" s="39" t="str">
        <f>VLOOKUP(H910,'Purpose dict'!$A$1:$B$12,2,0)</f>
        <v>Meeting</v>
      </c>
    </row>
    <row r="911" hidden="1">
      <c r="A911" s="3" t="s">
        <v>1147</v>
      </c>
      <c r="B911" s="34">
        <v>42680.68541666667</v>
      </c>
      <c r="C911" s="34">
        <v>42680.72777777778</v>
      </c>
      <c r="D911" s="35">
        <v>423.0</v>
      </c>
      <c r="E911" s="3" t="s">
        <v>1136</v>
      </c>
      <c r="F911" s="3" t="s">
        <v>618</v>
      </c>
      <c r="G911" s="36">
        <v>43.9</v>
      </c>
      <c r="H911" s="35">
        <v>4.0</v>
      </c>
      <c r="I911" s="37">
        <v>0.6854166666666667</v>
      </c>
      <c r="J911" s="37">
        <v>0.7277777777777777</v>
      </c>
      <c r="K911" s="38">
        <f t="shared" si="15"/>
        <v>0.04236111111</v>
      </c>
      <c r="L911" s="39" t="str">
        <f t="shared" si="2"/>
        <v>Day</v>
      </c>
      <c r="M911" s="39" t="str">
        <f t="array" ref="M911">XLOOKUP(D911,'Category dict'!$B$1:$B$4,'Category dict'!$A$1:$A$4,0,0,1)</f>
        <v>Business</v>
      </c>
      <c r="N911" s="39" t="str">
        <f>VLOOKUP(H911,'Purpose dict'!$A$1:$B$12,2,0)</f>
        <v>Customer Visit</v>
      </c>
    </row>
    <row r="912" hidden="1">
      <c r="A912" s="3" t="s">
        <v>1148</v>
      </c>
      <c r="B912" s="34">
        <v>42680.794444444444</v>
      </c>
      <c r="C912" s="34">
        <v>42680.8</v>
      </c>
      <c r="D912" s="35">
        <v>423.0</v>
      </c>
      <c r="E912" s="3" t="s">
        <v>91</v>
      </c>
      <c r="F912" s="3" t="s">
        <v>1056</v>
      </c>
      <c r="G912" s="36">
        <v>1.8</v>
      </c>
      <c r="H912" s="35">
        <v>123.0</v>
      </c>
      <c r="I912" s="37">
        <v>0.7944444444444444</v>
      </c>
      <c r="J912" s="37">
        <v>0.8</v>
      </c>
      <c r="K912" s="38">
        <f t="shared" si="15"/>
        <v>0.005555555556</v>
      </c>
      <c r="L912" s="39" t="str">
        <f t="shared" si="2"/>
        <v>Evening</v>
      </c>
      <c r="M912" s="39" t="str">
        <f t="array" ref="M912">XLOOKUP(D912,'Category dict'!$B$1:$B$4,'Category dict'!$A$1:$A$4,0,0,1)</f>
        <v>Business</v>
      </c>
      <c r="N912" s="39" t="str">
        <f>VLOOKUP(H912,'Purpose dict'!$A$1:$B$12,2,0)</f>
        <v>NOT DEFINED</v>
      </c>
    </row>
    <row r="913" hidden="1">
      <c r="A913" s="3" t="s">
        <v>1149</v>
      </c>
      <c r="B913" s="34">
        <v>42680.8375</v>
      </c>
      <c r="C913" s="34">
        <v>42680.847916666666</v>
      </c>
      <c r="D913" s="35">
        <v>423.0</v>
      </c>
      <c r="E913" s="3" t="s">
        <v>1056</v>
      </c>
      <c r="F913" s="3" t="s">
        <v>1150</v>
      </c>
      <c r="G913" s="36">
        <v>3.3</v>
      </c>
      <c r="H913" s="35">
        <v>123.0</v>
      </c>
      <c r="I913" s="37">
        <v>0.8375</v>
      </c>
      <c r="J913" s="37">
        <v>0.8479166666666667</v>
      </c>
      <c r="K913" s="38">
        <f t="shared" si="15"/>
        <v>0.01041666667</v>
      </c>
      <c r="L913" s="39" t="str">
        <f t="shared" si="2"/>
        <v>Evening</v>
      </c>
      <c r="M913" s="39" t="str">
        <f t="array" ref="M913">XLOOKUP(D913,'Category dict'!$B$1:$B$4,'Category dict'!$A$1:$A$4,0,0,1)</f>
        <v>Business</v>
      </c>
      <c r="N913" s="39" t="str">
        <f>VLOOKUP(H913,'Purpose dict'!$A$1:$B$12,2,0)</f>
        <v>NOT DEFINED</v>
      </c>
    </row>
    <row r="914" hidden="1">
      <c r="A914" s="3" t="s">
        <v>1151</v>
      </c>
      <c r="B914" s="34">
        <v>42681.51944444444</v>
      </c>
      <c r="C914" s="34">
        <v>42681.53958333333</v>
      </c>
      <c r="D914" s="35">
        <v>423.0</v>
      </c>
      <c r="E914" s="3" t="s">
        <v>618</v>
      </c>
      <c r="F914" s="3" t="s">
        <v>520</v>
      </c>
      <c r="G914" s="36">
        <v>11.8</v>
      </c>
      <c r="H914" s="35">
        <v>6.0</v>
      </c>
      <c r="I914" s="37">
        <v>0.5194444444444445</v>
      </c>
      <c r="J914" s="37">
        <v>0.5395833333333333</v>
      </c>
      <c r="K914" s="38">
        <f t="shared" si="15"/>
        <v>0.02013888889</v>
      </c>
      <c r="L914" s="39" t="str">
        <f t="shared" si="2"/>
        <v>Day</v>
      </c>
      <c r="M914" s="39" t="str">
        <f t="array" ref="M914">XLOOKUP(D914,'Category dict'!$B$1:$B$4,'Category dict'!$A$1:$A$4,0,0,1)</f>
        <v>Business</v>
      </c>
      <c r="N914" s="39" t="str">
        <f>VLOOKUP(H914,'Purpose dict'!$A$1:$B$12,2,0)</f>
        <v>Between Offices</v>
      </c>
    </row>
    <row r="915" hidden="1">
      <c r="A915" s="3" t="s">
        <v>1152</v>
      </c>
      <c r="B915" s="34">
        <v>42681.80347222222</v>
      </c>
      <c r="C915" s="34">
        <v>42681.83125</v>
      </c>
      <c r="D915" s="35">
        <v>423.0</v>
      </c>
      <c r="E915" s="3" t="s">
        <v>520</v>
      </c>
      <c r="F915" s="3" t="s">
        <v>618</v>
      </c>
      <c r="G915" s="36">
        <v>13.2</v>
      </c>
      <c r="H915" s="35">
        <v>6.0</v>
      </c>
      <c r="I915" s="37">
        <v>0.8034722222222223</v>
      </c>
      <c r="J915" s="37">
        <v>0.83125</v>
      </c>
      <c r="K915" s="38">
        <f t="shared" si="15"/>
        <v>0.02777777778</v>
      </c>
      <c r="L915" s="39" t="str">
        <f t="shared" si="2"/>
        <v>Evening</v>
      </c>
      <c r="M915" s="39" t="str">
        <f t="array" ref="M915">XLOOKUP(D915,'Category dict'!$B$1:$B$4,'Category dict'!$A$1:$A$4,0,0,1)</f>
        <v>Business</v>
      </c>
      <c r="N915" s="39" t="str">
        <f>VLOOKUP(H915,'Purpose dict'!$A$1:$B$12,2,0)</f>
        <v>Between Offices</v>
      </c>
    </row>
    <row r="916" hidden="1">
      <c r="A916" s="3" t="s">
        <v>1153</v>
      </c>
      <c r="B916" s="34">
        <v>42682.43680555555</v>
      </c>
      <c r="C916" s="34">
        <v>42682.45625</v>
      </c>
      <c r="D916" s="35">
        <v>423.0</v>
      </c>
      <c r="E916" s="3" t="s">
        <v>618</v>
      </c>
      <c r="F916" s="3" t="s">
        <v>520</v>
      </c>
      <c r="G916" s="36">
        <v>12.2</v>
      </c>
      <c r="H916" s="35">
        <v>6.0</v>
      </c>
      <c r="I916" s="37">
        <v>0.43680555555555556</v>
      </c>
      <c r="J916" s="37">
        <v>0.45625</v>
      </c>
      <c r="K916" s="38">
        <f t="shared" si="15"/>
        <v>0.01944444444</v>
      </c>
      <c r="L916" s="39" t="str">
        <f t="shared" si="2"/>
        <v>Morning</v>
      </c>
      <c r="M916" s="39" t="str">
        <f t="array" ref="M916">XLOOKUP(D916,'Category dict'!$B$1:$B$4,'Category dict'!$A$1:$A$4,0,0,1)</f>
        <v>Business</v>
      </c>
      <c r="N916" s="39" t="str">
        <f>VLOOKUP(H916,'Purpose dict'!$A$1:$B$12,2,0)</f>
        <v>Between Offices</v>
      </c>
    </row>
    <row r="917" hidden="1">
      <c r="A917" s="3" t="s">
        <v>1154</v>
      </c>
      <c r="B917" s="34">
        <v>42682.51111111111</v>
      </c>
      <c r="C917" s="34">
        <v>42682.53402777778</v>
      </c>
      <c r="D917" s="35">
        <v>423.0</v>
      </c>
      <c r="E917" s="3" t="s">
        <v>520</v>
      </c>
      <c r="F917" s="3" t="s">
        <v>618</v>
      </c>
      <c r="G917" s="36">
        <v>11.3</v>
      </c>
      <c r="H917" s="35">
        <v>3.0</v>
      </c>
      <c r="I917" s="37">
        <v>0.5111111111111111</v>
      </c>
      <c r="J917" s="37">
        <v>0.5340277777777778</v>
      </c>
      <c r="K917" s="38">
        <f t="shared" si="15"/>
        <v>0.02291666667</v>
      </c>
      <c r="L917" s="39" t="str">
        <f t="shared" si="2"/>
        <v>Day</v>
      </c>
      <c r="M917" s="39" t="str">
        <f t="array" ref="M917">XLOOKUP(D917,'Category dict'!$B$1:$B$4,'Category dict'!$A$1:$A$4,0,0,1)</f>
        <v>Business</v>
      </c>
      <c r="N917" s="39" t="str">
        <f>VLOOKUP(H917,'Purpose dict'!$A$1:$B$12,2,0)</f>
        <v>Meeting</v>
      </c>
    </row>
    <row r="918" hidden="1">
      <c r="A918" s="3" t="s">
        <v>1155</v>
      </c>
      <c r="B918" s="34">
        <v>42682.57013888889</v>
      </c>
      <c r="C918" s="34">
        <v>42682.584027777775</v>
      </c>
      <c r="D918" s="35">
        <v>423.0</v>
      </c>
      <c r="E918" s="3" t="s">
        <v>618</v>
      </c>
      <c r="F918" s="3" t="s">
        <v>616</v>
      </c>
      <c r="G918" s="36">
        <v>3.6</v>
      </c>
      <c r="H918" s="35">
        <v>123.0</v>
      </c>
      <c r="I918" s="37">
        <v>0.5701388888888889</v>
      </c>
      <c r="J918" s="37">
        <v>0.5840277777777778</v>
      </c>
      <c r="K918" s="38">
        <f t="shared" si="15"/>
        <v>0.01388888889</v>
      </c>
      <c r="L918" s="39" t="str">
        <f t="shared" si="2"/>
        <v>Day</v>
      </c>
      <c r="M918" s="39" t="str">
        <f t="array" ref="M918">XLOOKUP(D918,'Category dict'!$B$1:$B$4,'Category dict'!$A$1:$A$4,0,0,1)</f>
        <v>Business</v>
      </c>
      <c r="N918" s="39" t="str">
        <f>VLOOKUP(H918,'Purpose dict'!$A$1:$B$12,2,0)</f>
        <v>NOT DEFINED</v>
      </c>
    </row>
    <row r="919" hidden="1">
      <c r="A919" s="3" t="s">
        <v>1156</v>
      </c>
      <c r="B919" s="34">
        <v>42682.68125</v>
      </c>
      <c r="C919" s="34">
        <v>42682.69027777778</v>
      </c>
      <c r="D919" s="35">
        <v>423.0</v>
      </c>
      <c r="E919" s="3" t="s">
        <v>616</v>
      </c>
      <c r="F919" s="3" t="s">
        <v>618</v>
      </c>
      <c r="G919" s="36">
        <v>3.0</v>
      </c>
      <c r="H919" s="35">
        <v>123.0</v>
      </c>
      <c r="I919" s="37">
        <v>0.68125</v>
      </c>
      <c r="J919" s="37">
        <v>0.6902777777777778</v>
      </c>
      <c r="K919" s="38">
        <f t="shared" si="15"/>
        <v>0.009027777778</v>
      </c>
      <c r="L919" s="39" t="str">
        <f t="shared" si="2"/>
        <v>Day</v>
      </c>
      <c r="M919" s="39" t="str">
        <f t="array" ref="M919">XLOOKUP(D919,'Category dict'!$B$1:$B$4,'Category dict'!$A$1:$A$4,0,0,1)</f>
        <v>Business</v>
      </c>
      <c r="N919" s="39" t="str">
        <f>VLOOKUP(H919,'Purpose dict'!$A$1:$B$12,2,0)</f>
        <v>NOT DEFINED</v>
      </c>
    </row>
    <row r="920" hidden="1">
      <c r="A920" s="3" t="s">
        <v>1157</v>
      </c>
      <c r="B920" s="34">
        <v>42683.54722222222</v>
      </c>
      <c r="C920" s="34">
        <v>42683.57013888889</v>
      </c>
      <c r="D920" s="35">
        <v>423.0</v>
      </c>
      <c r="E920" s="3" t="s">
        <v>618</v>
      </c>
      <c r="F920" s="3" t="s">
        <v>520</v>
      </c>
      <c r="G920" s="36">
        <v>11.4</v>
      </c>
      <c r="H920" s="35">
        <v>123.0</v>
      </c>
      <c r="I920" s="37">
        <v>0.5472222222222223</v>
      </c>
      <c r="J920" s="37">
        <v>0.5701388888888889</v>
      </c>
      <c r="K920" s="38">
        <f t="shared" si="15"/>
        <v>0.02291666667</v>
      </c>
      <c r="L920" s="39" t="str">
        <f t="shared" si="2"/>
        <v>Day</v>
      </c>
      <c r="M920" s="39" t="str">
        <f t="array" ref="M920">XLOOKUP(D920,'Category dict'!$B$1:$B$4,'Category dict'!$A$1:$A$4,0,0,1)</f>
        <v>Business</v>
      </c>
      <c r="N920" s="39" t="str">
        <f>VLOOKUP(H920,'Purpose dict'!$A$1:$B$12,2,0)</f>
        <v>NOT DEFINED</v>
      </c>
    </row>
    <row r="921">
      <c r="A921" s="3" t="s">
        <v>1158</v>
      </c>
      <c r="B921" s="34">
        <v>42683.66527777778</v>
      </c>
      <c r="C921" s="34">
        <v>42683.669444444444</v>
      </c>
      <c r="D921" s="35">
        <v>423.0</v>
      </c>
      <c r="E921" s="3" t="s">
        <v>1159</v>
      </c>
      <c r="F921" s="3" t="s">
        <v>91</v>
      </c>
      <c r="G921" s="40">
        <v>0.9</v>
      </c>
      <c r="H921" s="35">
        <v>123.0</v>
      </c>
      <c r="I921" s="37">
        <v>0.6652777777777777</v>
      </c>
      <c r="J921" s="37">
        <v>0.6694444444444444</v>
      </c>
      <c r="K921" s="38">
        <f t="shared" si="15"/>
        <v>0.004166666667</v>
      </c>
      <c r="L921" s="39" t="str">
        <f t="shared" si="2"/>
        <v>Day</v>
      </c>
      <c r="M921" s="39" t="str">
        <f t="array" ref="M921">XLOOKUP(D921,'Category dict'!$B$1:$B$4,'Category dict'!$A$1:$A$4,0,0,1)</f>
        <v>Business</v>
      </c>
      <c r="N921" s="39" t="str">
        <f>VLOOKUP(H921,'Purpose dict'!$A$1:$B$12,2,0)</f>
        <v>NOT DEFINED</v>
      </c>
    </row>
    <row r="922" hidden="1">
      <c r="A922" s="3" t="s">
        <v>1160</v>
      </c>
      <c r="B922" s="34">
        <v>42683.72986111111</v>
      </c>
      <c r="C922" s="34">
        <v>42683.75208333333</v>
      </c>
      <c r="D922" s="35">
        <v>423.0</v>
      </c>
      <c r="E922" s="3" t="s">
        <v>91</v>
      </c>
      <c r="F922" s="3" t="s">
        <v>1161</v>
      </c>
      <c r="G922" s="36">
        <v>6.2</v>
      </c>
      <c r="H922" s="35">
        <v>123.0</v>
      </c>
      <c r="I922" s="37">
        <v>0.7298611111111111</v>
      </c>
      <c r="J922" s="37">
        <v>0.7520833333333333</v>
      </c>
      <c r="K922" s="38">
        <f t="shared" si="15"/>
        <v>0.02222222222</v>
      </c>
      <c r="L922" s="39" t="str">
        <f t="shared" si="2"/>
        <v>Day</v>
      </c>
      <c r="M922" s="39" t="str">
        <f t="array" ref="M922">XLOOKUP(D922,'Category dict'!$B$1:$B$4,'Category dict'!$A$1:$A$4,0,0,1)</f>
        <v>Business</v>
      </c>
      <c r="N922" s="39" t="str">
        <f>VLOOKUP(H922,'Purpose dict'!$A$1:$B$12,2,0)</f>
        <v>NOT DEFINED</v>
      </c>
    </row>
    <row r="923">
      <c r="A923" s="3" t="s">
        <v>1162</v>
      </c>
      <c r="B923" s="34">
        <v>42683.75625</v>
      </c>
      <c r="C923" s="34">
        <v>42683.759722222225</v>
      </c>
      <c r="D923" s="35">
        <v>423.0</v>
      </c>
      <c r="E923" s="3" t="s">
        <v>1161</v>
      </c>
      <c r="F923" s="3" t="s">
        <v>1163</v>
      </c>
      <c r="G923" s="40">
        <v>0.7</v>
      </c>
      <c r="H923" s="35">
        <v>123.0</v>
      </c>
      <c r="I923" s="37">
        <v>0.75625</v>
      </c>
      <c r="J923" s="37">
        <v>0.7597222222222222</v>
      </c>
      <c r="K923" s="38">
        <f t="shared" si="15"/>
        <v>0.003472222222</v>
      </c>
      <c r="L923" s="39" t="str">
        <f t="shared" si="2"/>
        <v>Evening</v>
      </c>
      <c r="M923" s="39" t="str">
        <f t="array" ref="M923">XLOOKUP(D923,'Category dict'!$B$1:$B$4,'Category dict'!$A$1:$A$4,0,0,1)</f>
        <v>Business</v>
      </c>
      <c r="N923" s="39" t="str">
        <f>VLOOKUP(H923,'Purpose dict'!$A$1:$B$12,2,0)</f>
        <v>NOT DEFINED</v>
      </c>
    </row>
    <row r="924" hidden="1">
      <c r="A924" s="3" t="s">
        <v>1164</v>
      </c>
      <c r="B924" s="34">
        <v>42683.76458333333</v>
      </c>
      <c r="C924" s="34">
        <v>42683.774305555555</v>
      </c>
      <c r="D924" s="35">
        <v>423.0</v>
      </c>
      <c r="E924" s="3" t="s">
        <v>1163</v>
      </c>
      <c r="F924" s="3" t="s">
        <v>1165</v>
      </c>
      <c r="G924" s="36">
        <v>5.5</v>
      </c>
      <c r="H924" s="35">
        <v>3.0</v>
      </c>
      <c r="I924" s="37">
        <v>0.7645833333333333</v>
      </c>
      <c r="J924" s="37">
        <v>0.7743055555555556</v>
      </c>
      <c r="K924" s="38">
        <f t="shared" si="15"/>
        <v>0.009722222222</v>
      </c>
      <c r="L924" s="39" t="str">
        <f t="shared" si="2"/>
        <v>Evening</v>
      </c>
      <c r="M924" s="39" t="str">
        <f t="array" ref="M924">XLOOKUP(D924,'Category dict'!$B$1:$B$4,'Category dict'!$A$1:$A$4,0,0,1)</f>
        <v>Business</v>
      </c>
      <c r="N924" s="39" t="str">
        <f>VLOOKUP(H924,'Purpose dict'!$A$1:$B$12,2,0)</f>
        <v>Meeting</v>
      </c>
    </row>
    <row r="925" hidden="1">
      <c r="A925" s="3" t="s">
        <v>1166</v>
      </c>
      <c r="B925" s="34">
        <v>42683.77777777778</v>
      </c>
      <c r="C925" s="34">
        <v>42683.80347222222</v>
      </c>
      <c r="D925" s="35">
        <v>423.0</v>
      </c>
      <c r="E925" s="3" t="s">
        <v>520</v>
      </c>
      <c r="F925" s="3" t="s">
        <v>615</v>
      </c>
      <c r="G925" s="36">
        <v>12.7</v>
      </c>
      <c r="H925" s="35">
        <v>4.0</v>
      </c>
      <c r="I925" s="37">
        <v>0.7777777777777778</v>
      </c>
      <c r="J925" s="37">
        <v>0.8034722222222223</v>
      </c>
      <c r="K925" s="38">
        <f t="shared" si="15"/>
        <v>0.02569444444</v>
      </c>
      <c r="L925" s="39" t="str">
        <f t="shared" si="2"/>
        <v>Evening</v>
      </c>
      <c r="M925" s="39" t="str">
        <f t="array" ref="M925">XLOOKUP(D925,'Category dict'!$B$1:$B$4,'Category dict'!$A$1:$A$4,0,0,1)</f>
        <v>Business</v>
      </c>
      <c r="N925" s="39" t="str">
        <f>VLOOKUP(H925,'Purpose dict'!$A$1:$B$12,2,0)</f>
        <v>Customer Visit</v>
      </c>
    </row>
    <row r="926" hidden="1">
      <c r="A926" s="3" t="s">
        <v>1167</v>
      </c>
      <c r="B926" s="34">
        <v>42683.86944444444</v>
      </c>
      <c r="C926" s="34">
        <v>42683.876388888886</v>
      </c>
      <c r="D926" s="35">
        <v>423.0</v>
      </c>
      <c r="E926" s="3" t="s">
        <v>615</v>
      </c>
      <c r="F926" s="3" t="s">
        <v>618</v>
      </c>
      <c r="G926" s="36">
        <v>2.6</v>
      </c>
      <c r="H926" s="35">
        <v>123.0</v>
      </c>
      <c r="I926" s="37">
        <v>0.8694444444444445</v>
      </c>
      <c r="J926" s="37">
        <v>0.8763888888888889</v>
      </c>
      <c r="K926" s="38">
        <f t="shared" si="15"/>
        <v>0.006944444444</v>
      </c>
      <c r="L926" s="39" t="str">
        <f t="shared" si="2"/>
        <v>Evening</v>
      </c>
      <c r="M926" s="39" t="str">
        <f t="array" ref="M926">XLOOKUP(D926,'Category dict'!$B$1:$B$4,'Category dict'!$A$1:$A$4,0,0,1)</f>
        <v>Business</v>
      </c>
      <c r="N926" s="39" t="str">
        <f>VLOOKUP(H926,'Purpose dict'!$A$1:$B$12,2,0)</f>
        <v>NOT DEFINED</v>
      </c>
    </row>
    <row r="927">
      <c r="A927" s="3" t="s">
        <v>1168</v>
      </c>
      <c r="B927" s="34">
        <v>42683.91388888889</v>
      </c>
      <c r="C927" s="34">
        <v>42683.91805555556</v>
      </c>
      <c r="D927" s="35">
        <v>423.0</v>
      </c>
      <c r="E927" s="3" t="s">
        <v>1150</v>
      </c>
      <c r="F927" s="3" t="s">
        <v>1150</v>
      </c>
      <c r="G927" s="40">
        <v>1.1</v>
      </c>
      <c r="H927" s="35">
        <v>123.0</v>
      </c>
      <c r="I927" s="37">
        <v>0.9138888888888889</v>
      </c>
      <c r="J927" s="37">
        <v>0.9180555555555555</v>
      </c>
      <c r="K927" s="38">
        <f t="shared" si="15"/>
        <v>0.004166666667</v>
      </c>
      <c r="L927" s="39" t="str">
        <f t="shared" si="2"/>
        <v>Evening</v>
      </c>
      <c r="M927" s="39" t="str">
        <f t="array" ref="M927">XLOOKUP(D927,'Category dict'!$B$1:$B$4,'Category dict'!$A$1:$A$4,0,0,1)</f>
        <v>Business</v>
      </c>
      <c r="N927" s="39" t="str">
        <f>VLOOKUP(H927,'Purpose dict'!$A$1:$B$12,2,0)</f>
        <v>NOT DEFINED</v>
      </c>
    </row>
    <row r="928" hidden="1">
      <c r="A928" s="3" t="s">
        <v>1169</v>
      </c>
      <c r="B928" s="34">
        <v>42684.40694444445</v>
      </c>
      <c r="C928" s="34">
        <v>42684.427083333336</v>
      </c>
      <c r="D928" s="35">
        <v>423.0</v>
      </c>
      <c r="E928" s="3" t="s">
        <v>618</v>
      </c>
      <c r="F928" s="3" t="s">
        <v>520</v>
      </c>
      <c r="G928" s="36">
        <v>12.6</v>
      </c>
      <c r="H928" s="35">
        <v>5.0</v>
      </c>
      <c r="I928" s="37">
        <v>0.40694444444444444</v>
      </c>
      <c r="J928" s="37">
        <v>0.4270833333333333</v>
      </c>
      <c r="K928" s="38">
        <f t="shared" si="15"/>
        <v>0.02013888889</v>
      </c>
      <c r="L928" s="39" t="str">
        <f t="shared" si="2"/>
        <v>Morning</v>
      </c>
      <c r="M928" s="39" t="str">
        <f t="array" ref="M928">XLOOKUP(D928,'Category dict'!$B$1:$B$4,'Category dict'!$A$1:$A$4,0,0,1)</f>
        <v>Business</v>
      </c>
      <c r="N928" s="39" t="str">
        <f>VLOOKUP(H928,'Purpose dict'!$A$1:$B$12,2,0)</f>
        <v>Temporary Site</v>
      </c>
    </row>
    <row r="929">
      <c r="A929" s="3" t="s">
        <v>1170</v>
      </c>
      <c r="B929" s="34">
        <v>42684.430555555555</v>
      </c>
      <c r="C929" s="34">
        <v>42684.43819444445</v>
      </c>
      <c r="D929" s="35">
        <v>423.0</v>
      </c>
      <c r="E929" s="3" t="s">
        <v>1171</v>
      </c>
      <c r="F929" s="3" t="s">
        <v>1052</v>
      </c>
      <c r="G929" s="40">
        <v>1.2</v>
      </c>
      <c r="H929" s="35">
        <v>123.0</v>
      </c>
      <c r="I929" s="37">
        <v>0.4305555555555556</v>
      </c>
      <c r="J929" s="37">
        <v>0.43819444444444444</v>
      </c>
      <c r="K929" s="38">
        <f t="shared" si="15"/>
        <v>0.007638888889</v>
      </c>
      <c r="L929" s="39" t="str">
        <f t="shared" si="2"/>
        <v>Morning</v>
      </c>
      <c r="M929" s="39" t="str">
        <f t="array" ref="M929">XLOOKUP(D929,'Category dict'!$B$1:$B$4,'Category dict'!$A$1:$A$4,0,0,1)</f>
        <v>Business</v>
      </c>
      <c r="N929" s="39" t="str">
        <f>VLOOKUP(H929,'Purpose dict'!$A$1:$B$12,2,0)</f>
        <v>NOT DEFINED</v>
      </c>
    </row>
    <row r="930">
      <c r="A930" s="3" t="s">
        <v>1172</v>
      </c>
      <c r="B930" s="34">
        <v>42684.62291666667</v>
      </c>
      <c r="C930" s="34">
        <v>42684.62986111111</v>
      </c>
      <c r="D930" s="35">
        <v>423.0</v>
      </c>
      <c r="E930" s="3" t="s">
        <v>1052</v>
      </c>
      <c r="F930" s="3" t="s">
        <v>1171</v>
      </c>
      <c r="G930" s="40">
        <v>1.1</v>
      </c>
      <c r="H930" s="35">
        <v>123.0</v>
      </c>
      <c r="I930" s="37">
        <v>0.6229166666666667</v>
      </c>
      <c r="J930" s="37">
        <v>0.6298611111111111</v>
      </c>
      <c r="K930" s="38">
        <f t="shared" si="15"/>
        <v>0.006944444444</v>
      </c>
      <c r="L930" s="39" t="str">
        <f t="shared" si="2"/>
        <v>Day</v>
      </c>
      <c r="M930" s="39" t="str">
        <f t="array" ref="M930">XLOOKUP(D930,'Category dict'!$B$1:$B$4,'Category dict'!$A$1:$A$4,0,0,1)</f>
        <v>Business</v>
      </c>
      <c r="N930" s="39" t="str">
        <f>VLOOKUP(H930,'Purpose dict'!$A$1:$B$12,2,0)</f>
        <v>NOT DEFINED</v>
      </c>
    </row>
    <row r="931" hidden="1">
      <c r="A931" s="3" t="s">
        <v>1173</v>
      </c>
      <c r="B931" s="34">
        <v>42684.63680555556</v>
      </c>
      <c r="C931" s="34">
        <v>42684.64027777778</v>
      </c>
      <c r="D931" s="35">
        <v>423.0</v>
      </c>
      <c r="E931" s="3" t="s">
        <v>520</v>
      </c>
      <c r="F931" s="3" t="s">
        <v>615</v>
      </c>
      <c r="G931" s="36">
        <v>9.9</v>
      </c>
      <c r="H931" s="35">
        <v>5.0</v>
      </c>
      <c r="I931" s="37">
        <v>0.6368055555555555</v>
      </c>
      <c r="J931" s="37">
        <v>0.6402777777777777</v>
      </c>
      <c r="K931" s="38">
        <f t="shared" si="15"/>
        <v>0.003472222222</v>
      </c>
      <c r="L931" s="39" t="str">
        <f t="shared" si="2"/>
        <v>Day</v>
      </c>
      <c r="M931" s="39" t="str">
        <f t="array" ref="M931">XLOOKUP(D931,'Category dict'!$B$1:$B$4,'Category dict'!$A$1:$A$4,0,0,1)</f>
        <v>Business</v>
      </c>
      <c r="N931" s="39" t="str">
        <f>VLOOKUP(H931,'Purpose dict'!$A$1:$B$12,2,0)</f>
        <v>Temporary Site</v>
      </c>
    </row>
    <row r="932" hidden="1">
      <c r="A932" s="3" t="s">
        <v>1174</v>
      </c>
      <c r="B932" s="34">
        <v>42684.645833333336</v>
      </c>
      <c r="C932" s="34">
        <v>42684.66180555556</v>
      </c>
      <c r="D932" s="35">
        <v>423.0</v>
      </c>
      <c r="E932" s="3" t="s">
        <v>615</v>
      </c>
      <c r="F932" s="3" t="s">
        <v>618</v>
      </c>
      <c r="G932" s="36">
        <v>6.0</v>
      </c>
      <c r="H932" s="35">
        <v>3.0</v>
      </c>
      <c r="I932" s="37">
        <v>0.6458333333333334</v>
      </c>
      <c r="J932" s="37">
        <v>0.6618055555555555</v>
      </c>
      <c r="K932" s="38">
        <f t="shared" si="15"/>
        <v>0.01597222222</v>
      </c>
      <c r="L932" s="39" t="str">
        <f t="shared" si="2"/>
        <v>Day</v>
      </c>
      <c r="M932" s="39" t="str">
        <f t="array" ref="M932">XLOOKUP(D932,'Category dict'!$B$1:$B$4,'Category dict'!$A$1:$A$4,0,0,1)</f>
        <v>Business</v>
      </c>
      <c r="N932" s="39" t="str">
        <f>VLOOKUP(H932,'Purpose dict'!$A$1:$B$12,2,0)</f>
        <v>Meeting</v>
      </c>
    </row>
    <row r="933">
      <c r="A933" s="3" t="s">
        <v>1175</v>
      </c>
      <c r="B933" s="34">
        <v>42684.80416666667</v>
      </c>
      <c r="C933" s="34">
        <v>42684.80625</v>
      </c>
      <c r="D933" s="35">
        <v>423.0</v>
      </c>
      <c r="E933" s="3" t="s">
        <v>1056</v>
      </c>
      <c r="F933" s="3" t="s">
        <v>1150</v>
      </c>
      <c r="G933" s="40">
        <v>0.8</v>
      </c>
      <c r="H933" s="35">
        <v>123.0</v>
      </c>
      <c r="I933" s="37">
        <v>0.8041666666666667</v>
      </c>
      <c r="J933" s="37">
        <v>0.80625</v>
      </c>
      <c r="K933" s="38">
        <f t="shared" si="15"/>
        <v>0.002083333333</v>
      </c>
      <c r="L933" s="39" t="str">
        <f t="shared" si="2"/>
        <v>Evening</v>
      </c>
      <c r="M933" s="39" t="str">
        <f t="array" ref="M933">XLOOKUP(D933,'Category dict'!$B$1:$B$4,'Category dict'!$A$1:$A$4,0,0,1)</f>
        <v>Business</v>
      </c>
      <c r="N933" s="39" t="str">
        <f>VLOOKUP(H933,'Purpose dict'!$A$1:$B$12,2,0)</f>
        <v>NOT DEFINED</v>
      </c>
    </row>
    <row r="934" hidden="1">
      <c r="A934" s="3" t="s">
        <v>1176</v>
      </c>
      <c r="B934" s="34">
        <v>42685.399305555555</v>
      </c>
      <c r="C934" s="34">
        <v>42685.43263888889</v>
      </c>
      <c r="D934" s="35">
        <v>423.0</v>
      </c>
      <c r="E934" s="3" t="s">
        <v>618</v>
      </c>
      <c r="F934" s="3" t="s">
        <v>527</v>
      </c>
      <c r="G934" s="36">
        <v>45.9</v>
      </c>
      <c r="H934" s="35">
        <v>4.0</v>
      </c>
      <c r="I934" s="37">
        <v>0.3993055555555556</v>
      </c>
      <c r="J934" s="37">
        <v>0.4326388888888889</v>
      </c>
      <c r="K934" s="38">
        <f t="shared" si="15"/>
        <v>0.03333333333</v>
      </c>
      <c r="L934" s="39" t="str">
        <f t="shared" si="2"/>
        <v>Morning</v>
      </c>
      <c r="M934" s="39" t="str">
        <f t="array" ref="M934">XLOOKUP(D934,'Category dict'!$B$1:$B$4,'Category dict'!$A$1:$A$4,0,0,1)</f>
        <v>Business</v>
      </c>
      <c r="N934" s="39" t="str">
        <f>VLOOKUP(H934,'Purpose dict'!$A$1:$B$12,2,0)</f>
        <v>Customer Visit</v>
      </c>
    </row>
    <row r="935" hidden="1">
      <c r="A935" s="3" t="s">
        <v>1177</v>
      </c>
      <c r="B935" s="34">
        <v>42685.54027777778</v>
      </c>
      <c r="C935" s="34">
        <v>42685.55069444444</v>
      </c>
      <c r="D935" s="35">
        <v>423.0</v>
      </c>
      <c r="E935" s="3" t="s">
        <v>527</v>
      </c>
      <c r="F935" s="3" t="s">
        <v>521</v>
      </c>
      <c r="G935" s="36">
        <v>4.0</v>
      </c>
      <c r="H935" s="35">
        <v>123.0</v>
      </c>
      <c r="I935" s="37">
        <v>0.5402777777777777</v>
      </c>
      <c r="J935" s="37">
        <v>0.5506944444444445</v>
      </c>
      <c r="K935" s="38">
        <f t="shared" si="15"/>
        <v>0.01041666667</v>
      </c>
      <c r="L935" s="39" t="str">
        <f t="shared" si="2"/>
        <v>Day</v>
      </c>
      <c r="M935" s="39" t="str">
        <f t="array" ref="M935">XLOOKUP(D935,'Category dict'!$B$1:$B$4,'Category dict'!$A$1:$A$4,0,0,1)</f>
        <v>Business</v>
      </c>
      <c r="N935" s="39" t="str">
        <f>VLOOKUP(H935,'Purpose dict'!$A$1:$B$12,2,0)</f>
        <v>NOT DEFINED</v>
      </c>
    </row>
    <row r="936" hidden="1">
      <c r="A936" s="3" t="s">
        <v>1178</v>
      </c>
      <c r="B936" s="34">
        <v>42685.59722222222</v>
      </c>
      <c r="C936" s="34">
        <v>42685.60555555556</v>
      </c>
      <c r="D936" s="35">
        <v>423.0</v>
      </c>
      <c r="E936" s="3" t="s">
        <v>521</v>
      </c>
      <c r="F936" s="3" t="s">
        <v>527</v>
      </c>
      <c r="G936" s="36">
        <v>2.5</v>
      </c>
      <c r="H936" s="35">
        <v>123.0</v>
      </c>
      <c r="I936" s="37">
        <v>0.5972222222222222</v>
      </c>
      <c r="J936" s="37">
        <v>0.6055555555555555</v>
      </c>
      <c r="K936" s="38">
        <f t="shared" si="15"/>
        <v>0.008333333333</v>
      </c>
      <c r="L936" s="39" t="str">
        <f t="shared" si="2"/>
        <v>Day</v>
      </c>
      <c r="M936" s="39" t="str">
        <f t="array" ref="M936">XLOOKUP(D936,'Category dict'!$B$1:$B$4,'Category dict'!$A$1:$A$4,0,0,1)</f>
        <v>Business</v>
      </c>
      <c r="N936" s="39" t="str">
        <f>VLOOKUP(H936,'Purpose dict'!$A$1:$B$12,2,0)</f>
        <v>NOT DEFINED</v>
      </c>
    </row>
    <row r="937" hidden="1">
      <c r="A937" s="3" t="s">
        <v>1179</v>
      </c>
      <c r="B937" s="34">
        <v>42685.61041666667</v>
      </c>
      <c r="C937" s="34">
        <v>42685.65694444445</v>
      </c>
      <c r="D937" s="35">
        <v>423.0</v>
      </c>
      <c r="E937" s="3" t="s">
        <v>527</v>
      </c>
      <c r="F937" s="3" t="s">
        <v>618</v>
      </c>
      <c r="G937" s="36">
        <v>36.6</v>
      </c>
      <c r="H937" s="35">
        <v>4.0</v>
      </c>
      <c r="I937" s="37">
        <v>0.6104166666666667</v>
      </c>
      <c r="J937" s="37">
        <v>0.6569444444444444</v>
      </c>
      <c r="K937" s="38">
        <f t="shared" si="15"/>
        <v>0.04652777778</v>
      </c>
      <c r="L937" s="39" t="str">
        <f t="shared" si="2"/>
        <v>Day</v>
      </c>
      <c r="M937" s="39" t="str">
        <f t="array" ref="M937">XLOOKUP(D937,'Category dict'!$B$1:$B$4,'Category dict'!$A$1:$A$4,0,0,1)</f>
        <v>Business</v>
      </c>
      <c r="N937" s="39" t="str">
        <f>VLOOKUP(H937,'Purpose dict'!$A$1:$B$12,2,0)</f>
        <v>Customer Visit</v>
      </c>
    </row>
    <row r="938" hidden="1">
      <c r="A938" s="3" t="s">
        <v>1180</v>
      </c>
      <c r="B938" s="34">
        <v>42685.770833333336</v>
      </c>
      <c r="C938" s="34">
        <v>42685.779861111114</v>
      </c>
      <c r="D938" s="35">
        <v>423.0</v>
      </c>
      <c r="E938" s="3" t="s">
        <v>1150</v>
      </c>
      <c r="F938" s="3" t="s">
        <v>1181</v>
      </c>
      <c r="G938" s="36">
        <v>2.9</v>
      </c>
      <c r="H938" s="35">
        <v>123.0</v>
      </c>
      <c r="I938" s="37">
        <v>0.7708333333333334</v>
      </c>
      <c r="J938" s="37">
        <v>0.7798611111111111</v>
      </c>
      <c r="K938" s="38">
        <f t="shared" si="15"/>
        <v>0.009027777778</v>
      </c>
      <c r="L938" s="39" t="str">
        <f t="shared" si="2"/>
        <v>Evening</v>
      </c>
      <c r="M938" s="39" t="str">
        <f t="array" ref="M938">XLOOKUP(D938,'Category dict'!$B$1:$B$4,'Category dict'!$A$1:$A$4,0,0,1)</f>
        <v>Business</v>
      </c>
      <c r="N938" s="39" t="str">
        <f>VLOOKUP(H938,'Purpose dict'!$A$1:$B$12,2,0)</f>
        <v>NOT DEFINED</v>
      </c>
    </row>
    <row r="939" hidden="1">
      <c r="A939" s="3" t="s">
        <v>1182</v>
      </c>
      <c r="B939" s="34">
        <v>42685.88055555556</v>
      </c>
      <c r="C939" s="34">
        <v>42685.8875</v>
      </c>
      <c r="D939" s="35">
        <v>423.0</v>
      </c>
      <c r="E939" s="3" t="s">
        <v>1181</v>
      </c>
      <c r="F939" s="3" t="s">
        <v>1150</v>
      </c>
      <c r="G939" s="36">
        <v>2.6</v>
      </c>
      <c r="H939" s="35">
        <v>123.0</v>
      </c>
      <c r="I939" s="37">
        <v>0.8805555555555555</v>
      </c>
      <c r="J939" s="37">
        <v>0.8875</v>
      </c>
      <c r="K939" s="38">
        <f t="shared" si="15"/>
        <v>0.006944444444</v>
      </c>
      <c r="L939" s="39" t="str">
        <f t="shared" si="2"/>
        <v>Evening</v>
      </c>
      <c r="M939" s="39" t="str">
        <f t="array" ref="M939">XLOOKUP(D939,'Category dict'!$B$1:$B$4,'Category dict'!$A$1:$A$4,0,0,1)</f>
        <v>Business</v>
      </c>
      <c r="N939" s="39" t="str">
        <f>VLOOKUP(H939,'Purpose dict'!$A$1:$B$12,2,0)</f>
        <v>NOT DEFINED</v>
      </c>
    </row>
    <row r="940" hidden="1">
      <c r="A940" s="3" t="s">
        <v>1183</v>
      </c>
      <c r="B940" s="34">
        <v>42686.438888888886</v>
      </c>
      <c r="C940" s="34">
        <v>42686.45277777778</v>
      </c>
      <c r="D940" s="35">
        <v>423.0</v>
      </c>
      <c r="E940" s="3" t="s">
        <v>1150</v>
      </c>
      <c r="F940" s="3" t="s">
        <v>1184</v>
      </c>
      <c r="G940" s="36">
        <v>2.3</v>
      </c>
      <c r="H940" s="35">
        <v>123.0</v>
      </c>
      <c r="I940" s="37">
        <v>0.4388888888888889</v>
      </c>
      <c r="J940" s="37">
        <v>0.4527777777777778</v>
      </c>
      <c r="K940" s="38">
        <f t="shared" si="15"/>
        <v>0.01388888889</v>
      </c>
      <c r="L940" s="39" t="str">
        <f t="shared" si="2"/>
        <v>Morning</v>
      </c>
      <c r="M940" s="39" t="str">
        <f t="array" ref="M940">XLOOKUP(D940,'Category dict'!$B$1:$B$4,'Category dict'!$A$1:$A$4,0,0,1)</f>
        <v>Business</v>
      </c>
      <c r="N940" s="39" t="str">
        <f>VLOOKUP(H940,'Purpose dict'!$A$1:$B$12,2,0)</f>
        <v>NOT DEFINED</v>
      </c>
    </row>
    <row r="941" hidden="1">
      <c r="A941" s="3" t="s">
        <v>1185</v>
      </c>
      <c r="B941" s="34">
        <v>42686.45486111111</v>
      </c>
      <c r="C941" s="34">
        <v>42686.475694444445</v>
      </c>
      <c r="D941" s="35">
        <v>423.0</v>
      </c>
      <c r="E941" s="3" t="s">
        <v>1184</v>
      </c>
      <c r="F941" s="3" t="s">
        <v>91</v>
      </c>
      <c r="G941" s="36">
        <v>6.4</v>
      </c>
      <c r="H941" s="35">
        <v>123.0</v>
      </c>
      <c r="I941" s="37">
        <v>0.4548611111111111</v>
      </c>
      <c r="J941" s="37">
        <v>0.4756944444444444</v>
      </c>
      <c r="K941" s="38">
        <f t="shared" si="15"/>
        <v>0.02083333333</v>
      </c>
      <c r="L941" s="39" t="str">
        <f t="shared" si="2"/>
        <v>Morning</v>
      </c>
      <c r="M941" s="39" t="str">
        <f t="array" ref="M941">XLOOKUP(D941,'Category dict'!$B$1:$B$4,'Category dict'!$A$1:$A$4,0,0,1)</f>
        <v>Business</v>
      </c>
      <c r="N941" s="39" t="str">
        <f>VLOOKUP(H941,'Purpose dict'!$A$1:$B$12,2,0)</f>
        <v>NOT DEFINED</v>
      </c>
    </row>
    <row r="942">
      <c r="A942" s="3" t="s">
        <v>1186</v>
      </c>
      <c r="B942" s="34">
        <v>42686.54652777778</v>
      </c>
      <c r="C942" s="34">
        <v>42686.552083333336</v>
      </c>
      <c r="D942" s="35">
        <v>423.0</v>
      </c>
      <c r="E942" s="3" t="s">
        <v>91</v>
      </c>
      <c r="F942" s="3" t="s">
        <v>1150</v>
      </c>
      <c r="G942" s="40">
        <v>1.4</v>
      </c>
      <c r="H942" s="35">
        <v>123.0</v>
      </c>
      <c r="I942" s="37">
        <v>0.5465277777777777</v>
      </c>
      <c r="J942" s="37">
        <v>0.5520833333333334</v>
      </c>
      <c r="K942" s="38">
        <f t="shared" si="15"/>
        <v>0.005555555556</v>
      </c>
      <c r="L942" s="39" t="str">
        <f t="shared" si="2"/>
        <v>Day</v>
      </c>
      <c r="M942" s="39" t="str">
        <f t="array" ref="M942">XLOOKUP(D942,'Category dict'!$B$1:$B$4,'Category dict'!$A$1:$A$4,0,0,1)</f>
        <v>Business</v>
      </c>
      <c r="N942" s="39" t="str">
        <f>VLOOKUP(H942,'Purpose dict'!$A$1:$B$12,2,0)</f>
        <v>NOT DEFINED</v>
      </c>
    </row>
    <row r="943">
      <c r="A943" s="3" t="s">
        <v>1187</v>
      </c>
      <c r="B943" s="34">
        <v>42686.57361111111</v>
      </c>
      <c r="C943" s="34">
        <v>42686.57638888889</v>
      </c>
      <c r="D943" s="35">
        <v>423.0</v>
      </c>
      <c r="E943" s="3" t="s">
        <v>1150</v>
      </c>
      <c r="F943" s="3" t="s">
        <v>1056</v>
      </c>
      <c r="G943" s="40">
        <v>0.6</v>
      </c>
      <c r="H943" s="35">
        <v>123.0</v>
      </c>
      <c r="I943" s="37">
        <v>0.5736111111111111</v>
      </c>
      <c r="J943" s="37">
        <v>0.5763888888888888</v>
      </c>
      <c r="K943" s="38">
        <f t="shared" si="15"/>
        <v>0.002777777778</v>
      </c>
      <c r="L943" s="39" t="str">
        <f t="shared" si="2"/>
        <v>Day</v>
      </c>
      <c r="M943" s="39" t="str">
        <f t="array" ref="M943">XLOOKUP(D943,'Category dict'!$B$1:$B$4,'Category dict'!$A$1:$A$4,0,0,1)</f>
        <v>Business</v>
      </c>
      <c r="N943" s="39" t="str">
        <f>VLOOKUP(H943,'Purpose dict'!$A$1:$B$12,2,0)</f>
        <v>NOT DEFINED</v>
      </c>
    </row>
    <row r="944" hidden="1">
      <c r="A944" s="3" t="s">
        <v>1188</v>
      </c>
      <c r="B944" s="34">
        <v>42686.59861111111</v>
      </c>
      <c r="C944" s="34">
        <v>42686.62013888889</v>
      </c>
      <c r="D944" s="35">
        <v>423.0</v>
      </c>
      <c r="E944" s="3" t="s">
        <v>1056</v>
      </c>
      <c r="F944" s="3" t="s">
        <v>1184</v>
      </c>
      <c r="G944" s="36">
        <v>5.9</v>
      </c>
      <c r="H944" s="35">
        <v>3.0</v>
      </c>
      <c r="I944" s="37">
        <v>0.5986111111111111</v>
      </c>
      <c r="J944" s="37">
        <v>0.6201388888888889</v>
      </c>
      <c r="K944" s="38">
        <f t="shared" si="15"/>
        <v>0.02152777778</v>
      </c>
      <c r="L944" s="39" t="str">
        <f t="shared" si="2"/>
        <v>Day</v>
      </c>
      <c r="M944" s="39" t="str">
        <f t="array" ref="M944">XLOOKUP(D944,'Category dict'!$B$1:$B$4,'Category dict'!$A$1:$A$4,0,0,1)</f>
        <v>Business</v>
      </c>
      <c r="N944" s="39" t="str">
        <f>VLOOKUP(H944,'Purpose dict'!$A$1:$B$12,2,0)</f>
        <v>Meeting</v>
      </c>
    </row>
    <row r="945">
      <c r="A945" s="3" t="s">
        <v>1189</v>
      </c>
      <c r="B945" s="34">
        <v>42686.634722222225</v>
      </c>
      <c r="C945" s="34">
        <v>42686.63958333333</v>
      </c>
      <c r="D945" s="35">
        <v>423.0</v>
      </c>
      <c r="E945" s="3" t="s">
        <v>1184</v>
      </c>
      <c r="F945" s="3" t="s">
        <v>1190</v>
      </c>
      <c r="G945" s="40">
        <v>0.8</v>
      </c>
      <c r="H945" s="35">
        <v>123.0</v>
      </c>
      <c r="I945" s="37">
        <v>0.6347222222222222</v>
      </c>
      <c r="J945" s="37">
        <v>0.6395833333333333</v>
      </c>
      <c r="K945" s="38">
        <f t="shared" si="15"/>
        <v>0.004861111111</v>
      </c>
      <c r="L945" s="39" t="str">
        <f t="shared" si="2"/>
        <v>Day</v>
      </c>
      <c r="M945" s="39" t="str">
        <f t="array" ref="M945">XLOOKUP(D945,'Category dict'!$B$1:$B$4,'Category dict'!$A$1:$A$4,0,0,1)</f>
        <v>Business</v>
      </c>
      <c r="N945" s="39" t="str">
        <f>VLOOKUP(H945,'Purpose dict'!$A$1:$B$12,2,0)</f>
        <v>NOT DEFINED</v>
      </c>
    </row>
    <row r="946">
      <c r="A946" s="3" t="s">
        <v>1191</v>
      </c>
      <c r="B946" s="34">
        <v>42686.64236111111</v>
      </c>
      <c r="C946" s="34">
        <v>42686.65</v>
      </c>
      <c r="D946" s="35">
        <v>423.0</v>
      </c>
      <c r="E946" s="3" t="s">
        <v>618</v>
      </c>
      <c r="F946" s="3" t="s">
        <v>616</v>
      </c>
      <c r="G946" s="40">
        <v>1.3</v>
      </c>
      <c r="H946" s="35">
        <v>123.0</v>
      </c>
      <c r="I946" s="37">
        <v>0.6423611111111112</v>
      </c>
      <c r="J946" s="37">
        <v>0.65</v>
      </c>
      <c r="K946" s="38">
        <f t="shared" si="15"/>
        <v>0.007638888889</v>
      </c>
      <c r="L946" s="39" t="str">
        <f t="shared" si="2"/>
        <v>Day</v>
      </c>
      <c r="M946" s="39" t="str">
        <f t="array" ref="M946">XLOOKUP(D946,'Category dict'!$B$1:$B$4,'Category dict'!$A$1:$A$4,0,0,1)</f>
        <v>Business</v>
      </c>
      <c r="N946" s="39" t="str">
        <f>VLOOKUP(H946,'Purpose dict'!$A$1:$B$12,2,0)</f>
        <v>NOT DEFINED</v>
      </c>
    </row>
    <row r="947" hidden="1">
      <c r="A947" s="3" t="s">
        <v>1192</v>
      </c>
      <c r="B947" s="34">
        <v>42686.65277777778</v>
      </c>
      <c r="C947" s="34">
        <v>42686.665972222225</v>
      </c>
      <c r="D947" s="35">
        <v>423.0</v>
      </c>
      <c r="E947" s="3" t="s">
        <v>616</v>
      </c>
      <c r="F947" s="3" t="s">
        <v>618</v>
      </c>
      <c r="G947" s="36">
        <v>3.7</v>
      </c>
      <c r="H947" s="35">
        <v>2.0</v>
      </c>
      <c r="I947" s="37">
        <v>0.6527777777777778</v>
      </c>
      <c r="J947" s="37">
        <v>0.6659722222222222</v>
      </c>
      <c r="K947" s="38">
        <f t="shared" si="15"/>
        <v>0.01319444444</v>
      </c>
      <c r="L947" s="39" t="str">
        <f t="shared" si="2"/>
        <v>Day</v>
      </c>
      <c r="M947" s="39" t="str">
        <f t="array" ref="M947">XLOOKUP(D947,'Category dict'!$B$1:$B$4,'Category dict'!$A$1:$A$4,0,0,1)</f>
        <v>Business</v>
      </c>
      <c r="N947" s="39" t="str">
        <f>VLOOKUP(H947,'Purpose dict'!$A$1:$B$12,2,0)</f>
        <v>Errand/Supplies</v>
      </c>
    </row>
    <row r="948" hidden="1">
      <c r="A948" s="3" t="s">
        <v>1193</v>
      </c>
      <c r="B948" s="34">
        <v>42687.370833333334</v>
      </c>
      <c r="C948" s="34">
        <v>42687.376388888886</v>
      </c>
      <c r="D948" s="35">
        <v>423.0</v>
      </c>
      <c r="E948" s="3" t="s">
        <v>1150</v>
      </c>
      <c r="F948" s="3" t="s">
        <v>1150</v>
      </c>
      <c r="G948" s="36">
        <v>2.3</v>
      </c>
      <c r="H948" s="35">
        <v>123.0</v>
      </c>
      <c r="I948" s="37">
        <v>0.37083333333333335</v>
      </c>
      <c r="J948" s="37">
        <v>0.3763888888888889</v>
      </c>
      <c r="K948" s="38">
        <f t="shared" si="15"/>
        <v>0.005555555556</v>
      </c>
      <c r="L948" s="39" t="str">
        <f t="shared" si="2"/>
        <v>Morning</v>
      </c>
      <c r="M948" s="39" t="str">
        <f t="array" ref="M948">XLOOKUP(D948,'Category dict'!$B$1:$B$4,'Category dict'!$A$1:$A$4,0,0,1)</f>
        <v>Business</v>
      </c>
      <c r="N948" s="39" t="str">
        <f>VLOOKUP(H948,'Purpose dict'!$A$1:$B$12,2,0)</f>
        <v>NOT DEFINED</v>
      </c>
    </row>
    <row r="949" hidden="1">
      <c r="A949" s="3" t="s">
        <v>1194</v>
      </c>
      <c r="B949" s="34">
        <v>42687.39375</v>
      </c>
      <c r="C949" s="34">
        <v>42687.41180555556</v>
      </c>
      <c r="D949" s="35">
        <v>423.0</v>
      </c>
      <c r="E949" s="3" t="s">
        <v>1150</v>
      </c>
      <c r="F949" s="3" t="s">
        <v>1150</v>
      </c>
      <c r="G949" s="36">
        <v>2.6</v>
      </c>
      <c r="H949" s="35">
        <v>123.0</v>
      </c>
      <c r="I949" s="37">
        <v>0.39375</v>
      </c>
      <c r="J949" s="37">
        <v>0.41180555555555554</v>
      </c>
      <c r="K949" s="38">
        <f t="shared" si="15"/>
        <v>0.01805555556</v>
      </c>
      <c r="L949" s="39" t="str">
        <f t="shared" si="2"/>
        <v>Morning</v>
      </c>
      <c r="M949" s="39" t="str">
        <f t="array" ref="M949">XLOOKUP(D949,'Category dict'!$B$1:$B$4,'Category dict'!$A$1:$A$4,0,0,1)</f>
        <v>Business</v>
      </c>
      <c r="N949" s="39" t="str">
        <f>VLOOKUP(H949,'Purpose dict'!$A$1:$B$12,2,0)</f>
        <v>NOT DEFINED</v>
      </c>
    </row>
    <row r="950" hidden="1">
      <c r="A950" s="3" t="s">
        <v>1195</v>
      </c>
      <c r="B950" s="34">
        <v>42687.43819444445</v>
      </c>
      <c r="C950" s="34">
        <v>42687.44236111111</v>
      </c>
      <c r="D950" s="35">
        <v>423.0</v>
      </c>
      <c r="E950" s="3" t="s">
        <v>1150</v>
      </c>
      <c r="F950" s="3" t="s">
        <v>1059</v>
      </c>
      <c r="G950" s="36">
        <v>1.9</v>
      </c>
      <c r="H950" s="35">
        <v>123.0</v>
      </c>
      <c r="I950" s="37">
        <v>0.43819444444444444</v>
      </c>
      <c r="J950" s="37">
        <v>0.4423611111111111</v>
      </c>
      <c r="K950" s="38">
        <f t="shared" si="15"/>
        <v>0.004166666667</v>
      </c>
      <c r="L950" s="39" t="str">
        <f t="shared" si="2"/>
        <v>Morning</v>
      </c>
      <c r="M950" s="39" t="str">
        <f t="array" ref="M950">XLOOKUP(D950,'Category dict'!$B$1:$B$4,'Category dict'!$A$1:$A$4,0,0,1)</f>
        <v>Business</v>
      </c>
      <c r="N950" s="39" t="str">
        <f>VLOOKUP(H950,'Purpose dict'!$A$1:$B$12,2,0)</f>
        <v>NOT DEFINED</v>
      </c>
    </row>
    <row r="951" hidden="1">
      <c r="A951" s="3" t="s">
        <v>1196</v>
      </c>
      <c r="B951" s="34">
        <v>42687.46111111111</v>
      </c>
      <c r="C951" s="34">
        <v>42687.46944444445</v>
      </c>
      <c r="D951" s="35">
        <v>423.0</v>
      </c>
      <c r="E951" s="3" t="s">
        <v>1059</v>
      </c>
      <c r="F951" s="3" t="s">
        <v>1056</v>
      </c>
      <c r="G951" s="36">
        <v>2.1</v>
      </c>
      <c r="H951" s="35">
        <v>123.0</v>
      </c>
      <c r="I951" s="37">
        <v>0.46111111111111114</v>
      </c>
      <c r="J951" s="37">
        <v>0.46944444444444444</v>
      </c>
      <c r="K951" s="38">
        <f t="shared" si="15"/>
        <v>0.008333333333</v>
      </c>
      <c r="L951" s="39" t="str">
        <f t="shared" si="2"/>
        <v>Morning</v>
      </c>
      <c r="M951" s="39" t="str">
        <f t="array" ref="M951">XLOOKUP(D951,'Category dict'!$B$1:$B$4,'Category dict'!$A$1:$A$4,0,0,1)</f>
        <v>Business</v>
      </c>
      <c r="N951" s="39" t="str">
        <f>VLOOKUP(H951,'Purpose dict'!$A$1:$B$12,2,0)</f>
        <v>NOT DEFINED</v>
      </c>
    </row>
    <row r="952" hidden="1">
      <c r="A952" s="3" t="s">
        <v>1197</v>
      </c>
      <c r="B952" s="34">
        <v>42687.51527777778</v>
      </c>
      <c r="C952" s="34">
        <v>42687.535416666666</v>
      </c>
      <c r="D952" s="35">
        <v>423.0</v>
      </c>
      <c r="E952" s="3" t="s">
        <v>1056</v>
      </c>
      <c r="F952" s="3" t="s">
        <v>1059</v>
      </c>
      <c r="G952" s="36">
        <v>4.0</v>
      </c>
      <c r="H952" s="35">
        <v>3.0</v>
      </c>
      <c r="I952" s="37">
        <v>0.5152777777777777</v>
      </c>
      <c r="J952" s="37">
        <v>0.5354166666666667</v>
      </c>
      <c r="K952" s="38">
        <f t="shared" si="15"/>
        <v>0.02013888889</v>
      </c>
      <c r="L952" s="39" t="str">
        <f t="shared" si="2"/>
        <v>Day</v>
      </c>
      <c r="M952" s="39" t="str">
        <f t="array" ref="M952">XLOOKUP(D952,'Category dict'!$B$1:$B$4,'Category dict'!$A$1:$A$4,0,0,1)</f>
        <v>Business</v>
      </c>
      <c r="N952" s="39" t="str">
        <f>VLOOKUP(H952,'Purpose dict'!$A$1:$B$12,2,0)</f>
        <v>Meeting</v>
      </c>
    </row>
    <row r="953">
      <c r="A953" s="3" t="s">
        <v>1198</v>
      </c>
      <c r="B953" s="34">
        <v>42687.54513888889</v>
      </c>
      <c r="C953" s="34">
        <v>42687.549305555556</v>
      </c>
      <c r="D953" s="35">
        <v>423.0</v>
      </c>
      <c r="E953" s="3" t="s">
        <v>1059</v>
      </c>
      <c r="F953" s="3" t="s">
        <v>1199</v>
      </c>
      <c r="G953" s="40">
        <v>0.9</v>
      </c>
      <c r="H953" s="35">
        <v>123.0</v>
      </c>
      <c r="I953" s="37">
        <v>0.5451388888888888</v>
      </c>
      <c r="J953" s="37">
        <v>0.5493055555555556</v>
      </c>
      <c r="K953" s="38">
        <f t="shared" si="15"/>
        <v>0.004166666667</v>
      </c>
      <c r="L953" s="39" t="str">
        <f t="shared" si="2"/>
        <v>Day</v>
      </c>
      <c r="M953" s="39" t="str">
        <f t="array" ref="M953">XLOOKUP(D953,'Category dict'!$B$1:$B$4,'Category dict'!$A$1:$A$4,0,0,1)</f>
        <v>Business</v>
      </c>
      <c r="N953" s="39" t="str">
        <f>VLOOKUP(H953,'Purpose dict'!$A$1:$B$12,2,0)</f>
        <v>NOT DEFINED</v>
      </c>
    </row>
    <row r="954">
      <c r="A954" s="3" t="s">
        <v>1200</v>
      </c>
      <c r="B954" s="34">
        <v>42687.55138888889</v>
      </c>
      <c r="C954" s="34">
        <v>42687.55416666667</v>
      </c>
      <c r="D954" s="35">
        <v>423.0</v>
      </c>
      <c r="E954" s="3" t="s">
        <v>1199</v>
      </c>
      <c r="F954" s="3" t="s">
        <v>1059</v>
      </c>
      <c r="G954" s="40">
        <v>0.9</v>
      </c>
      <c r="H954" s="35">
        <v>123.0</v>
      </c>
      <c r="I954" s="37">
        <v>0.5513888888888889</v>
      </c>
      <c r="J954" s="37">
        <v>0.5541666666666667</v>
      </c>
      <c r="K954" s="38">
        <f t="shared" si="15"/>
        <v>0.002777777778</v>
      </c>
      <c r="L954" s="39" t="str">
        <f t="shared" si="2"/>
        <v>Day</v>
      </c>
      <c r="M954" s="39" t="str">
        <f t="array" ref="M954">XLOOKUP(D954,'Category dict'!$B$1:$B$4,'Category dict'!$A$1:$A$4,0,0,1)</f>
        <v>Business</v>
      </c>
      <c r="N954" s="39" t="str">
        <f>VLOOKUP(H954,'Purpose dict'!$A$1:$B$12,2,0)</f>
        <v>NOT DEFINED</v>
      </c>
    </row>
    <row r="955" hidden="1">
      <c r="A955" s="3" t="s">
        <v>1201</v>
      </c>
      <c r="B955" s="34">
        <v>42687.60763888889</v>
      </c>
      <c r="C955" s="34">
        <v>42687.615277777775</v>
      </c>
      <c r="D955" s="35">
        <v>423.0</v>
      </c>
      <c r="E955" s="3" t="s">
        <v>1059</v>
      </c>
      <c r="F955" s="3" t="s">
        <v>1150</v>
      </c>
      <c r="G955" s="36">
        <v>2.4</v>
      </c>
      <c r="H955" s="35">
        <v>123.0</v>
      </c>
      <c r="I955" s="37">
        <v>0.6076388888888888</v>
      </c>
      <c r="J955" s="37">
        <v>0.6152777777777778</v>
      </c>
      <c r="K955" s="38">
        <f t="shared" si="15"/>
        <v>0.007638888889</v>
      </c>
      <c r="L955" s="39" t="str">
        <f t="shared" si="2"/>
        <v>Day</v>
      </c>
      <c r="M955" s="39" t="str">
        <f t="array" ref="M955">XLOOKUP(D955,'Category dict'!$B$1:$B$4,'Category dict'!$A$1:$A$4,0,0,1)</f>
        <v>Business</v>
      </c>
      <c r="N955" s="39" t="str">
        <f>VLOOKUP(H955,'Purpose dict'!$A$1:$B$12,2,0)</f>
        <v>NOT DEFINED</v>
      </c>
    </row>
    <row r="956" hidden="1">
      <c r="A956" s="3" t="s">
        <v>1202</v>
      </c>
      <c r="B956" s="34">
        <v>42687.634722222225</v>
      </c>
      <c r="C956" s="34">
        <v>42687.64166666667</v>
      </c>
      <c r="D956" s="35">
        <v>423.0</v>
      </c>
      <c r="E956" s="3" t="s">
        <v>1150</v>
      </c>
      <c r="F956" s="3" t="s">
        <v>1059</v>
      </c>
      <c r="G956" s="36">
        <v>1.9</v>
      </c>
      <c r="H956" s="35">
        <v>123.0</v>
      </c>
      <c r="I956" s="37">
        <v>0.6347222222222222</v>
      </c>
      <c r="J956" s="37">
        <v>0.6416666666666667</v>
      </c>
      <c r="K956" s="38">
        <f t="shared" si="15"/>
        <v>0.006944444444</v>
      </c>
      <c r="L956" s="39" t="str">
        <f t="shared" si="2"/>
        <v>Day</v>
      </c>
      <c r="M956" s="39" t="str">
        <f t="array" ref="M956">XLOOKUP(D956,'Category dict'!$B$1:$B$4,'Category dict'!$A$1:$A$4,0,0,1)</f>
        <v>Business</v>
      </c>
      <c r="N956" s="39" t="str">
        <f>VLOOKUP(H956,'Purpose dict'!$A$1:$B$12,2,0)</f>
        <v>NOT DEFINED</v>
      </c>
    </row>
    <row r="957" hidden="1">
      <c r="A957" s="3" t="s">
        <v>1203</v>
      </c>
      <c r="B957" s="34">
        <v>42687.657638888886</v>
      </c>
      <c r="C957" s="34">
        <v>42687.665972222225</v>
      </c>
      <c r="D957" s="35">
        <v>423.0</v>
      </c>
      <c r="E957" s="3" t="s">
        <v>1059</v>
      </c>
      <c r="F957" s="3" t="s">
        <v>1150</v>
      </c>
      <c r="G957" s="36">
        <v>1.9</v>
      </c>
      <c r="H957" s="35">
        <v>123.0</v>
      </c>
      <c r="I957" s="37">
        <v>0.6576388888888889</v>
      </c>
      <c r="J957" s="37">
        <v>0.6659722222222222</v>
      </c>
      <c r="K957" s="38">
        <f t="shared" si="15"/>
        <v>0.008333333333</v>
      </c>
      <c r="L957" s="39" t="str">
        <f t="shared" si="2"/>
        <v>Day</v>
      </c>
      <c r="M957" s="39" t="str">
        <f t="array" ref="M957">XLOOKUP(D957,'Category dict'!$B$1:$B$4,'Category dict'!$A$1:$A$4,0,0,1)</f>
        <v>Business</v>
      </c>
      <c r="N957" s="39" t="str">
        <f>VLOOKUP(H957,'Purpose dict'!$A$1:$B$12,2,0)</f>
        <v>NOT DEFINED</v>
      </c>
    </row>
    <row r="958" hidden="1">
      <c r="A958" s="3" t="s">
        <v>1204</v>
      </c>
      <c r="B958" s="34">
        <v>42688.475</v>
      </c>
      <c r="C958" s="34">
        <v>42688.50902777778</v>
      </c>
      <c r="D958" s="35">
        <v>423.0</v>
      </c>
      <c r="E958" s="3" t="s">
        <v>618</v>
      </c>
      <c r="F958" s="3" t="s">
        <v>1205</v>
      </c>
      <c r="G958" s="36">
        <v>44.6</v>
      </c>
      <c r="H958" s="35">
        <v>4.0</v>
      </c>
      <c r="I958" s="37">
        <v>0.475</v>
      </c>
      <c r="J958" s="37">
        <v>0.5090277777777777</v>
      </c>
      <c r="K958" s="38">
        <f t="shared" si="15"/>
        <v>0.03402777778</v>
      </c>
      <c r="L958" s="39" t="str">
        <f t="shared" si="2"/>
        <v>Morning</v>
      </c>
      <c r="M958" s="39" t="str">
        <f t="array" ref="M958">XLOOKUP(D958,'Category dict'!$B$1:$B$4,'Category dict'!$A$1:$A$4,0,0,1)</f>
        <v>Business</v>
      </c>
      <c r="N958" s="39" t="str">
        <f>VLOOKUP(H958,'Purpose dict'!$A$1:$B$12,2,0)</f>
        <v>Customer Visit</v>
      </c>
    </row>
    <row r="959" hidden="1">
      <c r="A959" s="3" t="s">
        <v>1206</v>
      </c>
      <c r="B959" s="34">
        <v>42688.569444444445</v>
      </c>
      <c r="C959" s="34">
        <v>42688.60625</v>
      </c>
      <c r="D959" s="35">
        <v>423.0</v>
      </c>
      <c r="E959" s="3" t="s">
        <v>1205</v>
      </c>
      <c r="F959" s="3" t="s">
        <v>618</v>
      </c>
      <c r="G959" s="36">
        <v>43.6</v>
      </c>
      <c r="H959" s="35">
        <v>4.0</v>
      </c>
      <c r="I959" s="37">
        <v>0.5694444444444444</v>
      </c>
      <c r="J959" s="37">
        <v>0.60625</v>
      </c>
      <c r="K959" s="38">
        <f t="shared" si="15"/>
        <v>0.03680555556</v>
      </c>
      <c r="L959" s="39" t="str">
        <f t="shared" si="2"/>
        <v>Day</v>
      </c>
      <c r="M959" s="39" t="str">
        <f t="array" ref="M959">XLOOKUP(D959,'Category dict'!$B$1:$B$4,'Category dict'!$A$1:$A$4,0,0,1)</f>
        <v>Business</v>
      </c>
      <c r="N959" s="39" t="str">
        <f>VLOOKUP(H959,'Purpose dict'!$A$1:$B$12,2,0)</f>
        <v>Customer Visit</v>
      </c>
    </row>
    <row r="960" hidden="1">
      <c r="A960" s="3" t="s">
        <v>1207</v>
      </c>
      <c r="B960" s="34">
        <v>42688.64375</v>
      </c>
      <c r="C960" s="34">
        <v>42688.65</v>
      </c>
      <c r="D960" s="35">
        <v>423.0</v>
      </c>
      <c r="E960" s="3" t="s">
        <v>618</v>
      </c>
      <c r="F960" s="3" t="s">
        <v>616</v>
      </c>
      <c r="G960" s="36">
        <v>2.5</v>
      </c>
      <c r="H960" s="35">
        <v>123.0</v>
      </c>
      <c r="I960" s="37">
        <v>0.64375</v>
      </c>
      <c r="J960" s="37">
        <v>0.65</v>
      </c>
      <c r="K960" s="38">
        <f t="shared" si="15"/>
        <v>0.00625</v>
      </c>
      <c r="L960" s="39" t="str">
        <f t="shared" si="2"/>
        <v>Day</v>
      </c>
      <c r="M960" s="39" t="str">
        <f t="array" ref="M960">XLOOKUP(D960,'Category dict'!$B$1:$B$4,'Category dict'!$A$1:$A$4,0,0,1)</f>
        <v>Business</v>
      </c>
      <c r="N960" s="39" t="str">
        <f>VLOOKUP(H960,'Purpose dict'!$A$1:$B$12,2,0)</f>
        <v>NOT DEFINED</v>
      </c>
    </row>
    <row r="961" hidden="1">
      <c r="A961" s="3" t="s">
        <v>1208</v>
      </c>
      <c r="B961" s="34">
        <v>42688.84652777778</v>
      </c>
      <c r="C961" s="34">
        <v>42688.854166666664</v>
      </c>
      <c r="D961" s="35">
        <v>423.0</v>
      </c>
      <c r="E961" s="3" t="s">
        <v>616</v>
      </c>
      <c r="F961" s="3" t="s">
        <v>618</v>
      </c>
      <c r="G961" s="36">
        <v>3.7</v>
      </c>
      <c r="H961" s="35">
        <v>2.0</v>
      </c>
      <c r="I961" s="37">
        <v>0.8465277777777778</v>
      </c>
      <c r="J961" s="37">
        <v>0.8541666666666666</v>
      </c>
      <c r="K961" s="38">
        <f t="shared" si="15"/>
        <v>0.007638888889</v>
      </c>
      <c r="L961" s="39" t="str">
        <f t="shared" si="2"/>
        <v>Evening</v>
      </c>
      <c r="M961" s="39" t="str">
        <f t="array" ref="M961">XLOOKUP(D961,'Category dict'!$B$1:$B$4,'Category dict'!$A$1:$A$4,0,0,1)</f>
        <v>Business</v>
      </c>
      <c r="N961" s="39" t="str">
        <f>VLOOKUP(H961,'Purpose dict'!$A$1:$B$12,2,0)</f>
        <v>Errand/Supplies</v>
      </c>
    </row>
    <row r="962" hidden="1">
      <c r="A962" s="3" t="s">
        <v>1209</v>
      </c>
      <c r="B962" s="34">
        <v>42689.58263888889</v>
      </c>
      <c r="C962" s="34">
        <v>42689.5875</v>
      </c>
      <c r="D962" s="35">
        <v>423.0</v>
      </c>
      <c r="E962" s="3" t="s">
        <v>618</v>
      </c>
      <c r="F962" s="3" t="s">
        <v>615</v>
      </c>
      <c r="G962" s="36">
        <v>5.1</v>
      </c>
      <c r="H962" s="35">
        <v>123.0</v>
      </c>
      <c r="I962" s="37">
        <v>0.5826388888888889</v>
      </c>
      <c r="J962" s="37">
        <v>0.5875</v>
      </c>
      <c r="K962" s="38">
        <f t="shared" si="15"/>
        <v>0.004861111111</v>
      </c>
      <c r="L962" s="39" t="str">
        <f t="shared" si="2"/>
        <v>Day</v>
      </c>
      <c r="M962" s="39" t="str">
        <f t="array" ref="M962">XLOOKUP(D962,'Category dict'!$B$1:$B$4,'Category dict'!$A$1:$A$4,0,0,1)</f>
        <v>Business</v>
      </c>
      <c r="N962" s="39" t="str">
        <f>VLOOKUP(H962,'Purpose dict'!$A$1:$B$12,2,0)</f>
        <v>NOT DEFINED</v>
      </c>
    </row>
    <row r="963" hidden="1">
      <c r="A963" s="3" t="s">
        <v>1210</v>
      </c>
      <c r="B963" s="34">
        <v>42689.589583333334</v>
      </c>
      <c r="C963" s="34">
        <v>42689.60138888889</v>
      </c>
      <c r="D963" s="35">
        <v>423.0</v>
      </c>
      <c r="E963" s="3" t="s">
        <v>615</v>
      </c>
      <c r="F963" s="3" t="s">
        <v>520</v>
      </c>
      <c r="G963" s="36">
        <v>9.7</v>
      </c>
      <c r="H963" s="35">
        <v>5.0</v>
      </c>
      <c r="I963" s="37">
        <v>0.5895833333333333</v>
      </c>
      <c r="J963" s="37">
        <v>0.6013888888888889</v>
      </c>
      <c r="K963" s="38">
        <f t="shared" si="15"/>
        <v>0.01180555556</v>
      </c>
      <c r="L963" s="39" t="str">
        <f t="shared" si="2"/>
        <v>Day</v>
      </c>
      <c r="M963" s="39" t="str">
        <f t="array" ref="M963">XLOOKUP(D963,'Category dict'!$B$1:$B$4,'Category dict'!$A$1:$A$4,0,0,1)</f>
        <v>Business</v>
      </c>
      <c r="N963" s="39" t="str">
        <f>VLOOKUP(H963,'Purpose dict'!$A$1:$B$12,2,0)</f>
        <v>Temporary Site</v>
      </c>
    </row>
    <row r="964" hidden="1">
      <c r="A964" s="3" t="s">
        <v>1211</v>
      </c>
      <c r="B964" s="34">
        <v>42689.86388888889</v>
      </c>
      <c r="C964" s="34">
        <v>42689.875</v>
      </c>
      <c r="D964" s="35">
        <v>423.0</v>
      </c>
      <c r="E964" s="3" t="s">
        <v>520</v>
      </c>
      <c r="F964" s="3" t="s">
        <v>618</v>
      </c>
      <c r="G964" s="36">
        <v>11.8</v>
      </c>
      <c r="H964" s="35">
        <v>5.0</v>
      </c>
      <c r="I964" s="37">
        <v>0.8638888888888889</v>
      </c>
      <c r="J964" s="37">
        <v>0.875</v>
      </c>
      <c r="K964" s="38">
        <f t="shared" si="15"/>
        <v>0.01111111111</v>
      </c>
      <c r="L964" s="39" t="str">
        <f t="shared" si="2"/>
        <v>Evening</v>
      </c>
      <c r="M964" s="39" t="str">
        <f t="array" ref="M964">XLOOKUP(D964,'Category dict'!$B$1:$B$4,'Category dict'!$A$1:$A$4,0,0,1)</f>
        <v>Business</v>
      </c>
      <c r="N964" s="39" t="str">
        <f>VLOOKUP(H964,'Purpose dict'!$A$1:$B$12,2,0)</f>
        <v>Temporary Site</v>
      </c>
    </row>
    <row r="965" hidden="1">
      <c r="A965" s="3" t="s">
        <v>1212</v>
      </c>
      <c r="B965" s="34">
        <v>42690.847916666666</v>
      </c>
      <c r="C965" s="34">
        <v>42690.85208333333</v>
      </c>
      <c r="D965" s="35">
        <v>423.0</v>
      </c>
      <c r="E965" s="3" t="s">
        <v>618</v>
      </c>
      <c r="F965" s="3" t="s">
        <v>1213</v>
      </c>
      <c r="G965" s="36">
        <v>2.3</v>
      </c>
      <c r="H965" s="35">
        <v>5.0</v>
      </c>
      <c r="I965" s="37">
        <v>0.8479166666666667</v>
      </c>
      <c r="J965" s="37">
        <v>0.8520833333333333</v>
      </c>
      <c r="K965" s="38">
        <f t="shared" si="15"/>
        <v>0.004166666667</v>
      </c>
      <c r="L965" s="39" t="str">
        <f t="shared" si="2"/>
        <v>Evening</v>
      </c>
      <c r="M965" s="39" t="str">
        <f t="array" ref="M965">XLOOKUP(D965,'Category dict'!$B$1:$B$4,'Category dict'!$A$1:$A$4,0,0,1)</f>
        <v>Business</v>
      </c>
      <c r="N965" s="39" t="str">
        <f>VLOOKUP(H965,'Purpose dict'!$A$1:$B$12,2,0)</f>
        <v>Temporary Site</v>
      </c>
    </row>
    <row r="966" hidden="1">
      <c r="A966" s="3" t="s">
        <v>1214</v>
      </c>
      <c r="B966" s="34">
        <v>42690.95277777778</v>
      </c>
      <c r="C966" s="34">
        <v>42690.95972222222</v>
      </c>
      <c r="D966" s="35">
        <v>423.0</v>
      </c>
      <c r="E966" s="3" t="s">
        <v>1213</v>
      </c>
      <c r="F966" s="3" t="s">
        <v>618</v>
      </c>
      <c r="G966" s="36">
        <v>3.1</v>
      </c>
      <c r="H966" s="35">
        <v>1.0</v>
      </c>
      <c r="I966" s="37">
        <v>0.9527777777777777</v>
      </c>
      <c r="J966" s="37">
        <v>0.9597222222222223</v>
      </c>
      <c r="K966" s="38">
        <f t="shared" si="15"/>
        <v>0.006944444444</v>
      </c>
      <c r="L966" s="39" t="str">
        <f t="shared" si="2"/>
        <v>Evening</v>
      </c>
      <c r="M966" s="39" t="str">
        <f t="array" ref="M966">XLOOKUP(D966,'Category dict'!$B$1:$B$4,'Category dict'!$A$1:$A$4,0,0,1)</f>
        <v>Business</v>
      </c>
      <c r="N966" s="39" t="str">
        <f>VLOOKUP(H966,'Purpose dict'!$A$1:$B$12,2,0)</f>
        <v>Meal/Entertain</v>
      </c>
    </row>
    <row r="967" hidden="1">
      <c r="A967" s="3" t="s">
        <v>1215</v>
      </c>
      <c r="B967" s="34">
        <v>42691.42569444444</v>
      </c>
      <c r="C967" s="34">
        <v>42691.447222222225</v>
      </c>
      <c r="D967" s="35">
        <v>423.0</v>
      </c>
      <c r="E967" s="3" t="s">
        <v>618</v>
      </c>
      <c r="F967" s="3" t="s">
        <v>615</v>
      </c>
      <c r="G967" s="36">
        <v>16.3</v>
      </c>
      <c r="H967" s="35">
        <v>4.0</v>
      </c>
      <c r="I967" s="37">
        <v>0.42569444444444443</v>
      </c>
      <c r="J967" s="37">
        <v>0.44722222222222224</v>
      </c>
      <c r="K967" s="38">
        <f t="shared" si="15"/>
        <v>0.02152777778</v>
      </c>
      <c r="L967" s="39" t="str">
        <f t="shared" si="2"/>
        <v>Morning</v>
      </c>
      <c r="M967" s="39" t="str">
        <f t="array" ref="M967">XLOOKUP(D967,'Category dict'!$B$1:$B$4,'Category dict'!$A$1:$A$4,0,0,1)</f>
        <v>Business</v>
      </c>
      <c r="N967" s="39" t="str">
        <f>VLOOKUP(H967,'Purpose dict'!$A$1:$B$12,2,0)</f>
        <v>Customer Visit</v>
      </c>
    </row>
    <row r="968" hidden="1">
      <c r="A968" s="3" t="s">
        <v>1216</v>
      </c>
      <c r="B968" s="34">
        <v>42692.839583333334</v>
      </c>
      <c r="C968" s="34">
        <v>42692.84652777778</v>
      </c>
      <c r="D968" s="35">
        <v>423.0</v>
      </c>
      <c r="E968" s="3" t="s">
        <v>60</v>
      </c>
      <c r="F968" s="3" t="s">
        <v>62</v>
      </c>
      <c r="G968" s="36">
        <v>3.1</v>
      </c>
      <c r="H968" s="35">
        <v>1.0</v>
      </c>
      <c r="I968" s="37">
        <v>0.8395833333333333</v>
      </c>
      <c r="J968" s="37">
        <v>0.8465277777777778</v>
      </c>
      <c r="K968" s="38">
        <f t="shared" si="15"/>
        <v>0.006944444444</v>
      </c>
      <c r="L968" s="39" t="str">
        <f t="shared" si="2"/>
        <v>Evening</v>
      </c>
      <c r="M968" s="39" t="str">
        <f t="array" ref="M968">XLOOKUP(D968,'Category dict'!$B$1:$B$4,'Category dict'!$A$1:$A$4,0,0,1)</f>
        <v>Business</v>
      </c>
      <c r="N968" s="39" t="str">
        <f>VLOOKUP(H968,'Purpose dict'!$A$1:$B$12,2,0)</f>
        <v>Meal/Entertain</v>
      </c>
    </row>
    <row r="969" hidden="1">
      <c r="A969" s="3" t="s">
        <v>1217</v>
      </c>
      <c r="B969" s="34">
        <v>42692.89097222222</v>
      </c>
      <c r="C969" s="34">
        <v>42692.89861111111</v>
      </c>
      <c r="D969" s="35">
        <v>423.0</v>
      </c>
      <c r="E969" s="3" t="s">
        <v>62</v>
      </c>
      <c r="F969" s="3" t="s">
        <v>60</v>
      </c>
      <c r="G969" s="36">
        <v>5.2</v>
      </c>
      <c r="H969" s="35">
        <v>1.0</v>
      </c>
      <c r="I969" s="37">
        <v>0.8909722222222223</v>
      </c>
      <c r="J969" s="37">
        <v>0.8986111111111111</v>
      </c>
      <c r="K969" s="38">
        <f t="shared" si="15"/>
        <v>0.007638888889</v>
      </c>
      <c r="L969" s="39" t="str">
        <f t="shared" si="2"/>
        <v>Evening</v>
      </c>
      <c r="M969" s="39" t="str">
        <f t="array" ref="M969">XLOOKUP(D969,'Category dict'!$B$1:$B$4,'Category dict'!$A$1:$A$4,0,0,1)</f>
        <v>Business</v>
      </c>
      <c r="N969" s="39" t="str">
        <f>VLOOKUP(H969,'Purpose dict'!$A$1:$B$12,2,0)</f>
        <v>Meal/Entertain</v>
      </c>
    </row>
    <row r="970" hidden="1">
      <c r="A970" s="3" t="s">
        <v>1218</v>
      </c>
      <c r="B970" s="34">
        <v>42692.91388888889</v>
      </c>
      <c r="C970" s="34">
        <v>42692.93125</v>
      </c>
      <c r="D970" s="35">
        <v>423.0</v>
      </c>
      <c r="E970" s="3" t="s">
        <v>1219</v>
      </c>
      <c r="F970" s="3" t="s">
        <v>106</v>
      </c>
      <c r="G970" s="36">
        <v>6.1</v>
      </c>
      <c r="H970" s="35">
        <v>3.0</v>
      </c>
      <c r="I970" s="37">
        <v>0.9138888888888889</v>
      </c>
      <c r="J970" s="37">
        <v>0.93125</v>
      </c>
      <c r="K970" s="38">
        <f t="shared" si="15"/>
        <v>0.01736111111</v>
      </c>
      <c r="L970" s="39" t="str">
        <f t="shared" si="2"/>
        <v>Evening</v>
      </c>
      <c r="M970" s="39" t="str">
        <f t="array" ref="M970">XLOOKUP(D970,'Category dict'!$B$1:$B$4,'Category dict'!$A$1:$A$4,0,0,1)</f>
        <v>Business</v>
      </c>
      <c r="N970" s="39" t="str">
        <f>VLOOKUP(H970,'Purpose dict'!$A$1:$B$12,2,0)</f>
        <v>Meeting</v>
      </c>
    </row>
    <row r="971" hidden="1">
      <c r="A971" s="3" t="s">
        <v>1220</v>
      </c>
      <c r="B971" s="34">
        <v>42693.57708333333</v>
      </c>
      <c r="C971" s="34">
        <v>42693.59027777778</v>
      </c>
      <c r="D971" s="35">
        <v>423.0</v>
      </c>
      <c r="E971" s="3" t="s">
        <v>60</v>
      </c>
      <c r="F971" s="3" t="s">
        <v>101</v>
      </c>
      <c r="G971" s="36">
        <v>10.3</v>
      </c>
      <c r="H971" s="35">
        <v>3.0</v>
      </c>
      <c r="I971" s="37">
        <v>0.5770833333333333</v>
      </c>
      <c r="J971" s="37">
        <v>0.5902777777777778</v>
      </c>
      <c r="K971" s="38">
        <f t="shared" si="15"/>
        <v>0.01319444444</v>
      </c>
      <c r="L971" s="39" t="str">
        <f t="shared" si="2"/>
        <v>Day</v>
      </c>
      <c r="M971" s="39" t="str">
        <f t="array" ref="M971">XLOOKUP(D971,'Category dict'!$B$1:$B$4,'Category dict'!$A$1:$A$4,0,0,1)</f>
        <v>Business</v>
      </c>
      <c r="N971" s="39" t="str">
        <f>VLOOKUP(H971,'Purpose dict'!$A$1:$B$12,2,0)</f>
        <v>Meeting</v>
      </c>
    </row>
    <row r="972" hidden="1">
      <c r="A972" s="3" t="s">
        <v>1221</v>
      </c>
      <c r="B972" s="34">
        <v>42693.604166666664</v>
      </c>
      <c r="C972" s="34">
        <v>42693.61875</v>
      </c>
      <c r="D972" s="35">
        <v>423.0</v>
      </c>
      <c r="E972" s="3" t="s">
        <v>101</v>
      </c>
      <c r="F972" s="3" t="s">
        <v>60</v>
      </c>
      <c r="G972" s="36">
        <v>10.5</v>
      </c>
      <c r="H972" s="35">
        <v>3.0</v>
      </c>
      <c r="I972" s="37">
        <v>0.6041666666666666</v>
      </c>
      <c r="J972" s="37">
        <v>0.61875</v>
      </c>
      <c r="K972" s="38">
        <f t="shared" si="15"/>
        <v>0.01458333333</v>
      </c>
      <c r="L972" s="39" t="str">
        <f t="shared" si="2"/>
        <v>Day</v>
      </c>
      <c r="M972" s="39" t="str">
        <f t="array" ref="M972">XLOOKUP(D972,'Category dict'!$B$1:$B$4,'Category dict'!$A$1:$A$4,0,0,1)</f>
        <v>Business</v>
      </c>
      <c r="N972" s="39" t="str">
        <f>VLOOKUP(H972,'Purpose dict'!$A$1:$B$12,2,0)</f>
        <v>Meeting</v>
      </c>
    </row>
    <row r="973">
      <c r="A973" s="3" t="s">
        <v>1222</v>
      </c>
      <c r="B973" s="34">
        <v>42693.66736111111</v>
      </c>
      <c r="C973" s="34">
        <v>42693.67083333333</v>
      </c>
      <c r="D973" s="35">
        <v>423.0</v>
      </c>
      <c r="E973" s="3" t="s">
        <v>60</v>
      </c>
      <c r="F973" s="3" t="s">
        <v>60</v>
      </c>
      <c r="G973" s="40">
        <v>1.5</v>
      </c>
      <c r="H973" s="35">
        <v>123.0</v>
      </c>
      <c r="I973" s="37">
        <v>0.6673611111111111</v>
      </c>
      <c r="J973" s="37">
        <v>0.6708333333333333</v>
      </c>
      <c r="K973" s="38">
        <f t="shared" si="15"/>
        <v>0.003472222222</v>
      </c>
      <c r="L973" s="39" t="str">
        <f t="shared" si="2"/>
        <v>Day</v>
      </c>
      <c r="M973" s="39" t="str">
        <f t="array" ref="M973">XLOOKUP(D973,'Category dict'!$B$1:$B$4,'Category dict'!$A$1:$A$4,0,0,1)</f>
        <v>Business</v>
      </c>
      <c r="N973" s="39" t="str">
        <f>VLOOKUP(H973,'Purpose dict'!$A$1:$B$12,2,0)</f>
        <v>NOT DEFINED</v>
      </c>
    </row>
    <row r="974" hidden="1">
      <c r="A974" s="3" t="s">
        <v>1223</v>
      </c>
      <c r="B974" s="34">
        <v>42693.68541666667</v>
      </c>
      <c r="C974" s="34">
        <v>42693.69513888889</v>
      </c>
      <c r="D974" s="35">
        <v>423.0</v>
      </c>
      <c r="E974" s="3" t="s">
        <v>60</v>
      </c>
      <c r="F974" s="3" t="s">
        <v>60</v>
      </c>
      <c r="G974" s="36">
        <v>1.8</v>
      </c>
      <c r="H974" s="35">
        <v>123.0</v>
      </c>
      <c r="I974" s="37">
        <v>0.6854166666666667</v>
      </c>
      <c r="J974" s="37">
        <v>0.6951388888888889</v>
      </c>
      <c r="K974" s="38">
        <f t="shared" si="15"/>
        <v>0.009722222222</v>
      </c>
      <c r="L974" s="39" t="str">
        <f t="shared" si="2"/>
        <v>Day</v>
      </c>
      <c r="M974" s="39" t="str">
        <f t="array" ref="M974">XLOOKUP(D974,'Category dict'!$B$1:$B$4,'Category dict'!$A$1:$A$4,0,0,1)</f>
        <v>Business</v>
      </c>
      <c r="N974" s="39" t="str">
        <f>VLOOKUP(H974,'Purpose dict'!$A$1:$B$12,2,0)</f>
        <v>NOT DEFINED</v>
      </c>
    </row>
    <row r="975" hidden="1">
      <c r="A975" s="3" t="s">
        <v>1224</v>
      </c>
      <c r="B975" s="34">
        <v>42693.736805555556</v>
      </c>
      <c r="C975" s="34">
        <v>42693.745833333334</v>
      </c>
      <c r="D975" s="35">
        <v>423.0</v>
      </c>
      <c r="E975" s="3" t="s">
        <v>60</v>
      </c>
      <c r="F975" s="3" t="s">
        <v>142</v>
      </c>
      <c r="G975" s="36">
        <v>5.4</v>
      </c>
      <c r="H975" s="35">
        <v>2.0</v>
      </c>
      <c r="I975" s="37">
        <v>0.7368055555555556</v>
      </c>
      <c r="J975" s="37">
        <v>0.7458333333333333</v>
      </c>
      <c r="K975" s="38">
        <f t="shared" si="15"/>
        <v>0.009027777778</v>
      </c>
      <c r="L975" s="39" t="str">
        <f t="shared" si="2"/>
        <v>Day</v>
      </c>
      <c r="M975" s="39" t="str">
        <f t="array" ref="M975">XLOOKUP(D975,'Category dict'!$B$1:$B$4,'Category dict'!$A$1:$A$4,0,0,1)</f>
        <v>Business</v>
      </c>
      <c r="N975" s="39" t="str">
        <f>VLOOKUP(H975,'Purpose dict'!$A$1:$B$12,2,0)</f>
        <v>Errand/Supplies</v>
      </c>
    </row>
    <row r="976" hidden="1">
      <c r="A976" s="3" t="s">
        <v>1225</v>
      </c>
      <c r="B976" s="34">
        <v>42693.884722222225</v>
      </c>
      <c r="C976" s="34">
        <v>42693.899305555555</v>
      </c>
      <c r="D976" s="35">
        <v>423.0</v>
      </c>
      <c r="E976" s="3" t="s">
        <v>142</v>
      </c>
      <c r="F976" s="3" t="s">
        <v>60</v>
      </c>
      <c r="G976" s="36">
        <v>5.4</v>
      </c>
      <c r="H976" s="35">
        <v>4.0</v>
      </c>
      <c r="I976" s="37">
        <v>0.8847222222222222</v>
      </c>
      <c r="J976" s="37">
        <v>0.8993055555555556</v>
      </c>
      <c r="K976" s="38">
        <f t="shared" si="15"/>
        <v>0.01458333333</v>
      </c>
      <c r="L976" s="39" t="str">
        <f t="shared" si="2"/>
        <v>Evening</v>
      </c>
      <c r="M976" s="39" t="str">
        <f t="array" ref="M976">XLOOKUP(D976,'Category dict'!$B$1:$B$4,'Category dict'!$A$1:$A$4,0,0,1)</f>
        <v>Business</v>
      </c>
      <c r="N976" s="39" t="str">
        <f>VLOOKUP(H976,'Purpose dict'!$A$1:$B$12,2,0)</f>
        <v>Customer Visit</v>
      </c>
    </row>
    <row r="977" hidden="1">
      <c r="A977" s="3" t="s">
        <v>1226</v>
      </c>
      <c r="B977" s="34">
        <v>42694.43541666667</v>
      </c>
      <c r="C977" s="34">
        <v>42694.48055555556</v>
      </c>
      <c r="D977" s="35">
        <v>423.0</v>
      </c>
      <c r="E977" s="3" t="s">
        <v>60</v>
      </c>
      <c r="F977" s="3" t="s">
        <v>60</v>
      </c>
      <c r="G977" s="36">
        <v>39.2</v>
      </c>
      <c r="H977" s="35">
        <v>6.0</v>
      </c>
      <c r="I977" s="37">
        <v>0.4354166666666667</v>
      </c>
      <c r="J977" s="37">
        <v>0.48055555555555557</v>
      </c>
      <c r="K977" s="38">
        <f t="shared" si="15"/>
        <v>0.04513888889</v>
      </c>
      <c r="L977" s="39" t="str">
        <f t="shared" si="2"/>
        <v>Morning</v>
      </c>
      <c r="M977" s="39" t="str">
        <f t="array" ref="M977">XLOOKUP(D977,'Category dict'!$B$1:$B$4,'Category dict'!$A$1:$A$4,0,0,1)</f>
        <v>Business</v>
      </c>
      <c r="N977" s="39" t="str">
        <f>VLOOKUP(H977,'Purpose dict'!$A$1:$B$12,2,0)</f>
        <v>Between Offices</v>
      </c>
    </row>
    <row r="978" hidden="1">
      <c r="A978" s="3" t="s">
        <v>1227</v>
      </c>
      <c r="B978" s="34">
        <v>42694.498611111114</v>
      </c>
      <c r="C978" s="34">
        <v>42694.51944444444</v>
      </c>
      <c r="D978" s="35">
        <v>423.0</v>
      </c>
      <c r="E978" s="3" t="s">
        <v>60</v>
      </c>
      <c r="F978" s="3" t="s">
        <v>60</v>
      </c>
      <c r="G978" s="36">
        <v>6.4</v>
      </c>
      <c r="H978" s="35">
        <v>4.0</v>
      </c>
      <c r="I978" s="37">
        <v>0.4986111111111111</v>
      </c>
      <c r="J978" s="37">
        <v>0.5194444444444445</v>
      </c>
      <c r="K978" s="38">
        <f t="shared" si="15"/>
        <v>0.02083333333</v>
      </c>
      <c r="L978" s="39" t="str">
        <f t="shared" si="2"/>
        <v>Morning</v>
      </c>
      <c r="M978" s="39" t="str">
        <f t="array" ref="M978">XLOOKUP(D978,'Category dict'!$B$1:$B$4,'Category dict'!$A$1:$A$4,0,0,1)</f>
        <v>Business</v>
      </c>
      <c r="N978" s="39" t="str">
        <f>VLOOKUP(H978,'Purpose dict'!$A$1:$B$12,2,0)</f>
        <v>Customer Visit</v>
      </c>
    </row>
    <row r="979" hidden="1">
      <c r="A979" s="3" t="s">
        <v>1228</v>
      </c>
      <c r="B979" s="34">
        <v>42694.623611111114</v>
      </c>
      <c r="C979" s="34">
        <v>42694.62986111111</v>
      </c>
      <c r="D979" s="35">
        <v>423.0</v>
      </c>
      <c r="E979" s="3" t="s">
        <v>60</v>
      </c>
      <c r="F979" s="3" t="s">
        <v>60</v>
      </c>
      <c r="G979" s="36">
        <v>2.7</v>
      </c>
      <c r="H979" s="35">
        <v>3.0</v>
      </c>
      <c r="I979" s="37">
        <v>0.6236111111111111</v>
      </c>
      <c r="J979" s="37">
        <v>0.6298611111111111</v>
      </c>
      <c r="K979" s="38">
        <f t="shared" si="15"/>
        <v>0.00625</v>
      </c>
      <c r="L979" s="39" t="str">
        <f t="shared" si="2"/>
        <v>Day</v>
      </c>
      <c r="M979" s="39" t="str">
        <f t="array" ref="M979">XLOOKUP(D979,'Category dict'!$B$1:$B$4,'Category dict'!$A$1:$A$4,0,0,1)</f>
        <v>Business</v>
      </c>
      <c r="N979" s="39" t="str">
        <f>VLOOKUP(H979,'Purpose dict'!$A$1:$B$12,2,0)</f>
        <v>Meeting</v>
      </c>
    </row>
    <row r="980" hidden="1">
      <c r="A980" s="3" t="s">
        <v>1229</v>
      </c>
      <c r="B980" s="34">
        <v>42694.739583333336</v>
      </c>
      <c r="C980" s="34">
        <v>42694.77569444444</v>
      </c>
      <c r="D980" s="35">
        <v>423.0</v>
      </c>
      <c r="E980" s="3" t="s">
        <v>60</v>
      </c>
      <c r="F980" s="3" t="s">
        <v>60</v>
      </c>
      <c r="G980" s="36">
        <v>18.5</v>
      </c>
      <c r="H980" s="35">
        <v>2.0</v>
      </c>
      <c r="I980" s="37">
        <v>0.7395833333333334</v>
      </c>
      <c r="J980" s="37">
        <v>0.7756944444444445</v>
      </c>
      <c r="K980" s="38">
        <f t="shared" si="15"/>
        <v>0.03611111111</v>
      </c>
      <c r="L980" s="39" t="str">
        <f t="shared" si="2"/>
        <v>Day</v>
      </c>
      <c r="M980" s="39" t="str">
        <f t="array" ref="M980">XLOOKUP(D980,'Category dict'!$B$1:$B$4,'Category dict'!$A$1:$A$4,0,0,1)</f>
        <v>Business</v>
      </c>
      <c r="N980" s="39" t="str">
        <f>VLOOKUP(H980,'Purpose dict'!$A$1:$B$12,2,0)</f>
        <v>Errand/Supplies</v>
      </c>
    </row>
    <row r="981" hidden="1">
      <c r="A981" s="3" t="s">
        <v>1230</v>
      </c>
      <c r="B981" s="34">
        <v>42695.56736111111</v>
      </c>
      <c r="C981" s="34">
        <v>42695.575694444444</v>
      </c>
      <c r="D981" s="35">
        <v>423.0</v>
      </c>
      <c r="E981" s="3" t="s">
        <v>60</v>
      </c>
      <c r="F981" s="3" t="s">
        <v>60</v>
      </c>
      <c r="G981" s="36">
        <v>2.5</v>
      </c>
      <c r="H981" s="35">
        <v>1.0</v>
      </c>
      <c r="I981" s="37">
        <v>0.5673611111111111</v>
      </c>
      <c r="J981" s="37">
        <v>0.5756944444444444</v>
      </c>
      <c r="K981" s="38">
        <f t="shared" si="15"/>
        <v>0.008333333333</v>
      </c>
      <c r="L981" s="39" t="str">
        <f t="shared" si="2"/>
        <v>Day</v>
      </c>
      <c r="M981" s="39" t="str">
        <f t="array" ref="M981">XLOOKUP(D981,'Category dict'!$B$1:$B$4,'Category dict'!$A$1:$A$4,0,0,1)</f>
        <v>Business</v>
      </c>
      <c r="N981" s="39" t="str">
        <f>VLOOKUP(H981,'Purpose dict'!$A$1:$B$12,2,0)</f>
        <v>Meal/Entertain</v>
      </c>
    </row>
    <row r="982" hidden="1">
      <c r="A982" s="3" t="s">
        <v>1231</v>
      </c>
      <c r="B982" s="34">
        <v>42695.606944444444</v>
      </c>
      <c r="C982" s="34">
        <v>42695.61388888889</v>
      </c>
      <c r="D982" s="35">
        <v>423.0</v>
      </c>
      <c r="E982" s="3" t="s">
        <v>60</v>
      </c>
      <c r="F982" s="3" t="s">
        <v>60</v>
      </c>
      <c r="G982" s="36">
        <v>2.1</v>
      </c>
      <c r="H982" s="35">
        <v>1.0</v>
      </c>
      <c r="I982" s="37">
        <v>0.6069444444444444</v>
      </c>
      <c r="J982" s="37">
        <v>0.6138888888888889</v>
      </c>
      <c r="K982" s="38">
        <f t="shared" si="15"/>
        <v>0.006944444444</v>
      </c>
      <c r="L982" s="39" t="str">
        <f t="shared" si="2"/>
        <v>Day</v>
      </c>
      <c r="M982" s="39" t="str">
        <f t="array" ref="M982">XLOOKUP(D982,'Category dict'!$B$1:$B$4,'Category dict'!$A$1:$A$4,0,0,1)</f>
        <v>Business</v>
      </c>
      <c r="N982" s="39" t="str">
        <f>VLOOKUP(H982,'Purpose dict'!$A$1:$B$12,2,0)</f>
        <v>Meal/Entertain</v>
      </c>
    </row>
    <row r="983" hidden="1">
      <c r="A983" s="3" t="s">
        <v>1232</v>
      </c>
      <c r="B983" s="34">
        <v>42695.743055555555</v>
      </c>
      <c r="C983" s="34">
        <v>42695.75277777778</v>
      </c>
      <c r="D983" s="35">
        <v>423.0</v>
      </c>
      <c r="E983" s="3" t="s">
        <v>60</v>
      </c>
      <c r="F983" s="3" t="s">
        <v>208</v>
      </c>
      <c r="G983" s="36">
        <v>6.7</v>
      </c>
      <c r="H983" s="35">
        <v>2.0</v>
      </c>
      <c r="I983" s="37">
        <v>0.7430555555555556</v>
      </c>
      <c r="J983" s="37">
        <v>0.7527777777777778</v>
      </c>
      <c r="K983" s="38">
        <f t="shared" si="15"/>
        <v>0.009722222222</v>
      </c>
      <c r="L983" s="39" t="str">
        <f t="shared" si="2"/>
        <v>Day</v>
      </c>
      <c r="M983" s="39" t="str">
        <f t="array" ref="M983">XLOOKUP(D983,'Category dict'!$B$1:$B$4,'Category dict'!$A$1:$A$4,0,0,1)</f>
        <v>Business</v>
      </c>
      <c r="N983" s="39" t="str">
        <f>VLOOKUP(H983,'Purpose dict'!$A$1:$B$12,2,0)</f>
        <v>Errand/Supplies</v>
      </c>
    </row>
    <row r="984" hidden="1">
      <c r="A984" s="3" t="s">
        <v>1233</v>
      </c>
      <c r="B984" s="34">
        <v>42695.7625</v>
      </c>
      <c r="C984" s="34">
        <v>42695.76875</v>
      </c>
      <c r="D984" s="35">
        <v>423.0</v>
      </c>
      <c r="E984" s="3" t="s">
        <v>208</v>
      </c>
      <c r="F984" s="3" t="s">
        <v>62</v>
      </c>
      <c r="G984" s="36">
        <v>3.5</v>
      </c>
      <c r="H984" s="35">
        <v>1.0</v>
      </c>
      <c r="I984" s="37">
        <v>0.7625</v>
      </c>
      <c r="J984" s="37">
        <v>0.76875</v>
      </c>
      <c r="K984" s="38">
        <f t="shared" si="15"/>
        <v>0.00625</v>
      </c>
      <c r="L984" s="39" t="str">
        <f t="shared" si="2"/>
        <v>Evening</v>
      </c>
      <c r="M984" s="39" t="str">
        <f t="array" ref="M984">XLOOKUP(D984,'Category dict'!$B$1:$B$4,'Category dict'!$A$1:$A$4,0,0,1)</f>
        <v>Business</v>
      </c>
      <c r="N984" s="39" t="str">
        <f>VLOOKUP(H984,'Purpose dict'!$A$1:$B$12,2,0)</f>
        <v>Meal/Entertain</v>
      </c>
    </row>
    <row r="985" hidden="1">
      <c r="A985" s="3" t="s">
        <v>1234</v>
      </c>
      <c r="B985" s="34">
        <v>42695.779861111114</v>
      </c>
      <c r="C985" s="34">
        <v>42695.785416666666</v>
      </c>
      <c r="D985" s="35">
        <v>423.0</v>
      </c>
      <c r="E985" s="3" t="s">
        <v>62</v>
      </c>
      <c r="F985" s="3" t="s">
        <v>60</v>
      </c>
      <c r="G985" s="36">
        <v>3.4</v>
      </c>
      <c r="H985" s="35">
        <v>2.0</v>
      </c>
      <c r="I985" s="37">
        <v>0.7798611111111111</v>
      </c>
      <c r="J985" s="37">
        <v>0.7854166666666667</v>
      </c>
      <c r="K985" s="38">
        <f t="shared" si="15"/>
        <v>0.005555555556</v>
      </c>
      <c r="L985" s="39" t="str">
        <f t="shared" si="2"/>
        <v>Evening</v>
      </c>
      <c r="M985" s="39" t="str">
        <f t="array" ref="M985">XLOOKUP(D985,'Category dict'!$B$1:$B$4,'Category dict'!$A$1:$A$4,0,0,1)</f>
        <v>Business</v>
      </c>
      <c r="N985" s="39" t="str">
        <f>VLOOKUP(H985,'Purpose dict'!$A$1:$B$12,2,0)</f>
        <v>Errand/Supplies</v>
      </c>
    </row>
    <row r="986" hidden="1">
      <c r="A986" s="3" t="s">
        <v>1235</v>
      </c>
      <c r="B986" s="34">
        <v>42696.63333333333</v>
      </c>
      <c r="C986" s="34">
        <v>42696.64375</v>
      </c>
      <c r="D986" s="35">
        <v>423.0</v>
      </c>
      <c r="E986" s="3" t="s">
        <v>60</v>
      </c>
      <c r="F986" s="3" t="s">
        <v>60</v>
      </c>
      <c r="G986" s="36">
        <v>5.5</v>
      </c>
      <c r="H986" s="35">
        <v>3.0</v>
      </c>
      <c r="I986" s="37">
        <v>0.6333333333333333</v>
      </c>
      <c r="J986" s="37">
        <v>0.64375</v>
      </c>
      <c r="K986" s="38">
        <f t="shared" si="15"/>
        <v>0.01041666667</v>
      </c>
      <c r="L986" s="39" t="str">
        <f t="shared" si="2"/>
        <v>Day</v>
      </c>
      <c r="M986" s="39" t="str">
        <f t="array" ref="M986">XLOOKUP(D986,'Category dict'!$B$1:$B$4,'Category dict'!$A$1:$A$4,0,0,1)</f>
        <v>Business</v>
      </c>
      <c r="N986" s="39" t="str">
        <f>VLOOKUP(H986,'Purpose dict'!$A$1:$B$12,2,0)</f>
        <v>Meeting</v>
      </c>
    </row>
    <row r="987" hidden="1">
      <c r="A987" s="3" t="s">
        <v>1236</v>
      </c>
      <c r="B987" s="34">
        <v>42696.646527777775</v>
      </c>
      <c r="C987" s="34">
        <v>42696.65555555555</v>
      </c>
      <c r="D987" s="35">
        <v>423.0</v>
      </c>
      <c r="E987" s="3" t="s">
        <v>60</v>
      </c>
      <c r="F987" s="3" t="s">
        <v>60</v>
      </c>
      <c r="G987" s="36">
        <v>4.1</v>
      </c>
      <c r="H987" s="35">
        <v>3.0</v>
      </c>
      <c r="I987" s="37">
        <v>0.6465277777777778</v>
      </c>
      <c r="J987" s="37">
        <v>0.6555555555555556</v>
      </c>
      <c r="K987" s="38">
        <f t="shared" si="15"/>
        <v>0.009027777778</v>
      </c>
      <c r="L987" s="39" t="str">
        <f t="shared" si="2"/>
        <v>Day</v>
      </c>
      <c r="M987" s="39" t="str">
        <f t="array" ref="M987">XLOOKUP(D987,'Category dict'!$B$1:$B$4,'Category dict'!$A$1:$A$4,0,0,1)</f>
        <v>Business</v>
      </c>
      <c r="N987" s="39" t="str">
        <f>VLOOKUP(H987,'Purpose dict'!$A$1:$B$12,2,0)</f>
        <v>Meeting</v>
      </c>
    </row>
    <row r="988" hidden="1">
      <c r="A988" s="3" t="s">
        <v>1237</v>
      </c>
      <c r="B988" s="34">
        <v>42696.660416666666</v>
      </c>
      <c r="C988" s="34">
        <v>42696.69652777778</v>
      </c>
      <c r="D988" s="35">
        <v>423.0</v>
      </c>
      <c r="E988" s="3" t="s">
        <v>60</v>
      </c>
      <c r="F988" s="3" t="s">
        <v>60</v>
      </c>
      <c r="G988" s="36">
        <v>12.7</v>
      </c>
      <c r="H988" s="35">
        <v>4.0</v>
      </c>
      <c r="I988" s="37">
        <v>0.6604166666666667</v>
      </c>
      <c r="J988" s="37">
        <v>0.6965277777777777</v>
      </c>
      <c r="K988" s="38">
        <f t="shared" si="15"/>
        <v>0.03611111111</v>
      </c>
      <c r="L988" s="39" t="str">
        <f t="shared" si="2"/>
        <v>Day</v>
      </c>
      <c r="M988" s="39" t="str">
        <f t="array" ref="M988">XLOOKUP(D988,'Category dict'!$B$1:$B$4,'Category dict'!$A$1:$A$4,0,0,1)</f>
        <v>Business</v>
      </c>
      <c r="N988" s="39" t="str">
        <f>VLOOKUP(H988,'Purpose dict'!$A$1:$B$12,2,0)</f>
        <v>Customer Visit</v>
      </c>
    </row>
    <row r="989" hidden="1">
      <c r="A989" s="3" t="s">
        <v>1238</v>
      </c>
      <c r="B989" s="34">
        <v>42696.7625</v>
      </c>
      <c r="C989" s="34">
        <v>42696.76944444444</v>
      </c>
      <c r="D989" s="35">
        <v>423.0</v>
      </c>
      <c r="E989" s="3" t="s">
        <v>60</v>
      </c>
      <c r="F989" s="3" t="s">
        <v>62</v>
      </c>
      <c r="G989" s="36">
        <v>3.0</v>
      </c>
      <c r="H989" s="35">
        <v>1.0</v>
      </c>
      <c r="I989" s="37">
        <v>0.7625</v>
      </c>
      <c r="J989" s="37">
        <v>0.7694444444444445</v>
      </c>
      <c r="K989" s="38">
        <f t="shared" si="15"/>
        <v>0.006944444444</v>
      </c>
      <c r="L989" s="39" t="str">
        <f t="shared" si="2"/>
        <v>Evening</v>
      </c>
      <c r="M989" s="39" t="str">
        <f t="array" ref="M989">XLOOKUP(D989,'Category dict'!$B$1:$B$4,'Category dict'!$A$1:$A$4,0,0,1)</f>
        <v>Business</v>
      </c>
      <c r="N989" s="39" t="str">
        <f>VLOOKUP(H989,'Purpose dict'!$A$1:$B$12,2,0)</f>
        <v>Meal/Entertain</v>
      </c>
    </row>
    <row r="990" hidden="1">
      <c r="A990" s="3" t="s">
        <v>1239</v>
      </c>
      <c r="B990" s="34">
        <v>42696.876388888886</v>
      </c>
      <c r="C990" s="34">
        <v>42696.884722222225</v>
      </c>
      <c r="D990" s="35">
        <v>423.0</v>
      </c>
      <c r="E990" s="3" t="s">
        <v>62</v>
      </c>
      <c r="F990" s="3" t="s">
        <v>60</v>
      </c>
      <c r="G990" s="36">
        <v>3.5</v>
      </c>
      <c r="H990" s="35">
        <v>4.0</v>
      </c>
      <c r="I990" s="37">
        <v>0.8763888888888889</v>
      </c>
      <c r="J990" s="37">
        <v>0.8847222222222222</v>
      </c>
      <c r="K990" s="38">
        <f t="shared" si="15"/>
        <v>0.008333333333</v>
      </c>
      <c r="L990" s="39" t="str">
        <f t="shared" si="2"/>
        <v>Evening</v>
      </c>
      <c r="M990" s="39" t="str">
        <f t="array" ref="M990">XLOOKUP(D990,'Category dict'!$B$1:$B$4,'Category dict'!$A$1:$A$4,0,0,1)</f>
        <v>Business</v>
      </c>
      <c r="N990" s="39" t="str">
        <f>VLOOKUP(H990,'Purpose dict'!$A$1:$B$12,2,0)</f>
        <v>Customer Visit</v>
      </c>
    </row>
    <row r="991" hidden="1">
      <c r="A991" s="3" t="s">
        <v>1240</v>
      </c>
      <c r="B991" s="34">
        <v>42697.64861111111</v>
      </c>
      <c r="C991" s="34">
        <v>42697.65972222222</v>
      </c>
      <c r="D991" s="35">
        <v>423.0</v>
      </c>
      <c r="E991" s="3" t="s">
        <v>60</v>
      </c>
      <c r="F991" s="3" t="s">
        <v>60</v>
      </c>
      <c r="G991" s="36">
        <v>5.9</v>
      </c>
      <c r="H991" s="35">
        <v>1.0</v>
      </c>
      <c r="I991" s="37">
        <v>0.6486111111111111</v>
      </c>
      <c r="J991" s="37">
        <v>0.6597222222222222</v>
      </c>
      <c r="K991" s="38">
        <f t="shared" si="15"/>
        <v>0.01111111111</v>
      </c>
      <c r="L991" s="39" t="str">
        <f t="shared" si="2"/>
        <v>Day</v>
      </c>
      <c r="M991" s="39" t="str">
        <f t="array" ref="M991">XLOOKUP(D991,'Category dict'!$B$1:$B$4,'Category dict'!$A$1:$A$4,0,0,1)</f>
        <v>Business</v>
      </c>
      <c r="N991" s="39" t="str">
        <f>VLOOKUP(H991,'Purpose dict'!$A$1:$B$12,2,0)</f>
        <v>Meal/Entertain</v>
      </c>
    </row>
    <row r="992" hidden="1">
      <c r="A992" s="3" t="s">
        <v>1241</v>
      </c>
      <c r="B992" s="34">
        <v>42697.67916666667</v>
      </c>
      <c r="C992" s="34">
        <v>42697.68680555555</v>
      </c>
      <c r="D992" s="35">
        <v>423.0</v>
      </c>
      <c r="E992" s="3" t="s">
        <v>60</v>
      </c>
      <c r="F992" s="3" t="s">
        <v>60</v>
      </c>
      <c r="G992" s="36">
        <v>1.9</v>
      </c>
      <c r="H992" s="35">
        <v>123.0</v>
      </c>
      <c r="I992" s="37">
        <v>0.6791666666666667</v>
      </c>
      <c r="J992" s="37">
        <v>0.6868055555555556</v>
      </c>
      <c r="K992" s="38">
        <f t="shared" si="15"/>
        <v>0.007638888889</v>
      </c>
      <c r="L992" s="39" t="str">
        <f t="shared" si="2"/>
        <v>Day</v>
      </c>
      <c r="M992" s="39" t="str">
        <f t="array" ref="M992">XLOOKUP(D992,'Category dict'!$B$1:$B$4,'Category dict'!$A$1:$A$4,0,0,1)</f>
        <v>Business</v>
      </c>
      <c r="N992" s="39" t="str">
        <f>VLOOKUP(H992,'Purpose dict'!$A$1:$B$12,2,0)</f>
        <v>NOT DEFINED</v>
      </c>
    </row>
    <row r="993" hidden="1">
      <c r="A993" s="3" t="s">
        <v>1242</v>
      </c>
      <c r="B993" s="34">
        <v>42697.700694444444</v>
      </c>
      <c r="C993" s="34">
        <v>42697.708333333336</v>
      </c>
      <c r="D993" s="35">
        <v>423.0</v>
      </c>
      <c r="E993" s="3" t="s">
        <v>60</v>
      </c>
      <c r="F993" s="3" t="s">
        <v>60</v>
      </c>
      <c r="G993" s="36">
        <v>3.3</v>
      </c>
      <c r="H993" s="35">
        <v>123.0</v>
      </c>
      <c r="I993" s="37">
        <v>0.7006944444444444</v>
      </c>
      <c r="J993" s="37">
        <v>0.7083333333333334</v>
      </c>
      <c r="K993" s="38">
        <f t="shared" si="15"/>
        <v>0.007638888889</v>
      </c>
      <c r="L993" s="39" t="str">
        <f t="shared" si="2"/>
        <v>Day</v>
      </c>
      <c r="M993" s="39" t="str">
        <f t="array" ref="M993">XLOOKUP(D993,'Category dict'!$B$1:$B$4,'Category dict'!$A$1:$A$4,0,0,1)</f>
        <v>Business</v>
      </c>
      <c r="N993" s="39" t="str">
        <f>VLOOKUP(H993,'Purpose dict'!$A$1:$B$12,2,0)</f>
        <v>NOT DEFINED</v>
      </c>
    </row>
    <row r="994">
      <c r="A994" s="3" t="s">
        <v>1243</v>
      </c>
      <c r="B994" s="34">
        <v>42697.77569444444</v>
      </c>
      <c r="C994" s="34">
        <v>42697.782638888886</v>
      </c>
      <c r="D994" s="35">
        <v>423.0</v>
      </c>
      <c r="E994" s="3" t="s">
        <v>60</v>
      </c>
      <c r="F994" s="3" t="s">
        <v>60</v>
      </c>
      <c r="G994" s="40">
        <v>1.3</v>
      </c>
      <c r="H994" s="35">
        <v>123.0</v>
      </c>
      <c r="I994" s="37">
        <v>0.7756944444444445</v>
      </c>
      <c r="J994" s="37">
        <v>0.7826388888888889</v>
      </c>
      <c r="K994" s="38">
        <f t="shared" si="15"/>
        <v>0.006944444444</v>
      </c>
      <c r="L994" s="39" t="str">
        <f t="shared" si="2"/>
        <v>Evening</v>
      </c>
      <c r="M994" s="39" t="str">
        <f t="array" ref="M994">XLOOKUP(D994,'Category dict'!$B$1:$B$4,'Category dict'!$A$1:$A$4,0,0,1)</f>
        <v>Business</v>
      </c>
      <c r="N994" s="39" t="str">
        <f>VLOOKUP(H994,'Purpose dict'!$A$1:$B$12,2,0)</f>
        <v>NOT DEFINED</v>
      </c>
    </row>
    <row r="995" hidden="1">
      <c r="A995" s="3" t="s">
        <v>1244</v>
      </c>
      <c r="B995" s="34">
        <v>42699.49097222222</v>
      </c>
      <c r="C995" s="34">
        <v>42699.50277777778</v>
      </c>
      <c r="D995" s="35">
        <v>423.0</v>
      </c>
      <c r="E995" s="3" t="s">
        <v>60</v>
      </c>
      <c r="F995" s="3" t="s">
        <v>101</v>
      </c>
      <c r="G995" s="36">
        <v>10.3</v>
      </c>
      <c r="H995" s="35">
        <v>3.0</v>
      </c>
      <c r="I995" s="37">
        <v>0.4909722222222222</v>
      </c>
      <c r="J995" s="37">
        <v>0.5027777777777778</v>
      </c>
      <c r="K995" s="38">
        <f t="shared" si="15"/>
        <v>0.01180555556</v>
      </c>
      <c r="L995" s="39" t="str">
        <f t="shared" si="2"/>
        <v>Morning</v>
      </c>
      <c r="M995" s="39" t="str">
        <f t="array" ref="M995">XLOOKUP(D995,'Category dict'!$B$1:$B$4,'Category dict'!$A$1:$A$4,0,0,1)</f>
        <v>Business</v>
      </c>
      <c r="N995" s="39" t="str">
        <f>VLOOKUP(H995,'Purpose dict'!$A$1:$B$12,2,0)</f>
        <v>Meeting</v>
      </c>
    </row>
    <row r="996" hidden="1">
      <c r="A996" s="3" t="s">
        <v>1245</v>
      </c>
      <c r="B996" s="34">
        <v>42699.55069444444</v>
      </c>
      <c r="C996" s="34">
        <v>42699.56319444445</v>
      </c>
      <c r="D996" s="35">
        <v>423.0</v>
      </c>
      <c r="E996" s="3" t="s">
        <v>101</v>
      </c>
      <c r="F996" s="3" t="s">
        <v>60</v>
      </c>
      <c r="G996" s="36">
        <v>11.1</v>
      </c>
      <c r="H996" s="35">
        <v>3.0</v>
      </c>
      <c r="I996" s="37">
        <v>0.5506944444444445</v>
      </c>
      <c r="J996" s="37">
        <v>0.5631944444444444</v>
      </c>
      <c r="K996" s="38">
        <f t="shared" si="15"/>
        <v>0.0125</v>
      </c>
      <c r="L996" s="39" t="str">
        <f t="shared" si="2"/>
        <v>Day</v>
      </c>
      <c r="M996" s="39" t="str">
        <f t="array" ref="M996">XLOOKUP(D996,'Category dict'!$B$1:$B$4,'Category dict'!$A$1:$A$4,0,0,1)</f>
        <v>Business</v>
      </c>
      <c r="N996" s="39" t="str">
        <f>VLOOKUP(H996,'Purpose dict'!$A$1:$B$12,2,0)</f>
        <v>Meeting</v>
      </c>
    </row>
    <row r="997">
      <c r="A997" s="3" t="s">
        <v>1246</v>
      </c>
      <c r="B997" s="34">
        <v>42700.6625</v>
      </c>
      <c r="C997" s="34">
        <v>42700.665972222225</v>
      </c>
      <c r="D997" s="35">
        <v>423.0</v>
      </c>
      <c r="E997" s="3" t="s">
        <v>60</v>
      </c>
      <c r="F997" s="3" t="s">
        <v>60</v>
      </c>
      <c r="G997" s="40">
        <v>1.4</v>
      </c>
      <c r="H997" s="35">
        <v>123.0</v>
      </c>
      <c r="I997" s="37">
        <v>0.6625</v>
      </c>
      <c r="J997" s="37">
        <v>0.6659722222222222</v>
      </c>
      <c r="K997" s="38">
        <f t="shared" si="15"/>
        <v>0.003472222222</v>
      </c>
      <c r="L997" s="39" t="str">
        <f t="shared" si="2"/>
        <v>Day</v>
      </c>
      <c r="M997" s="39" t="str">
        <f t="array" ref="M997">XLOOKUP(D997,'Category dict'!$B$1:$B$4,'Category dict'!$A$1:$A$4,0,0,1)</f>
        <v>Business</v>
      </c>
      <c r="N997" s="39" t="str">
        <f>VLOOKUP(H997,'Purpose dict'!$A$1:$B$12,2,0)</f>
        <v>NOT DEFINED</v>
      </c>
    </row>
    <row r="998" hidden="1">
      <c r="A998" s="3" t="s">
        <v>1247</v>
      </c>
      <c r="B998" s="34">
        <v>42700.708333333336</v>
      </c>
      <c r="C998" s="34">
        <v>42700.71666666667</v>
      </c>
      <c r="D998" s="35">
        <v>423.0</v>
      </c>
      <c r="E998" s="3" t="s">
        <v>60</v>
      </c>
      <c r="F998" s="3" t="s">
        <v>142</v>
      </c>
      <c r="G998" s="36">
        <v>5.1</v>
      </c>
      <c r="H998" s="35">
        <v>3.0</v>
      </c>
      <c r="I998" s="37">
        <v>0.7083333333333334</v>
      </c>
      <c r="J998" s="37">
        <v>0.7166666666666667</v>
      </c>
      <c r="K998" s="38">
        <f t="shared" si="15"/>
        <v>0.008333333333</v>
      </c>
      <c r="L998" s="39" t="str">
        <f t="shared" si="2"/>
        <v>Day</v>
      </c>
      <c r="M998" s="39" t="str">
        <f t="array" ref="M998">XLOOKUP(D998,'Category dict'!$B$1:$B$4,'Category dict'!$A$1:$A$4,0,0,1)</f>
        <v>Business</v>
      </c>
      <c r="N998" s="39" t="str">
        <f>VLOOKUP(H998,'Purpose dict'!$A$1:$B$12,2,0)</f>
        <v>Meeting</v>
      </c>
    </row>
    <row r="999" hidden="1">
      <c r="A999" s="3" t="s">
        <v>1248</v>
      </c>
      <c r="B999" s="34">
        <v>42700.73333333333</v>
      </c>
      <c r="C999" s="34">
        <v>42700.74722222222</v>
      </c>
      <c r="D999" s="35">
        <v>423.0</v>
      </c>
      <c r="E999" s="3" t="s">
        <v>142</v>
      </c>
      <c r="F999" s="3" t="s">
        <v>461</v>
      </c>
      <c r="G999" s="36">
        <v>9.0</v>
      </c>
      <c r="H999" s="35">
        <v>3.0</v>
      </c>
      <c r="I999" s="37">
        <v>0.7333333333333333</v>
      </c>
      <c r="J999" s="37">
        <v>0.7472222222222222</v>
      </c>
      <c r="K999" s="38">
        <f t="shared" si="15"/>
        <v>0.01388888889</v>
      </c>
      <c r="L999" s="39" t="str">
        <f t="shared" si="2"/>
        <v>Day</v>
      </c>
      <c r="M999" s="39" t="str">
        <f t="array" ref="M999">XLOOKUP(D999,'Category dict'!$B$1:$B$4,'Category dict'!$A$1:$A$4,0,0,1)</f>
        <v>Business</v>
      </c>
      <c r="N999" s="39" t="str">
        <f>VLOOKUP(H999,'Purpose dict'!$A$1:$B$12,2,0)</f>
        <v>Meeting</v>
      </c>
    </row>
    <row r="1000" hidden="1">
      <c r="A1000" s="3" t="s">
        <v>1249</v>
      </c>
      <c r="B1000" s="34">
        <v>42700.77013888889</v>
      </c>
      <c r="C1000" s="34">
        <v>42700.794444444444</v>
      </c>
      <c r="D1000" s="35">
        <v>423.0</v>
      </c>
      <c r="E1000" s="3" t="s">
        <v>461</v>
      </c>
      <c r="F1000" s="3" t="s">
        <v>60</v>
      </c>
      <c r="G1000" s="36">
        <v>13.3</v>
      </c>
      <c r="H1000" s="35">
        <v>6.0</v>
      </c>
      <c r="I1000" s="37">
        <v>0.7701388888888889</v>
      </c>
      <c r="J1000" s="37">
        <v>0.7944444444444444</v>
      </c>
      <c r="K1000" s="38">
        <f t="shared" si="15"/>
        <v>0.02430555556</v>
      </c>
      <c r="L1000" s="39" t="str">
        <f t="shared" si="2"/>
        <v>Evening</v>
      </c>
      <c r="M1000" s="39" t="str">
        <f t="array" ref="M1000">XLOOKUP(D1000,'Category dict'!$B$1:$B$4,'Category dict'!$A$1:$A$4,0,0,1)</f>
        <v>Business</v>
      </c>
      <c r="N1000" s="39" t="str">
        <f>VLOOKUP(H1000,'Purpose dict'!$A$1:$B$12,2,0)</f>
        <v>Between Offices</v>
      </c>
    </row>
    <row r="1001" hidden="1">
      <c r="A1001" s="3" t="s">
        <v>1250</v>
      </c>
      <c r="B1001" s="34">
        <v>42700.82430555556</v>
      </c>
      <c r="C1001" s="34">
        <v>42700.82916666667</v>
      </c>
      <c r="D1001" s="35">
        <v>423.0</v>
      </c>
      <c r="E1001" s="3" t="s">
        <v>60</v>
      </c>
      <c r="F1001" s="3" t="s">
        <v>60</v>
      </c>
      <c r="G1001" s="36">
        <v>2.5</v>
      </c>
      <c r="H1001" s="35">
        <v>2.0</v>
      </c>
      <c r="I1001" s="37">
        <v>0.8243055555555555</v>
      </c>
      <c r="J1001" s="37">
        <v>0.8291666666666667</v>
      </c>
      <c r="K1001" s="38">
        <f t="shared" si="15"/>
        <v>0.004861111111</v>
      </c>
      <c r="L1001" s="39" t="str">
        <f t="shared" si="2"/>
        <v>Evening</v>
      </c>
      <c r="M1001" s="39" t="str">
        <f t="array" ref="M1001">XLOOKUP(D1001,'Category dict'!$B$1:$B$4,'Category dict'!$A$1:$A$4,0,0,1)</f>
        <v>Business</v>
      </c>
      <c r="N1001" s="39" t="str">
        <f>VLOOKUP(H1001,'Purpose dict'!$A$1:$B$12,2,0)</f>
        <v>Errand/Supplies</v>
      </c>
    </row>
    <row r="1002" hidden="1">
      <c r="A1002" s="3" t="s">
        <v>1251</v>
      </c>
      <c r="B1002" s="34">
        <v>42701.665972222225</v>
      </c>
      <c r="C1002" s="34">
        <v>42701.67083333333</v>
      </c>
      <c r="D1002" s="35">
        <v>423.0</v>
      </c>
      <c r="E1002" s="3" t="s">
        <v>60</v>
      </c>
      <c r="F1002" s="3" t="s">
        <v>62</v>
      </c>
      <c r="G1002" s="36">
        <v>3.3</v>
      </c>
      <c r="H1002" s="35">
        <v>1.0</v>
      </c>
      <c r="I1002" s="37">
        <v>0.6659722222222222</v>
      </c>
      <c r="J1002" s="37">
        <v>0.6708333333333333</v>
      </c>
      <c r="K1002" s="38">
        <f t="shared" si="15"/>
        <v>0.004861111111</v>
      </c>
      <c r="L1002" s="39" t="str">
        <f t="shared" si="2"/>
        <v>Day</v>
      </c>
      <c r="M1002" s="39" t="str">
        <f t="array" ref="M1002">XLOOKUP(D1002,'Category dict'!$B$1:$B$4,'Category dict'!$A$1:$A$4,0,0,1)</f>
        <v>Business</v>
      </c>
      <c r="N1002" s="39" t="str">
        <f>VLOOKUP(H1002,'Purpose dict'!$A$1:$B$12,2,0)</f>
        <v>Meal/Entertain</v>
      </c>
    </row>
    <row r="1003" hidden="1">
      <c r="A1003" s="3" t="s">
        <v>1252</v>
      </c>
      <c r="B1003" s="34">
        <v>42701.788194444445</v>
      </c>
      <c r="C1003" s="34">
        <v>42701.79791666667</v>
      </c>
      <c r="D1003" s="35">
        <v>423.0</v>
      </c>
      <c r="E1003" s="3" t="s">
        <v>62</v>
      </c>
      <c r="F1003" s="3" t="s">
        <v>60</v>
      </c>
      <c r="G1003" s="36">
        <v>2.9</v>
      </c>
      <c r="H1003" s="35">
        <v>123.0</v>
      </c>
      <c r="I1003" s="37">
        <v>0.7881944444444444</v>
      </c>
      <c r="J1003" s="37">
        <v>0.7979166666666667</v>
      </c>
      <c r="K1003" s="38">
        <f t="shared" si="15"/>
        <v>0.009722222222</v>
      </c>
      <c r="L1003" s="39" t="str">
        <f t="shared" si="2"/>
        <v>Evening</v>
      </c>
      <c r="M1003" s="39" t="str">
        <f t="array" ref="M1003">XLOOKUP(D1003,'Category dict'!$B$1:$B$4,'Category dict'!$A$1:$A$4,0,0,1)</f>
        <v>Business</v>
      </c>
      <c r="N1003" s="39" t="str">
        <f>VLOOKUP(H1003,'Purpose dict'!$A$1:$B$12,2,0)</f>
        <v>NOT DEFINED</v>
      </c>
    </row>
    <row r="1004" hidden="1">
      <c r="A1004" s="3" t="s">
        <v>1253</v>
      </c>
      <c r="B1004" s="34">
        <v>42704.46041666667</v>
      </c>
      <c r="C1004" s="34">
        <v>42704.481944444444</v>
      </c>
      <c r="D1004" s="35">
        <v>423.0</v>
      </c>
      <c r="E1004" s="3" t="s">
        <v>60</v>
      </c>
      <c r="F1004" s="3" t="s">
        <v>111</v>
      </c>
      <c r="G1004" s="36">
        <v>8.5</v>
      </c>
      <c r="H1004" s="35">
        <v>4.0</v>
      </c>
      <c r="I1004" s="37">
        <v>0.46041666666666664</v>
      </c>
      <c r="J1004" s="37">
        <v>0.48194444444444445</v>
      </c>
      <c r="K1004" s="38">
        <f t="shared" si="15"/>
        <v>0.02152777778</v>
      </c>
      <c r="L1004" s="39" t="str">
        <f t="shared" si="2"/>
        <v>Morning</v>
      </c>
      <c r="M1004" s="39" t="str">
        <f t="array" ref="M1004">XLOOKUP(D1004,'Category dict'!$B$1:$B$4,'Category dict'!$A$1:$A$4,0,0,1)</f>
        <v>Business</v>
      </c>
      <c r="N1004" s="39" t="str">
        <f>VLOOKUP(H1004,'Purpose dict'!$A$1:$B$12,2,0)</f>
        <v>Customer Visit</v>
      </c>
    </row>
    <row r="1005" hidden="1">
      <c r="A1005" s="3" t="s">
        <v>1254</v>
      </c>
      <c r="B1005" s="34">
        <v>42704.49513888889</v>
      </c>
      <c r="C1005" s="34">
        <v>42704.524305555555</v>
      </c>
      <c r="D1005" s="35">
        <v>423.0</v>
      </c>
      <c r="E1005" s="3" t="s">
        <v>111</v>
      </c>
      <c r="F1005" s="3" t="s">
        <v>62</v>
      </c>
      <c r="G1005" s="36">
        <v>6.7</v>
      </c>
      <c r="H1005" s="35">
        <v>5.0</v>
      </c>
      <c r="I1005" s="37">
        <v>0.4951388888888889</v>
      </c>
      <c r="J1005" s="37">
        <v>0.5243055555555556</v>
      </c>
      <c r="K1005" s="38">
        <f t="shared" si="15"/>
        <v>0.02916666667</v>
      </c>
      <c r="L1005" s="39" t="str">
        <f t="shared" si="2"/>
        <v>Morning</v>
      </c>
      <c r="M1005" s="39" t="str">
        <f t="array" ref="M1005">XLOOKUP(D1005,'Category dict'!$B$1:$B$4,'Category dict'!$A$1:$A$4,0,0,1)</f>
        <v>Business</v>
      </c>
      <c r="N1005" s="39" t="str">
        <f>VLOOKUP(H1005,'Purpose dict'!$A$1:$B$12,2,0)</f>
        <v>Temporary Site</v>
      </c>
    </row>
    <row r="1006" hidden="1">
      <c r="A1006" s="3" t="s">
        <v>1255</v>
      </c>
      <c r="B1006" s="34">
        <v>42704.529861111114</v>
      </c>
      <c r="C1006" s="34">
        <v>42704.53680555556</v>
      </c>
      <c r="D1006" s="35">
        <v>423.0</v>
      </c>
      <c r="E1006" s="3" t="s">
        <v>62</v>
      </c>
      <c r="F1006" s="3" t="s">
        <v>60</v>
      </c>
      <c r="G1006" s="36">
        <v>3.1</v>
      </c>
      <c r="H1006" s="35">
        <v>123.0</v>
      </c>
      <c r="I1006" s="37">
        <v>0.5298611111111111</v>
      </c>
      <c r="J1006" s="37">
        <v>0.5368055555555555</v>
      </c>
      <c r="K1006" s="38">
        <f t="shared" si="15"/>
        <v>0.006944444444</v>
      </c>
      <c r="L1006" s="39" t="str">
        <f t="shared" si="2"/>
        <v>Day</v>
      </c>
      <c r="M1006" s="39" t="str">
        <f t="array" ref="M1006">XLOOKUP(D1006,'Category dict'!$B$1:$B$4,'Category dict'!$A$1:$A$4,0,0,1)</f>
        <v>Business</v>
      </c>
      <c r="N1006" s="39" t="str">
        <f>VLOOKUP(H1006,'Purpose dict'!$A$1:$B$12,2,0)</f>
        <v>NOT DEFINED</v>
      </c>
    </row>
    <row r="1007" hidden="1">
      <c r="A1007" s="3" t="s">
        <v>1256</v>
      </c>
      <c r="B1007" s="34">
        <v>42705.322222222225</v>
      </c>
      <c r="C1007" s="34">
        <v>42705.33263888889</v>
      </c>
      <c r="D1007" s="35">
        <v>423.0</v>
      </c>
      <c r="E1007" s="3" t="s">
        <v>60</v>
      </c>
      <c r="F1007" s="3" t="s">
        <v>60</v>
      </c>
      <c r="G1007" s="36">
        <v>5.5</v>
      </c>
      <c r="H1007" s="35">
        <v>3.0</v>
      </c>
      <c r="I1007" s="37">
        <v>0.32222222222222224</v>
      </c>
      <c r="J1007" s="37">
        <v>0.3326388888888889</v>
      </c>
      <c r="K1007" s="38">
        <f t="shared" si="15"/>
        <v>0.01041666667</v>
      </c>
      <c r="L1007" s="39" t="str">
        <f t="shared" si="2"/>
        <v>Morning</v>
      </c>
      <c r="M1007" s="39" t="str">
        <f t="array" ref="M1007">XLOOKUP(D1007,'Category dict'!$B$1:$B$4,'Category dict'!$A$1:$A$4,0,0,1)</f>
        <v>Business</v>
      </c>
      <c r="N1007" s="39" t="str">
        <f>VLOOKUP(H1007,'Purpose dict'!$A$1:$B$12,2,0)</f>
        <v>Meeting</v>
      </c>
    </row>
    <row r="1008" hidden="1">
      <c r="A1008" s="3" t="s">
        <v>1257</v>
      </c>
      <c r="B1008" s="34">
        <v>42705.35902777778</v>
      </c>
      <c r="C1008" s="34">
        <v>42705.37013888889</v>
      </c>
      <c r="D1008" s="35">
        <v>423.0</v>
      </c>
      <c r="E1008" s="3" t="s">
        <v>60</v>
      </c>
      <c r="F1008" s="3" t="s">
        <v>60</v>
      </c>
      <c r="G1008" s="36">
        <v>5.5</v>
      </c>
      <c r="H1008" s="35">
        <v>2.0</v>
      </c>
      <c r="I1008" s="37">
        <v>0.3590277777777778</v>
      </c>
      <c r="J1008" s="37">
        <v>0.3701388888888889</v>
      </c>
      <c r="K1008" s="38">
        <f t="shared" si="15"/>
        <v>0.01111111111</v>
      </c>
      <c r="L1008" s="39" t="str">
        <f t="shared" si="2"/>
        <v>Morning</v>
      </c>
      <c r="M1008" s="39" t="str">
        <f t="array" ref="M1008">XLOOKUP(D1008,'Category dict'!$B$1:$B$4,'Category dict'!$A$1:$A$4,0,0,1)</f>
        <v>Business</v>
      </c>
      <c r="N1008" s="39" t="str">
        <f>VLOOKUP(H1008,'Purpose dict'!$A$1:$B$12,2,0)</f>
        <v>Errand/Supplies</v>
      </c>
    </row>
    <row r="1009" hidden="1">
      <c r="A1009" s="3" t="s">
        <v>1258</v>
      </c>
      <c r="B1009" s="34">
        <v>42705.75</v>
      </c>
      <c r="C1009" s="34">
        <v>42705.75833333333</v>
      </c>
      <c r="D1009" s="35">
        <v>423.0</v>
      </c>
      <c r="E1009" s="3" t="s">
        <v>60</v>
      </c>
      <c r="F1009" s="3" t="s">
        <v>62</v>
      </c>
      <c r="G1009" s="36">
        <v>2.9</v>
      </c>
      <c r="H1009" s="35">
        <v>1.0</v>
      </c>
      <c r="I1009" s="37">
        <v>0.75</v>
      </c>
      <c r="J1009" s="37">
        <v>0.7583333333333333</v>
      </c>
      <c r="K1009" s="38">
        <f t="shared" si="15"/>
        <v>0.008333333333</v>
      </c>
      <c r="L1009" s="39" t="str">
        <f t="shared" si="2"/>
        <v>Day</v>
      </c>
      <c r="M1009" s="39" t="str">
        <f t="array" ref="M1009">XLOOKUP(D1009,'Category dict'!$B$1:$B$4,'Category dict'!$A$1:$A$4,0,0,1)</f>
        <v>Business</v>
      </c>
      <c r="N1009" s="39" t="str">
        <f>VLOOKUP(H1009,'Purpose dict'!$A$1:$B$12,2,0)</f>
        <v>Meal/Entertain</v>
      </c>
    </row>
    <row r="1010" hidden="1">
      <c r="A1010" s="3" t="s">
        <v>1259</v>
      </c>
      <c r="B1010" s="34">
        <v>42705.85833333333</v>
      </c>
      <c r="C1010" s="34">
        <v>42705.865277777775</v>
      </c>
      <c r="D1010" s="35">
        <v>423.0</v>
      </c>
      <c r="E1010" s="3" t="s">
        <v>62</v>
      </c>
      <c r="F1010" s="3" t="s">
        <v>60</v>
      </c>
      <c r="G1010" s="36">
        <v>2.9</v>
      </c>
      <c r="H1010" s="35">
        <v>4.0</v>
      </c>
      <c r="I1010" s="37">
        <v>0.8583333333333333</v>
      </c>
      <c r="J1010" s="37">
        <v>0.8652777777777778</v>
      </c>
      <c r="K1010" s="38">
        <f t="shared" si="15"/>
        <v>0.006944444444</v>
      </c>
      <c r="L1010" s="39" t="str">
        <f t="shared" si="2"/>
        <v>Evening</v>
      </c>
      <c r="M1010" s="39" t="str">
        <f t="array" ref="M1010">XLOOKUP(D1010,'Category dict'!$B$1:$B$4,'Category dict'!$A$1:$A$4,0,0,1)</f>
        <v>Business</v>
      </c>
      <c r="N1010" s="39" t="str">
        <f>VLOOKUP(H1010,'Purpose dict'!$A$1:$B$12,2,0)</f>
        <v>Customer Visit</v>
      </c>
    </row>
    <row r="1011" hidden="1">
      <c r="A1011" s="3" t="s">
        <v>1260</v>
      </c>
      <c r="B1011" s="34">
        <v>42706.50833333333</v>
      </c>
      <c r="C1011" s="34">
        <v>42706.51597222222</v>
      </c>
      <c r="D1011" s="35">
        <v>423.0</v>
      </c>
      <c r="E1011" s="3" t="s">
        <v>60</v>
      </c>
      <c r="F1011" s="3" t="s">
        <v>142</v>
      </c>
      <c r="G1011" s="36">
        <v>5.1</v>
      </c>
      <c r="H1011" s="35">
        <v>1.0</v>
      </c>
      <c r="I1011" s="37">
        <v>0.5083333333333333</v>
      </c>
      <c r="J1011" s="37">
        <v>0.5159722222222223</v>
      </c>
      <c r="K1011" s="38">
        <f t="shared" si="15"/>
        <v>0.007638888889</v>
      </c>
      <c r="L1011" s="39" t="str">
        <f t="shared" si="2"/>
        <v>Day</v>
      </c>
      <c r="M1011" s="39" t="str">
        <f t="array" ref="M1011">XLOOKUP(D1011,'Category dict'!$B$1:$B$4,'Category dict'!$A$1:$A$4,0,0,1)</f>
        <v>Business</v>
      </c>
      <c r="N1011" s="39" t="str">
        <f>VLOOKUP(H1011,'Purpose dict'!$A$1:$B$12,2,0)</f>
        <v>Meal/Entertain</v>
      </c>
    </row>
    <row r="1012" hidden="1">
      <c r="A1012" s="3" t="s">
        <v>1261</v>
      </c>
      <c r="B1012" s="34">
        <v>42706.54652777778</v>
      </c>
      <c r="C1012" s="34">
        <v>42706.55694444444</v>
      </c>
      <c r="D1012" s="35">
        <v>423.0</v>
      </c>
      <c r="E1012" s="3" t="s">
        <v>142</v>
      </c>
      <c r="F1012" s="3" t="s">
        <v>60</v>
      </c>
      <c r="G1012" s="36">
        <v>5.3</v>
      </c>
      <c r="H1012" s="35">
        <v>4.0</v>
      </c>
      <c r="I1012" s="37">
        <v>0.5465277777777777</v>
      </c>
      <c r="J1012" s="37">
        <v>0.5569444444444445</v>
      </c>
      <c r="K1012" s="38">
        <f t="shared" si="15"/>
        <v>0.01041666667</v>
      </c>
      <c r="L1012" s="39" t="str">
        <f t="shared" si="2"/>
        <v>Day</v>
      </c>
      <c r="M1012" s="39" t="str">
        <f t="array" ref="M1012">XLOOKUP(D1012,'Category dict'!$B$1:$B$4,'Category dict'!$A$1:$A$4,0,0,1)</f>
        <v>Business</v>
      </c>
      <c r="N1012" s="39" t="str">
        <f>VLOOKUP(H1012,'Purpose dict'!$A$1:$B$12,2,0)</f>
        <v>Customer Visit</v>
      </c>
    </row>
    <row r="1013" hidden="1">
      <c r="A1013" s="3" t="s">
        <v>1262</v>
      </c>
      <c r="B1013" s="34">
        <v>42706.861805555556</v>
      </c>
      <c r="C1013" s="34">
        <v>42706.86666666667</v>
      </c>
      <c r="D1013" s="35">
        <v>423.0</v>
      </c>
      <c r="E1013" s="3" t="s">
        <v>60</v>
      </c>
      <c r="F1013" s="3" t="s">
        <v>62</v>
      </c>
      <c r="G1013" s="36">
        <v>3.3</v>
      </c>
      <c r="H1013" s="35">
        <v>1.0</v>
      </c>
      <c r="I1013" s="37">
        <v>0.8618055555555556</v>
      </c>
      <c r="J1013" s="37">
        <v>0.8666666666666667</v>
      </c>
      <c r="K1013" s="38">
        <f t="shared" si="15"/>
        <v>0.004861111111</v>
      </c>
      <c r="L1013" s="39" t="str">
        <f t="shared" si="2"/>
        <v>Evening</v>
      </c>
      <c r="M1013" s="39" t="str">
        <f t="array" ref="M1013">XLOOKUP(D1013,'Category dict'!$B$1:$B$4,'Category dict'!$A$1:$A$4,0,0,1)</f>
        <v>Business</v>
      </c>
      <c r="N1013" s="39" t="str">
        <f>VLOOKUP(H1013,'Purpose dict'!$A$1:$B$12,2,0)</f>
        <v>Meal/Entertain</v>
      </c>
    </row>
    <row r="1014" hidden="1">
      <c r="A1014" s="3" t="s">
        <v>1263</v>
      </c>
      <c r="B1014" s="34">
        <v>42706.95763888889</v>
      </c>
      <c r="C1014" s="34">
        <v>42706.96319444444</v>
      </c>
      <c r="D1014" s="35">
        <v>423.0</v>
      </c>
      <c r="E1014" s="3" t="s">
        <v>62</v>
      </c>
      <c r="F1014" s="3" t="s">
        <v>60</v>
      </c>
      <c r="G1014" s="36">
        <v>3.0</v>
      </c>
      <c r="H1014" s="35">
        <v>4.0</v>
      </c>
      <c r="I1014" s="37">
        <v>0.9576388888888889</v>
      </c>
      <c r="J1014" s="37">
        <v>0.9631944444444445</v>
      </c>
      <c r="K1014" s="38">
        <f t="shared" si="15"/>
        <v>0.005555555556</v>
      </c>
      <c r="L1014" s="39" t="str">
        <f t="shared" si="2"/>
        <v>Evening</v>
      </c>
      <c r="M1014" s="39" t="str">
        <f t="array" ref="M1014">XLOOKUP(D1014,'Category dict'!$B$1:$B$4,'Category dict'!$A$1:$A$4,0,0,1)</f>
        <v>Business</v>
      </c>
      <c r="N1014" s="39" t="str">
        <f>VLOOKUP(H1014,'Purpose dict'!$A$1:$B$12,2,0)</f>
        <v>Customer Visit</v>
      </c>
    </row>
    <row r="1015" hidden="1">
      <c r="A1015" s="3" t="s">
        <v>1264</v>
      </c>
      <c r="B1015" s="34">
        <v>42707.774305555555</v>
      </c>
      <c r="C1015" s="34">
        <v>42707.78888888889</v>
      </c>
      <c r="D1015" s="35">
        <v>423.0</v>
      </c>
      <c r="E1015" s="3" t="s">
        <v>60</v>
      </c>
      <c r="F1015" s="3" t="s">
        <v>1265</v>
      </c>
      <c r="G1015" s="36">
        <v>6.6</v>
      </c>
      <c r="H1015" s="35">
        <v>2.0</v>
      </c>
      <c r="I1015" s="37">
        <v>0.7743055555555556</v>
      </c>
      <c r="J1015" s="37">
        <v>0.7888888888888889</v>
      </c>
      <c r="K1015" s="38">
        <f t="shared" si="15"/>
        <v>0.01458333333</v>
      </c>
      <c r="L1015" s="39" t="str">
        <f t="shared" si="2"/>
        <v>Evening</v>
      </c>
      <c r="M1015" s="39" t="str">
        <f t="array" ref="M1015">XLOOKUP(D1015,'Category dict'!$B$1:$B$4,'Category dict'!$A$1:$A$4,0,0,1)</f>
        <v>Business</v>
      </c>
      <c r="N1015" s="39" t="str">
        <f>VLOOKUP(H1015,'Purpose dict'!$A$1:$B$12,2,0)</f>
        <v>Errand/Supplies</v>
      </c>
    </row>
    <row r="1016" hidden="1">
      <c r="A1016" s="3" t="s">
        <v>1266</v>
      </c>
      <c r="B1016" s="34">
        <v>42707.79722222222</v>
      </c>
      <c r="C1016" s="34">
        <v>42707.802083333336</v>
      </c>
      <c r="D1016" s="35">
        <v>423.0</v>
      </c>
      <c r="E1016" s="3" t="s">
        <v>1265</v>
      </c>
      <c r="F1016" s="3" t="s">
        <v>62</v>
      </c>
      <c r="G1016" s="36">
        <v>1.8</v>
      </c>
      <c r="H1016" s="35">
        <v>123.0</v>
      </c>
      <c r="I1016" s="37">
        <v>0.7972222222222223</v>
      </c>
      <c r="J1016" s="37">
        <v>0.8020833333333334</v>
      </c>
      <c r="K1016" s="38">
        <f t="shared" si="15"/>
        <v>0.004861111111</v>
      </c>
      <c r="L1016" s="39" t="str">
        <f t="shared" si="2"/>
        <v>Evening</v>
      </c>
      <c r="M1016" s="39" t="str">
        <f t="array" ref="M1016">XLOOKUP(D1016,'Category dict'!$B$1:$B$4,'Category dict'!$A$1:$A$4,0,0,1)</f>
        <v>Business</v>
      </c>
      <c r="N1016" s="39" t="str">
        <f>VLOOKUP(H1016,'Purpose dict'!$A$1:$B$12,2,0)</f>
        <v>NOT DEFINED</v>
      </c>
    </row>
    <row r="1017" hidden="1">
      <c r="A1017" s="3" t="s">
        <v>1267</v>
      </c>
      <c r="B1017" s="34">
        <v>42707.85486111111</v>
      </c>
      <c r="C1017" s="34">
        <v>42707.861805555556</v>
      </c>
      <c r="D1017" s="35">
        <v>423.0</v>
      </c>
      <c r="E1017" s="3" t="s">
        <v>62</v>
      </c>
      <c r="F1017" s="3" t="s">
        <v>60</v>
      </c>
      <c r="G1017" s="36">
        <v>3.0</v>
      </c>
      <c r="H1017" s="35">
        <v>4.0</v>
      </c>
      <c r="I1017" s="37">
        <v>0.8548611111111111</v>
      </c>
      <c r="J1017" s="37">
        <v>0.8618055555555556</v>
      </c>
      <c r="K1017" s="38">
        <f t="shared" si="15"/>
        <v>0.006944444444</v>
      </c>
      <c r="L1017" s="39" t="str">
        <f t="shared" si="2"/>
        <v>Evening</v>
      </c>
      <c r="M1017" s="39" t="str">
        <f t="array" ref="M1017">XLOOKUP(D1017,'Category dict'!$B$1:$B$4,'Category dict'!$A$1:$A$4,0,0,1)</f>
        <v>Business</v>
      </c>
      <c r="N1017" s="39" t="str">
        <f>VLOOKUP(H1017,'Purpose dict'!$A$1:$B$12,2,0)</f>
        <v>Customer Visit</v>
      </c>
    </row>
    <row r="1018" hidden="1">
      <c r="A1018" s="3" t="s">
        <v>1268</v>
      </c>
      <c r="B1018" s="34">
        <v>42708.78888888889</v>
      </c>
      <c r="C1018" s="34">
        <v>42708.79375</v>
      </c>
      <c r="D1018" s="35">
        <v>423.0</v>
      </c>
      <c r="E1018" s="3" t="s">
        <v>60</v>
      </c>
      <c r="F1018" s="3" t="s">
        <v>62</v>
      </c>
      <c r="G1018" s="36">
        <v>2.9</v>
      </c>
      <c r="H1018" s="35">
        <v>1.0</v>
      </c>
      <c r="I1018" s="37">
        <v>0.7888888888888889</v>
      </c>
      <c r="J1018" s="37">
        <v>0.79375</v>
      </c>
      <c r="K1018" s="38">
        <f t="shared" si="15"/>
        <v>0.004861111111</v>
      </c>
      <c r="L1018" s="39" t="str">
        <f t="shared" si="2"/>
        <v>Evening</v>
      </c>
      <c r="M1018" s="39" t="str">
        <f t="array" ref="M1018">XLOOKUP(D1018,'Category dict'!$B$1:$B$4,'Category dict'!$A$1:$A$4,0,0,1)</f>
        <v>Business</v>
      </c>
      <c r="N1018" s="39" t="str">
        <f>VLOOKUP(H1018,'Purpose dict'!$A$1:$B$12,2,0)</f>
        <v>Meal/Entertain</v>
      </c>
    </row>
    <row r="1019" hidden="1">
      <c r="A1019" s="3" t="s">
        <v>1269</v>
      </c>
      <c r="B1019" s="34">
        <v>42708.84930555556</v>
      </c>
      <c r="C1019" s="34">
        <v>42708.856944444444</v>
      </c>
      <c r="D1019" s="35">
        <v>423.0</v>
      </c>
      <c r="E1019" s="3" t="s">
        <v>62</v>
      </c>
      <c r="F1019" s="3" t="s">
        <v>60</v>
      </c>
      <c r="G1019" s="36">
        <v>3.4</v>
      </c>
      <c r="H1019" s="35">
        <v>4.0</v>
      </c>
      <c r="I1019" s="37">
        <v>0.8493055555555555</v>
      </c>
      <c r="J1019" s="37">
        <v>0.8569444444444444</v>
      </c>
      <c r="K1019" s="38">
        <f t="shared" si="15"/>
        <v>0.007638888889</v>
      </c>
      <c r="L1019" s="39" t="str">
        <f t="shared" si="2"/>
        <v>Evening</v>
      </c>
      <c r="M1019" s="39" t="str">
        <f t="array" ref="M1019">XLOOKUP(D1019,'Category dict'!$B$1:$B$4,'Category dict'!$A$1:$A$4,0,0,1)</f>
        <v>Business</v>
      </c>
      <c r="N1019" s="39" t="str">
        <f>VLOOKUP(H1019,'Purpose dict'!$A$1:$B$12,2,0)</f>
        <v>Customer Visit</v>
      </c>
    </row>
    <row r="1020" hidden="1">
      <c r="A1020" s="3" t="s">
        <v>1270</v>
      </c>
      <c r="B1020" s="34">
        <v>42709.75277777778</v>
      </c>
      <c r="C1020" s="34">
        <v>42709.76180555556</v>
      </c>
      <c r="D1020" s="35">
        <v>423.0</v>
      </c>
      <c r="E1020" s="3" t="s">
        <v>60</v>
      </c>
      <c r="F1020" s="3" t="s">
        <v>60</v>
      </c>
      <c r="G1020" s="36">
        <v>4.1</v>
      </c>
      <c r="H1020" s="35">
        <v>123.0</v>
      </c>
      <c r="I1020" s="37">
        <v>0.7527777777777778</v>
      </c>
      <c r="J1020" s="37">
        <v>0.7618055555555555</v>
      </c>
      <c r="K1020" s="38">
        <f t="shared" si="15"/>
        <v>0.009027777778</v>
      </c>
      <c r="L1020" s="39" t="str">
        <f t="shared" si="2"/>
        <v>Evening</v>
      </c>
      <c r="M1020" s="39" t="str">
        <f t="array" ref="M1020">XLOOKUP(D1020,'Category dict'!$B$1:$B$4,'Category dict'!$A$1:$A$4,0,0,1)</f>
        <v>Business</v>
      </c>
      <c r="N1020" s="39" t="str">
        <f>VLOOKUP(H1020,'Purpose dict'!$A$1:$B$12,2,0)</f>
        <v>NOT DEFINED</v>
      </c>
    </row>
    <row r="1021" hidden="1">
      <c r="A1021" s="3" t="s">
        <v>1271</v>
      </c>
      <c r="B1021" s="34">
        <v>42709.80694444444</v>
      </c>
      <c r="C1021" s="34">
        <v>42709.81736111111</v>
      </c>
      <c r="D1021" s="35">
        <v>423.0</v>
      </c>
      <c r="E1021" s="3" t="s">
        <v>60</v>
      </c>
      <c r="F1021" s="3" t="s">
        <v>60</v>
      </c>
      <c r="G1021" s="36">
        <v>3.8</v>
      </c>
      <c r="H1021" s="35">
        <v>1.0</v>
      </c>
      <c r="I1021" s="37">
        <v>0.8069444444444445</v>
      </c>
      <c r="J1021" s="37">
        <v>0.8173611111111111</v>
      </c>
      <c r="K1021" s="38">
        <f t="shared" si="15"/>
        <v>0.01041666667</v>
      </c>
      <c r="L1021" s="39" t="str">
        <f t="shared" si="2"/>
        <v>Evening</v>
      </c>
      <c r="M1021" s="39" t="str">
        <f t="array" ref="M1021">XLOOKUP(D1021,'Category dict'!$B$1:$B$4,'Category dict'!$A$1:$A$4,0,0,1)</f>
        <v>Business</v>
      </c>
      <c r="N1021" s="39" t="str">
        <f>VLOOKUP(H1021,'Purpose dict'!$A$1:$B$12,2,0)</f>
        <v>Meal/Entertain</v>
      </c>
    </row>
    <row r="1022" hidden="1">
      <c r="A1022" s="3" t="s">
        <v>1272</v>
      </c>
      <c r="B1022" s="34">
        <v>42711.50208333333</v>
      </c>
      <c r="C1022" s="34">
        <v>42711.52222222222</v>
      </c>
      <c r="D1022" s="35">
        <v>423.0</v>
      </c>
      <c r="E1022" s="3" t="s">
        <v>60</v>
      </c>
      <c r="F1022" s="3" t="s">
        <v>60</v>
      </c>
      <c r="G1022" s="36">
        <v>6.6</v>
      </c>
      <c r="H1022" s="35">
        <v>3.0</v>
      </c>
      <c r="I1022" s="37">
        <v>0.5020833333333333</v>
      </c>
      <c r="J1022" s="37">
        <v>0.5222222222222223</v>
      </c>
      <c r="K1022" s="38">
        <f t="shared" si="15"/>
        <v>0.02013888889</v>
      </c>
      <c r="L1022" s="39" t="str">
        <f t="shared" si="2"/>
        <v>Day</v>
      </c>
      <c r="M1022" s="39" t="str">
        <f t="array" ref="M1022">XLOOKUP(D1022,'Category dict'!$B$1:$B$4,'Category dict'!$A$1:$A$4,0,0,1)</f>
        <v>Business</v>
      </c>
      <c r="N1022" s="39" t="str">
        <f>VLOOKUP(H1022,'Purpose dict'!$A$1:$B$12,2,0)</f>
        <v>Meeting</v>
      </c>
    </row>
    <row r="1023" hidden="1">
      <c r="A1023" s="3" t="s">
        <v>1273</v>
      </c>
      <c r="B1023" s="34">
        <v>42711.524305555555</v>
      </c>
      <c r="C1023" s="34">
        <v>42711.53194444445</v>
      </c>
      <c r="D1023" s="35">
        <v>423.0</v>
      </c>
      <c r="E1023" s="3" t="s">
        <v>60</v>
      </c>
      <c r="F1023" s="3" t="s">
        <v>60</v>
      </c>
      <c r="G1023" s="36">
        <v>4.0</v>
      </c>
      <c r="H1023" s="35">
        <v>3.0</v>
      </c>
      <c r="I1023" s="37">
        <v>0.5243055555555556</v>
      </c>
      <c r="J1023" s="37">
        <v>0.5319444444444444</v>
      </c>
      <c r="K1023" s="38">
        <f t="shared" si="15"/>
        <v>0.007638888889</v>
      </c>
      <c r="L1023" s="39" t="str">
        <f t="shared" si="2"/>
        <v>Day</v>
      </c>
      <c r="M1023" s="39" t="str">
        <f t="array" ref="M1023">XLOOKUP(D1023,'Category dict'!$B$1:$B$4,'Category dict'!$A$1:$A$4,0,0,1)</f>
        <v>Business</v>
      </c>
      <c r="N1023" s="39" t="str">
        <f>VLOOKUP(H1023,'Purpose dict'!$A$1:$B$12,2,0)</f>
        <v>Meeting</v>
      </c>
    </row>
    <row r="1024" hidden="1">
      <c r="A1024" s="3" t="s">
        <v>1274</v>
      </c>
      <c r="B1024" s="34">
        <v>42711.82847222222</v>
      </c>
      <c r="C1024" s="34">
        <v>42711.842361111114</v>
      </c>
      <c r="D1024" s="35">
        <v>423.0</v>
      </c>
      <c r="E1024" s="3" t="s">
        <v>60</v>
      </c>
      <c r="F1024" s="3" t="s">
        <v>60</v>
      </c>
      <c r="G1024" s="36">
        <v>7.0</v>
      </c>
      <c r="H1024" s="35">
        <v>4.0</v>
      </c>
      <c r="I1024" s="37">
        <v>0.8284722222222223</v>
      </c>
      <c r="J1024" s="37">
        <v>0.8423611111111111</v>
      </c>
      <c r="K1024" s="38">
        <f t="shared" si="15"/>
        <v>0.01388888889</v>
      </c>
      <c r="L1024" s="39" t="str">
        <f t="shared" si="2"/>
        <v>Evening</v>
      </c>
      <c r="M1024" s="39" t="str">
        <f t="array" ref="M1024">XLOOKUP(D1024,'Category dict'!$B$1:$B$4,'Category dict'!$A$1:$A$4,0,0,1)</f>
        <v>Business</v>
      </c>
      <c r="N1024" s="39" t="str">
        <f>VLOOKUP(H1024,'Purpose dict'!$A$1:$B$12,2,0)</f>
        <v>Customer Visit</v>
      </c>
    </row>
    <row r="1025" hidden="1">
      <c r="A1025" s="3" t="s">
        <v>1275</v>
      </c>
      <c r="B1025" s="34">
        <v>42711.88402777778</v>
      </c>
      <c r="C1025" s="34">
        <v>42711.90972222222</v>
      </c>
      <c r="D1025" s="35">
        <v>423.0</v>
      </c>
      <c r="E1025" s="3" t="s">
        <v>60</v>
      </c>
      <c r="F1025" s="3" t="s">
        <v>60</v>
      </c>
      <c r="G1025" s="36">
        <v>6.9</v>
      </c>
      <c r="H1025" s="35">
        <v>1.0</v>
      </c>
      <c r="I1025" s="37">
        <v>0.8840277777777777</v>
      </c>
      <c r="J1025" s="37">
        <v>0.9097222222222222</v>
      </c>
      <c r="K1025" s="38">
        <f t="shared" si="15"/>
        <v>0.02569444444</v>
      </c>
      <c r="L1025" s="39" t="str">
        <f t="shared" si="2"/>
        <v>Evening</v>
      </c>
      <c r="M1025" s="39" t="str">
        <f t="array" ref="M1025">XLOOKUP(D1025,'Category dict'!$B$1:$B$4,'Category dict'!$A$1:$A$4,0,0,1)</f>
        <v>Business</v>
      </c>
      <c r="N1025" s="39" t="str">
        <f>VLOOKUP(H1025,'Purpose dict'!$A$1:$B$12,2,0)</f>
        <v>Meal/Entertain</v>
      </c>
    </row>
    <row r="1026" hidden="1">
      <c r="A1026" s="3" t="s">
        <v>1276</v>
      </c>
      <c r="B1026" s="34">
        <v>42712.59652777778</v>
      </c>
      <c r="C1026" s="34">
        <v>42712.60555555556</v>
      </c>
      <c r="D1026" s="35">
        <v>423.0</v>
      </c>
      <c r="E1026" s="3" t="s">
        <v>60</v>
      </c>
      <c r="F1026" s="3" t="s">
        <v>60</v>
      </c>
      <c r="G1026" s="36">
        <v>3.4</v>
      </c>
      <c r="H1026" s="35">
        <v>2.0</v>
      </c>
      <c r="I1026" s="37">
        <v>0.5965277777777778</v>
      </c>
      <c r="J1026" s="37">
        <v>0.6055555555555555</v>
      </c>
      <c r="K1026" s="38">
        <f t="shared" si="15"/>
        <v>0.009027777778</v>
      </c>
      <c r="L1026" s="39" t="str">
        <f t="shared" si="2"/>
        <v>Day</v>
      </c>
      <c r="M1026" s="39" t="str">
        <f t="array" ref="M1026">XLOOKUP(D1026,'Category dict'!$B$1:$B$4,'Category dict'!$A$1:$A$4,0,0,1)</f>
        <v>Business</v>
      </c>
      <c r="N1026" s="39" t="str">
        <f>VLOOKUP(H1026,'Purpose dict'!$A$1:$B$12,2,0)</f>
        <v>Errand/Supplies</v>
      </c>
    </row>
    <row r="1027" hidden="1">
      <c r="A1027" s="3" t="s">
        <v>1277</v>
      </c>
      <c r="B1027" s="34">
        <v>42712.62013888889</v>
      </c>
      <c r="C1027" s="34">
        <v>42712.626388888886</v>
      </c>
      <c r="D1027" s="35">
        <v>423.0</v>
      </c>
      <c r="E1027" s="3" t="s">
        <v>60</v>
      </c>
      <c r="F1027" s="3" t="s">
        <v>60</v>
      </c>
      <c r="G1027" s="36">
        <v>3.4</v>
      </c>
      <c r="H1027" s="35">
        <v>2.0</v>
      </c>
      <c r="I1027" s="37">
        <v>0.6201388888888889</v>
      </c>
      <c r="J1027" s="37">
        <v>0.6263888888888889</v>
      </c>
      <c r="K1027" s="38">
        <f t="shared" si="15"/>
        <v>0.00625</v>
      </c>
      <c r="L1027" s="39" t="str">
        <f t="shared" si="2"/>
        <v>Day</v>
      </c>
      <c r="M1027" s="39" t="str">
        <f t="array" ref="M1027">XLOOKUP(D1027,'Category dict'!$B$1:$B$4,'Category dict'!$A$1:$A$4,0,0,1)</f>
        <v>Business</v>
      </c>
      <c r="N1027" s="39" t="str">
        <f>VLOOKUP(H1027,'Purpose dict'!$A$1:$B$12,2,0)</f>
        <v>Errand/Supplies</v>
      </c>
    </row>
    <row r="1028" hidden="1">
      <c r="A1028" s="3" t="s">
        <v>1278</v>
      </c>
      <c r="B1028" s="34">
        <v>42712.80694444444</v>
      </c>
      <c r="C1028" s="34">
        <v>42712.81041666667</v>
      </c>
      <c r="D1028" s="35">
        <v>423.0</v>
      </c>
      <c r="E1028" s="3" t="s">
        <v>60</v>
      </c>
      <c r="F1028" s="3" t="s">
        <v>60</v>
      </c>
      <c r="G1028" s="36">
        <v>2.0</v>
      </c>
      <c r="H1028" s="35">
        <v>3.0</v>
      </c>
      <c r="I1028" s="37">
        <v>0.8069444444444445</v>
      </c>
      <c r="J1028" s="37">
        <v>0.8104166666666667</v>
      </c>
      <c r="K1028" s="38">
        <f t="shared" si="15"/>
        <v>0.003472222222</v>
      </c>
      <c r="L1028" s="39" t="str">
        <f t="shared" si="2"/>
        <v>Evening</v>
      </c>
      <c r="M1028" s="39" t="str">
        <f t="array" ref="M1028">XLOOKUP(D1028,'Category dict'!$B$1:$B$4,'Category dict'!$A$1:$A$4,0,0,1)</f>
        <v>Business</v>
      </c>
      <c r="N1028" s="39" t="str">
        <f>VLOOKUP(H1028,'Purpose dict'!$A$1:$B$12,2,0)</f>
        <v>Meeting</v>
      </c>
    </row>
    <row r="1029" hidden="1">
      <c r="A1029" s="3" t="s">
        <v>1279</v>
      </c>
      <c r="B1029" s="34">
        <v>42712.893055555556</v>
      </c>
      <c r="C1029" s="34">
        <v>42712.896527777775</v>
      </c>
      <c r="D1029" s="35">
        <v>423.0</v>
      </c>
      <c r="E1029" s="3" t="s">
        <v>60</v>
      </c>
      <c r="F1029" s="3" t="s">
        <v>60</v>
      </c>
      <c r="G1029" s="36">
        <v>2.0</v>
      </c>
      <c r="H1029" s="35">
        <v>2.0</v>
      </c>
      <c r="I1029" s="37">
        <v>0.8930555555555556</v>
      </c>
      <c r="J1029" s="37">
        <v>0.8965277777777778</v>
      </c>
      <c r="K1029" s="38">
        <f t="shared" si="15"/>
        <v>0.003472222222</v>
      </c>
      <c r="L1029" s="39" t="str">
        <f t="shared" si="2"/>
        <v>Evening</v>
      </c>
      <c r="M1029" s="39" t="str">
        <f t="array" ref="M1029">XLOOKUP(D1029,'Category dict'!$B$1:$B$4,'Category dict'!$A$1:$A$4,0,0,1)</f>
        <v>Business</v>
      </c>
      <c r="N1029" s="39" t="str">
        <f>VLOOKUP(H1029,'Purpose dict'!$A$1:$B$12,2,0)</f>
        <v>Errand/Supplies</v>
      </c>
    </row>
    <row r="1030" hidden="1">
      <c r="A1030" s="3" t="s">
        <v>1280</v>
      </c>
      <c r="B1030" s="34">
        <v>42713.50625</v>
      </c>
      <c r="C1030" s="34">
        <v>42713.51666666667</v>
      </c>
      <c r="D1030" s="35">
        <v>423.0</v>
      </c>
      <c r="E1030" s="3" t="s">
        <v>60</v>
      </c>
      <c r="F1030" s="3" t="s">
        <v>142</v>
      </c>
      <c r="G1030" s="36">
        <v>5.1</v>
      </c>
      <c r="H1030" s="35">
        <v>2.0</v>
      </c>
      <c r="I1030" s="37">
        <v>0.50625</v>
      </c>
      <c r="J1030" s="37">
        <v>0.5166666666666667</v>
      </c>
      <c r="K1030" s="38">
        <f t="shared" si="15"/>
        <v>0.01041666667</v>
      </c>
      <c r="L1030" s="39" t="str">
        <f t="shared" si="2"/>
        <v>Day</v>
      </c>
      <c r="M1030" s="39" t="str">
        <f t="array" ref="M1030">XLOOKUP(D1030,'Category dict'!$B$1:$B$4,'Category dict'!$A$1:$A$4,0,0,1)</f>
        <v>Business</v>
      </c>
      <c r="N1030" s="39" t="str">
        <f>VLOOKUP(H1030,'Purpose dict'!$A$1:$B$12,2,0)</f>
        <v>Errand/Supplies</v>
      </c>
    </row>
    <row r="1031" hidden="1">
      <c r="A1031" s="3" t="s">
        <v>1281</v>
      </c>
      <c r="B1031" s="34">
        <v>42713.552083333336</v>
      </c>
      <c r="C1031" s="34">
        <v>42713.57152777778</v>
      </c>
      <c r="D1031" s="35">
        <v>423.0</v>
      </c>
      <c r="E1031" s="3" t="s">
        <v>142</v>
      </c>
      <c r="F1031" s="3" t="s">
        <v>60</v>
      </c>
      <c r="G1031" s="36">
        <v>8.8</v>
      </c>
      <c r="H1031" s="35">
        <v>5.0</v>
      </c>
      <c r="I1031" s="37">
        <v>0.5520833333333334</v>
      </c>
      <c r="J1031" s="37">
        <v>0.5715277777777777</v>
      </c>
      <c r="K1031" s="38">
        <f t="shared" si="15"/>
        <v>0.01944444444</v>
      </c>
      <c r="L1031" s="39" t="str">
        <f t="shared" si="2"/>
        <v>Day</v>
      </c>
      <c r="M1031" s="39" t="str">
        <f t="array" ref="M1031">XLOOKUP(D1031,'Category dict'!$B$1:$B$4,'Category dict'!$A$1:$A$4,0,0,1)</f>
        <v>Business</v>
      </c>
      <c r="N1031" s="39" t="str">
        <f>VLOOKUP(H1031,'Purpose dict'!$A$1:$B$12,2,0)</f>
        <v>Temporary Site</v>
      </c>
    </row>
    <row r="1032" hidden="1">
      <c r="A1032" s="3" t="s">
        <v>1282</v>
      </c>
      <c r="B1032" s="34">
        <v>42713.84097222222</v>
      </c>
      <c r="C1032" s="34">
        <v>42713.856944444444</v>
      </c>
      <c r="D1032" s="35">
        <v>423.0</v>
      </c>
      <c r="E1032" s="3" t="s">
        <v>60</v>
      </c>
      <c r="F1032" s="3" t="s">
        <v>60</v>
      </c>
      <c r="G1032" s="36">
        <v>5.6</v>
      </c>
      <c r="H1032" s="35">
        <v>3.0</v>
      </c>
      <c r="I1032" s="37">
        <v>0.8409722222222222</v>
      </c>
      <c r="J1032" s="37">
        <v>0.8569444444444444</v>
      </c>
      <c r="K1032" s="38">
        <f t="shared" si="15"/>
        <v>0.01597222222</v>
      </c>
      <c r="L1032" s="39" t="str">
        <f t="shared" si="2"/>
        <v>Evening</v>
      </c>
      <c r="M1032" s="39" t="str">
        <f t="array" ref="M1032">XLOOKUP(D1032,'Category dict'!$B$1:$B$4,'Category dict'!$A$1:$A$4,0,0,1)</f>
        <v>Business</v>
      </c>
      <c r="N1032" s="39" t="str">
        <f>VLOOKUP(H1032,'Purpose dict'!$A$1:$B$12,2,0)</f>
        <v>Meeting</v>
      </c>
    </row>
    <row r="1033" hidden="1">
      <c r="A1033" s="3" t="s">
        <v>1283</v>
      </c>
      <c r="B1033" s="34">
        <v>42713.91875</v>
      </c>
      <c r="C1033" s="34">
        <v>42713.95625</v>
      </c>
      <c r="D1033" s="35">
        <v>423.0</v>
      </c>
      <c r="E1033" s="3" t="s">
        <v>60</v>
      </c>
      <c r="F1033" s="3" t="s">
        <v>60</v>
      </c>
      <c r="G1033" s="36">
        <v>18.9</v>
      </c>
      <c r="H1033" s="35">
        <v>4.0</v>
      </c>
      <c r="I1033" s="37">
        <v>0.91875</v>
      </c>
      <c r="J1033" s="37">
        <v>0.95625</v>
      </c>
      <c r="K1033" s="38">
        <f t="shared" si="15"/>
        <v>0.0375</v>
      </c>
      <c r="L1033" s="39" t="str">
        <f t="shared" si="2"/>
        <v>Evening</v>
      </c>
      <c r="M1033" s="39" t="str">
        <f t="array" ref="M1033">XLOOKUP(D1033,'Category dict'!$B$1:$B$4,'Category dict'!$A$1:$A$4,0,0,1)</f>
        <v>Business</v>
      </c>
      <c r="N1033" s="39" t="str">
        <f>VLOOKUP(H1033,'Purpose dict'!$A$1:$B$12,2,0)</f>
        <v>Customer Visit</v>
      </c>
    </row>
    <row r="1034" hidden="1">
      <c r="A1034" s="3" t="s">
        <v>1284</v>
      </c>
      <c r="B1034" s="34">
        <v>42714.529861111114</v>
      </c>
      <c r="C1034" s="34">
        <v>42714.552777777775</v>
      </c>
      <c r="D1034" s="35">
        <v>423.0</v>
      </c>
      <c r="E1034" s="3" t="s">
        <v>60</v>
      </c>
      <c r="F1034" s="3" t="s">
        <v>1285</v>
      </c>
      <c r="G1034" s="36">
        <v>15.6</v>
      </c>
      <c r="H1034" s="35">
        <v>3.0</v>
      </c>
      <c r="I1034" s="37">
        <v>0.5298611111111111</v>
      </c>
      <c r="J1034" s="37">
        <v>0.5527777777777778</v>
      </c>
      <c r="K1034" s="38">
        <f t="shared" si="15"/>
        <v>0.02291666667</v>
      </c>
      <c r="L1034" s="39" t="str">
        <f t="shared" si="2"/>
        <v>Day</v>
      </c>
      <c r="M1034" s="39" t="str">
        <f t="array" ref="M1034">XLOOKUP(D1034,'Category dict'!$B$1:$B$4,'Category dict'!$A$1:$A$4,0,0,1)</f>
        <v>Business</v>
      </c>
      <c r="N1034" s="39" t="str">
        <f>VLOOKUP(H1034,'Purpose dict'!$A$1:$B$12,2,0)</f>
        <v>Meeting</v>
      </c>
    </row>
    <row r="1035" hidden="1">
      <c r="A1035" s="3" t="s">
        <v>1286</v>
      </c>
      <c r="B1035" s="34">
        <v>42714.6125</v>
      </c>
      <c r="C1035" s="34">
        <v>42714.6375</v>
      </c>
      <c r="D1035" s="35">
        <v>423.0</v>
      </c>
      <c r="E1035" s="3" t="s">
        <v>1285</v>
      </c>
      <c r="F1035" s="3" t="s">
        <v>60</v>
      </c>
      <c r="G1035" s="36">
        <v>15.6</v>
      </c>
      <c r="H1035" s="35">
        <v>2.0</v>
      </c>
      <c r="I1035" s="37">
        <v>0.6125</v>
      </c>
      <c r="J1035" s="37">
        <v>0.6375</v>
      </c>
      <c r="K1035" s="38">
        <f t="shared" si="15"/>
        <v>0.025</v>
      </c>
      <c r="L1035" s="39" t="str">
        <f t="shared" si="2"/>
        <v>Day</v>
      </c>
      <c r="M1035" s="39" t="str">
        <f t="array" ref="M1035">XLOOKUP(D1035,'Category dict'!$B$1:$B$4,'Category dict'!$A$1:$A$4,0,0,1)</f>
        <v>Business</v>
      </c>
      <c r="N1035" s="39" t="str">
        <f>VLOOKUP(H1035,'Purpose dict'!$A$1:$B$12,2,0)</f>
        <v>Errand/Supplies</v>
      </c>
    </row>
    <row r="1036" hidden="1">
      <c r="A1036" s="3" t="s">
        <v>1287</v>
      </c>
      <c r="B1036" s="34">
        <v>42714.76180555556</v>
      </c>
      <c r="C1036" s="34">
        <v>42714.76875</v>
      </c>
      <c r="D1036" s="35">
        <v>423.0</v>
      </c>
      <c r="E1036" s="3" t="s">
        <v>60</v>
      </c>
      <c r="F1036" s="3" t="s">
        <v>62</v>
      </c>
      <c r="G1036" s="36">
        <v>3.0</v>
      </c>
      <c r="H1036" s="35">
        <v>1.0</v>
      </c>
      <c r="I1036" s="37">
        <v>0.7618055555555555</v>
      </c>
      <c r="J1036" s="37">
        <v>0.76875</v>
      </c>
      <c r="K1036" s="38">
        <f t="shared" si="15"/>
        <v>0.006944444444</v>
      </c>
      <c r="L1036" s="39" t="str">
        <f t="shared" si="2"/>
        <v>Evening</v>
      </c>
      <c r="M1036" s="39" t="str">
        <f t="array" ref="M1036">XLOOKUP(D1036,'Category dict'!$B$1:$B$4,'Category dict'!$A$1:$A$4,0,0,1)</f>
        <v>Business</v>
      </c>
      <c r="N1036" s="39" t="str">
        <f>VLOOKUP(H1036,'Purpose dict'!$A$1:$B$12,2,0)</f>
        <v>Meal/Entertain</v>
      </c>
    </row>
    <row r="1037" hidden="1">
      <c r="A1037" s="3" t="s">
        <v>1288</v>
      </c>
      <c r="B1037" s="34">
        <v>42714.92291666667</v>
      </c>
      <c r="C1037" s="34">
        <v>42714.93125</v>
      </c>
      <c r="D1037" s="35">
        <v>423.0</v>
      </c>
      <c r="E1037" s="3" t="s">
        <v>62</v>
      </c>
      <c r="F1037" s="3" t="s">
        <v>60</v>
      </c>
      <c r="G1037" s="36">
        <v>3.1</v>
      </c>
      <c r="H1037" s="35">
        <v>4.0</v>
      </c>
      <c r="I1037" s="37">
        <v>0.9229166666666667</v>
      </c>
      <c r="J1037" s="37">
        <v>0.93125</v>
      </c>
      <c r="K1037" s="38">
        <f t="shared" si="15"/>
        <v>0.008333333333</v>
      </c>
      <c r="L1037" s="39" t="str">
        <f t="shared" si="2"/>
        <v>Evening</v>
      </c>
      <c r="M1037" s="39" t="str">
        <f t="array" ref="M1037">XLOOKUP(D1037,'Category dict'!$B$1:$B$4,'Category dict'!$A$1:$A$4,0,0,1)</f>
        <v>Business</v>
      </c>
      <c r="N1037" s="39" t="str">
        <f>VLOOKUP(H1037,'Purpose dict'!$A$1:$B$12,2,0)</f>
        <v>Customer Visit</v>
      </c>
    </row>
    <row r="1038" hidden="1">
      <c r="A1038" s="3" t="s">
        <v>1289</v>
      </c>
      <c r="B1038" s="34">
        <v>42715.67083333333</v>
      </c>
      <c r="C1038" s="34">
        <v>42715.677777777775</v>
      </c>
      <c r="D1038" s="35">
        <v>423.0</v>
      </c>
      <c r="E1038" s="3" t="s">
        <v>60</v>
      </c>
      <c r="F1038" s="3" t="s">
        <v>62</v>
      </c>
      <c r="G1038" s="36">
        <v>3.0</v>
      </c>
      <c r="H1038" s="35">
        <v>1.0</v>
      </c>
      <c r="I1038" s="37">
        <v>0.6708333333333333</v>
      </c>
      <c r="J1038" s="37">
        <v>0.6777777777777778</v>
      </c>
      <c r="K1038" s="38">
        <f t="shared" si="15"/>
        <v>0.006944444444</v>
      </c>
      <c r="L1038" s="39" t="str">
        <f t="shared" si="2"/>
        <v>Day</v>
      </c>
      <c r="M1038" s="39" t="str">
        <f t="array" ref="M1038">XLOOKUP(D1038,'Category dict'!$B$1:$B$4,'Category dict'!$A$1:$A$4,0,0,1)</f>
        <v>Business</v>
      </c>
      <c r="N1038" s="39" t="str">
        <f>VLOOKUP(H1038,'Purpose dict'!$A$1:$B$12,2,0)</f>
        <v>Meal/Entertain</v>
      </c>
    </row>
    <row r="1039" hidden="1">
      <c r="A1039" s="3" t="s">
        <v>1290</v>
      </c>
      <c r="B1039" s="34">
        <v>42715.79513888889</v>
      </c>
      <c r="C1039" s="34">
        <v>42715.802083333336</v>
      </c>
      <c r="D1039" s="35">
        <v>423.0</v>
      </c>
      <c r="E1039" s="3" t="s">
        <v>62</v>
      </c>
      <c r="F1039" s="3" t="s">
        <v>60</v>
      </c>
      <c r="G1039" s="36">
        <v>4.8</v>
      </c>
      <c r="H1039" s="35">
        <v>2.0</v>
      </c>
      <c r="I1039" s="37">
        <v>0.7951388888888888</v>
      </c>
      <c r="J1039" s="37">
        <v>0.8020833333333334</v>
      </c>
      <c r="K1039" s="38">
        <f t="shared" si="15"/>
        <v>0.006944444444</v>
      </c>
      <c r="L1039" s="39" t="str">
        <f t="shared" si="2"/>
        <v>Evening</v>
      </c>
      <c r="M1039" s="39" t="str">
        <f t="array" ref="M1039">XLOOKUP(D1039,'Category dict'!$B$1:$B$4,'Category dict'!$A$1:$A$4,0,0,1)</f>
        <v>Business</v>
      </c>
      <c r="N1039" s="39" t="str">
        <f>VLOOKUP(H1039,'Purpose dict'!$A$1:$B$12,2,0)</f>
        <v>Errand/Supplies</v>
      </c>
    </row>
    <row r="1040" hidden="1">
      <c r="A1040" s="3" t="s">
        <v>1291</v>
      </c>
      <c r="B1040" s="34">
        <v>42715.90833333333</v>
      </c>
      <c r="C1040" s="34">
        <v>42715.91388888889</v>
      </c>
      <c r="D1040" s="35">
        <v>423.0</v>
      </c>
      <c r="E1040" s="3" t="s">
        <v>60</v>
      </c>
      <c r="F1040" s="3" t="s">
        <v>60</v>
      </c>
      <c r="G1040" s="36">
        <v>2.1</v>
      </c>
      <c r="H1040" s="35">
        <v>2.0</v>
      </c>
      <c r="I1040" s="37">
        <v>0.9083333333333333</v>
      </c>
      <c r="J1040" s="37">
        <v>0.9138888888888889</v>
      </c>
      <c r="K1040" s="38">
        <f t="shared" si="15"/>
        <v>0.005555555556</v>
      </c>
      <c r="L1040" s="39" t="str">
        <f t="shared" si="2"/>
        <v>Evening</v>
      </c>
      <c r="M1040" s="39" t="str">
        <f t="array" ref="M1040">XLOOKUP(D1040,'Category dict'!$B$1:$B$4,'Category dict'!$A$1:$A$4,0,0,1)</f>
        <v>Business</v>
      </c>
      <c r="N1040" s="39" t="str">
        <f>VLOOKUP(H1040,'Purpose dict'!$A$1:$B$12,2,0)</f>
        <v>Errand/Supplies</v>
      </c>
    </row>
    <row r="1041" hidden="1">
      <c r="A1041" s="3" t="s">
        <v>1292</v>
      </c>
      <c r="B1041" s="34">
        <v>42716.55694444444</v>
      </c>
      <c r="C1041" s="34">
        <v>42716.563888888886</v>
      </c>
      <c r="D1041" s="35">
        <v>423.0</v>
      </c>
      <c r="E1041" s="3" t="s">
        <v>60</v>
      </c>
      <c r="F1041" s="3" t="s">
        <v>60</v>
      </c>
      <c r="G1041" s="36">
        <v>3.1</v>
      </c>
      <c r="H1041" s="35">
        <v>2.0</v>
      </c>
      <c r="I1041" s="37">
        <v>0.5569444444444445</v>
      </c>
      <c r="J1041" s="37">
        <v>0.5638888888888889</v>
      </c>
      <c r="K1041" s="38">
        <f t="shared" si="15"/>
        <v>0.006944444444</v>
      </c>
      <c r="L1041" s="39" t="str">
        <f t="shared" si="2"/>
        <v>Day</v>
      </c>
      <c r="M1041" s="39" t="str">
        <f t="array" ref="M1041">XLOOKUP(D1041,'Category dict'!$B$1:$B$4,'Category dict'!$A$1:$A$4,0,0,1)</f>
        <v>Business</v>
      </c>
      <c r="N1041" s="39" t="str">
        <f>VLOOKUP(H1041,'Purpose dict'!$A$1:$B$12,2,0)</f>
        <v>Errand/Supplies</v>
      </c>
    </row>
    <row r="1042" hidden="1">
      <c r="A1042" s="3" t="s">
        <v>1293</v>
      </c>
      <c r="B1042" s="34">
        <v>42716.566666666666</v>
      </c>
      <c r="C1042" s="34">
        <v>42716.57708333333</v>
      </c>
      <c r="D1042" s="35">
        <v>423.0</v>
      </c>
      <c r="E1042" s="3" t="s">
        <v>60</v>
      </c>
      <c r="F1042" s="3" t="s">
        <v>142</v>
      </c>
      <c r="G1042" s="36">
        <v>4.4</v>
      </c>
      <c r="H1042" s="35">
        <v>1.0</v>
      </c>
      <c r="I1042" s="37">
        <v>0.5666666666666667</v>
      </c>
      <c r="J1042" s="37">
        <v>0.5770833333333333</v>
      </c>
      <c r="K1042" s="38">
        <f t="shared" si="15"/>
        <v>0.01041666667</v>
      </c>
      <c r="L1042" s="39" t="str">
        <f t="shared" si="2"/>
        <v>Day</v>
      </c>
      <c r="M1042" s="39" t="str">
        <f t="array" ref="M1042">XLOOKUP(D1042,'Category dict'!$B$1:$B$4,'Category dict'!$A$1:$A$4,0,0,1)</f>
        <v>Business</v>
      </c>
      <c r="N1042" s="39" t="str">
        <f>VLOOKUP(H1042,'Purpose dict'!$A$1:$B$12,2,0)</f>
        <v>Meal/Entertain</v>
      </c>
    </row>
    <row r="1043" hidden="1">
      <c r="A1043" s="3" t="s">
        <v>1294</v>
      </c>
      <c r="B1043" s="34">
        <v>42716.60138888889</v>
      </c>
      <c r="C1043" s="34">
        <v>42716.61041666667</v>
      </c>
      <c r="D1043" s="35">
        <v>423.0</v>
      </c>
      <c r="E1043" s="3" t="s">
        <v>142</v>
      </c>
      <c r="F1043" s="3" t="s">
        <v>60</v>
      </c>
      <c r="G1043" s="36">
        <v>4.7</v>
      </c>
      <c r="H1043" s="35">
        <v>4.0</v>
      </c>
      <c r="I1043" s="37">
        <v>0.6013888888888889</v>
      </c>
      <c r="J1043" s="37">
        <v>0.6104166666666667</v>
      </c>
      <c r="K1043" s="38">
        <f t="shared" si="15"/>
        <v>0.009027777778</v>
      </c>
      <c r="L1043" s="39" t="str">
        <f t="shared" si="2"/>
        <v>Day</v>
      </c>
      <c r="M1043" s="39" t="str">
        <f t="array" ref="M1043">XLOOKUP(D1043,'Category dict'!$B$1:$B$4,'Category dict'!$A$1:$A$4,0,0,1)</f>
        <v>Business</v>
      </c>
      <c r="N1043" s="39" t="str">
        <f>VLOOKUP(H1043,'Purpose dict'!$A$1:$B$12,2,0)</f>
        <v>Customer Visit</v>
      </c>
    </row>
    <row r="1044" hidden="1">
      <c r="A1044" s="3" t="s">
        <v>1295</v>
      </c>
      <c r="B1044" s="34">
        <v>42716.74375</v>
      </c>
      <c r="C1044" s="34">
        <v>42716.75069444445</v>
      </c>
      <c r="D1044" s="35">
        <v>423.0</v>
      </c>
      <c r="E1044" s="3" t="s">
        <v>60</v>
      </c>
      <c r="F1044" s="3" t="s">
        <v>62</v>
      </c>
      <c r="G1044" s="36">
        <v>3.0</v>
      </c>
      <c r="H1044" s="35">
        <v>1.0</v>
      </c>
      <c r="I1044" s="37">
        <v>0.74375</v>
      </c>
      <c r="J1044" s="37">
        <v>0.7506944444444444</v>
      </c>
      <c r="K1044" s="38">
        <f t="shared" si="15"/>
        <v>0.006944444444</v>
      </c>
      <c r="L1044" s="39" t="str">
        <f t="shared" si="2"/>
        <v>Day</v>
      </c>
      <c r="M1044" s="39" t="str">
        <f t="array" ref="M1044">XLOOKUP(D1044,'Category dict'!$B$1:$B$4,'Category dict'!$A$1:$A$4,0,0,1)</f>
        <v>Business</v>
      </c>
      <c r="N1044" s="39" t="str">
        <f>VLOOKUP(H1044,'Purpose dict'!$A$1:$B$12,2,0)</f>
        <v>Meal/Entertain</v>
      </c>
    </row>
    <row r="1045" hidden="1">
      <c r="A1045" s="3" t="s">
        <v>1296</v>
      </c>
      <c r="B1045" s="34">
        <v>42716.86666666667</v>
      </c>
      <c r="C1045" s="34">
        <v>42716.87291666667</v>
      </c>
      <c r="D1045" s="35">
        <v>423.0</v>
      </c>
      <c r="E1045" s="3" t="s">
        <v>62</v>
      </c>
      <c r="F1045" s="3" t="s">
        <v>60</v>
      </c>
      <c r="G1045" s="36">
        <v>3.0</v>
      </c>
      <c r="H1045" s="35">
        <v>4.0</v>
      </c>
      <c r="I1045" s="37">
        <v>0.8666666666666667</v>
      </c>
      <c r="J1045" s="37">
        <v>0.8729166666666667</v>
      </c>
      <c r="K1045" s="38">
        <f t="shared" si="15"/>
        <v>0.00625</v>
      </c>
      <c r="L1045" s="39" t="str">
        <f t="shared" si="2"/>
        <v>Evening</v>
      </c>
      <c r="M1045" s="39" t="str">
        <f t="array" ref="M1045">XLOOKUP(D1045,'Category dict'!$B$1:$B$4,'Category dict'!$A$1:$A$4,0,0,1)</f>
        <v>Business</v>
      </c>
      <c r="N1045" s="39" t="str">
        <f>VLOOKUP(H1045,'Purpose dict'!$A$1:$B$12,2,0)</f>
        <v>Customer Visit</v>
      </c>
    </row>
    <row r="1046" hidden="1">
      <c r="A1046" s="3" t="s">
        <v>1297</v>
      </c>
      <c r="B1046" s="34">
        <v>42717.763194444444</v>
      </c>
      <c r="C1046" s="34">
        <v>42717.77013888889</v>
      </c>
      <c r="D1046" s="35">
        <v>423.0</v>
      </c>
      <c r="E1046" s="3" t="s">
        <v>60</v>
      </c>
      <c r="F1046" s="3" t="s">
        <v>60</v>
      </c>
      <c r="G1046" s="36">
        <v>4.2</v>
      </c>
      <c r="H1046" s="35">
        <v>2.0</v>
      </c>
      <c r="I1046" s="37">
        <v>0.7631944444444444</v>
      </c>
      <c r="J1046" s="37">
        <v>0.7701388888888889</v>
      </c>
      <c r="K1046" s="38">
        <f t="shared" si="15"/>
        <v>0.006944444444</v>
      </c>
      <c r="L1046" s="39" t="str">
        <f t="shared" si="2"/>
        <v>Evening</v>
      </c>
      <c r="M1046" s="39" t="str">
        <f t="array" ref="M1046">XLOOKUP(D1046,'Category dict'!$B$1:$B$4,'Category dict'!$A$1:$A$4,0,0,1)</f>
        <v>Business</v>
      </c>
      <c r="N1046" s="39" t="str">
        <f>VLOOKUP(H1046,'Purpose dict'!$A$1:$B$12,2,0)</f>
        <v>Errand/Supplies</v>
      </c>
    </row>
    <row r="1047" hidden="1">
      <c r="A1047" s="3" t="s">
        <v>1298</v>
      </c>
      <c r="B1047" s="34">
        <v>42717.84722222222</v>
      </c>
      <c r="C1047" s="34">
        <v>42717.853472222225</v>
      </c>
      <c r="D1047" s="35">
        <v>423.0</v>
      </c>
      <c r="E1047" s="3" t="s">
        <v>60</v>
      </c>
      <c r="F1047" s="3" t="s">
        <v>60</v>
      </c>
      <c r="G1047" s="36">
        <v>4.1</v>
      </c>
      <c r="H1047" s="35">
        <v>1.0</v>
      </c>
      <c r="I1047" s="37">
        <v>0.8472222222222222</v>
      </c>
      <c r="J1047" s="37">
        <v>0.8534722222222222</v>
      </c>
      <c r="K1047" s="38">
        <f t="shared" si="15"/>
        <v>0.00625</v>
      </c>
      <c r="L1047" s="39" t="str">
        <f t="shared" si="2"/>
        <v>Evening</v>
      </c>
      <c r="M1047" s="39" t="str">
        <f t="array" ref="M1047">XLOOKUP(D1047,'Category dict'!$B$1:$B$4,'Category dict'!$A$1:$A$4,0,0,1)</f>
        <v>Business</v>
      </c>
      <c r="N1047" s="39" t="str">
        <f>VLOOKUP(H1047,'Purpose dict'!$A$1:$B$12,2,0)</f>
        <v>Meal/Entertain</v>
      </c>
    </row>
    <row r="1048" hidden="1">
      <c r="A1048" s="3" t="s">
        <v>1299</v>
      </c>
      <c r="B1048" s="34">
        <v>42718.70277777778</v>
      </c>
      <c r="C1048" s="34">
        <v>42718.71527777778</v>
      </c>
      <c r="D1048" s="35">
        <v>423.0</v>
      </c>
      <c r="E1048" s="3" t="s">
        <v>60</v>
      </c>
      <c r="F1048" s="3" t="s">
        <v>60</v>
      </c>
      <c r="G1048" s="36">
        <v>3.4</v>
      </c>
      <c r="H1048" s="35">
        <v>123.0</v>
      </c>
      <c r="I1048" s="37">
        <v>0.7027777777777777</v>
      </c>
      <c r="J1048" s="37">
        <v>0.7152777777777778</v>
      </c>
      <c r="K1048" s="38">
        <f t="shared" si="15"/>
        <v>0.0125</v>
      </c>
      <c r="L1048" s="39" t="str">
        <f t="shared" si="2"/>
        <v>Day</v>
      </c>
      <c r="M1048" s="39" t="str">
        <f t="array" ref="M1048">XLOOKUP(D1048,'Category dict'!$B$1:$B$4,'Category dict'!$A$1:$A$4,0,0,1)</f>
        <v>Business</v>
      </c>
      <c r="N1048" s="39" t="str">
        <f>VLOOKUP(H1048,'Purpose dict'!$A$1:$B$12,2,0)</f>
        <v>NOT DEFINED</v>
      </c>
    </row>
    <row r="1049" hidden="1">
      <c r="A1049" s="3" t="s">
        <v>1300</v>
      </c>
      <c r="B1049" s="34">
        <v>42718.72361111111</v>
      </c>
      <c r="C1049" s="34">
        <v>42718.731944444444</v>
      </c>
      <c r="D1049" s="35">
        <v>423.0</v>
      </c>
      <c r="E1049" s="3" t="s">
        <v>60</v>
      </c>
      <c r="F1049" s="3" t="s">
        <v>60</v>
      </c>
      <c r="G1049" s="36">
        <v>3.3</v>
      </c>
      <c r="H1049" s="35">
        <v>123.0</v>
      </c>
      <c r="I1049" s="37">
        <v>0.7236111111111111</v>
      </c>
      <c r="J1049" s="37">
        <v>0.7319444444444444</v>
      </c>
      <c r="K1049" s="38">
        <f t="shared" si="15"/>
        <v>0.008333333333</v>
      </c>
      <c r="L1049" s="39" t="str">
        <f t="shared" si="2"/>
        <v>Day</v>
      </c>
      <c r="M1049" s="39" t="str">
        <f t="array" ref="M1049">XLOOKUP(D1049,'Category dict'!$B$1:$B$4,'Category dict'!$A$1:$A$4,0,0,1)</f>
        <v>Business</v>
      </c>
      <c r="N1049" s="39" t="str">
        <f>VLOOKUP(H1049,'Purpose dict'!$A$1:$B$12,2,0)</f>
        <v>NOT DEFINED</v>
      </c>
    </row>
    <row r="1050" hidden="1">
      <c r="A1050" s="3" t="s">
        <v>1301</v>
      </c>
      <c r="B1050" s="34">
        <v>42718.743055555555</v>
      </c>
      <c r="C1050" s="34">
        <v>42718.75</v>
      </c>
      <c r="D1050" s="35">
        <v>423.0</v>
      </c>
      <c r="E1050" s="3" t="s">
        <v>60</v>
      </c>
      <c r="F1050" s="3" t="s">
        <v>62</v>
      </c>
      <c r="G1050" s="36">
        <v>3.0</v>
      </c>
      <c r="H1050" s="35">
        <v>1.0</v>
      </c>
      <c r="I1050" s="37">
        <v>0.7430555555555556</v>
      </c>
      <c r="J1050" s="37">
        <v>0.75</v>
      </c>
      <c r="K1050" s="38">
        <f t="shared" si="15"/>
        <v>0.006944444444</v>
      </c>
      <c r="L1050" s="39" t="str">
        <f t="shared" si="2"/>
        <v>Day</v>
      </c>
      <c r="M1050" s="39" t="str">
        <f t="array" ref="M1050">XLOOKUP(D1050,'Category dict'!$B$1:$B$4,'Category dict'!$A$1:$A$4,0,0,1)</f>
        <v>Business</v>
      </c>
      <c r="N1050" s="39" t="str">
        <f>VLOOKUP(H1050,'Purpose dict'!$A$1:$B$12,2,0)</f>
        <v>Meal/Entertain</v>
      </c>
    </row>
    <row r="1051" hidden="1">
      <c r="A1051" s="3" t="s">
        <v>1302</v>
      </c>
      <c r="B1051" s="34">
        <v>42718.85</v>
      </c>
      <c r="C1051" s="34">
        <v>42718.86111111111</v>
      </c>
      <c r="D1051" s="35">
        <v>423.0</v>
      </c>
      <c r="E1051" s="3" t="s">
        <v>62</v>
      </c>
      <c r="F1051" s="3" t="s">
        <v>60</v>
      </c>
      <c r="G1051" s="36">
        <v>3.1</v>
      </c>
      <c r="H1051" s="35">
        <v>4.0</v>
      </c>
      <c r="I1051" s="37">
        <v>0.85</v>
      </c>
      <c r="J1051" s="37">
        <v>0.8611111111111112</v>
      </c>
      <c r="K1051" s="38">
        <f t="shared" si="15"/>
        <v>0.01111111111</v>
      </c>
      <c r="L1051" s="39" t="str">
        <f t="shared" si="2"/>
        <v>Evening</v>
      </c>
      <c r="M1051" s="39" t="str">
        <f t="array" ref="M1051">XLOOKUP(D1051,'Category dict'!$B$1:$B$4,'Category dict'!$A$1:$A$4,0,0,1)</f>
        <v>Business</v>
      </c>
      <c r="N1051" s="39" t="str">
        <f>VLOOKUP(H1051,'Purpose dict'!$A$1:$B$12,2,0)</f>
        <v>Customer Visit</v>
      </c>
    </row>
    <row r="1052" hidden="1">
      <c r="A1052" s="3" t="s">
        <v>1303</v>
      </c>
      <c r="B1052" s="34">
        <v>42719.59722222222</v>
      </c>
      <c r="C1052" s="34">
        <v>42719.620833333334</v>
      </c>
      <c r="D1052" s="35">
        <v>423.0</v>
      </c>
      <c r="E1052" s="3" t="s">
        <v>60</v>
      </c>
      <c r="F1052" s="3" t="s">
        <v>62</v>
      </c>
      <c r="G1052" s="36">
        <v>10.6</v>
      </c>
      <c r="H1052" s="35">
        <v>3.0</v>
      </c>
      <c r="I1052" s="37">
        <v>0.5972222222222222</v>
      </c>
      <c r="J1052" s="37">
        <v>0.6208333333333333</v>
      </c>
      <c r="K1052" s="38">
        <f t="shared" si="15"/>
        <v>0.02361111111</v>
      </c>
      <c r="L1052" s="39" t="str">
        <f t="shared" si="2"/>
        <v>Day</v>
      </c>
      <c r="M1052" s="39" t="str">
        <f t="array" ref="M1052">XLOOKUP(D1052,'Category dict'!$B$1:$B$4,'Category dict'!$A$1:$A$4,0,0,1)</f>
        <v>Business</v>
      </c>
      <c r="N1052" s="39" t="str">
        <f>VLOOKUP(H1052,'Purpose dict'!$A$1:$B$12,2,0)</f>
        <v>Meeting</v>
      </c>
    </row>
    <row r="1053" hidden="1">
      <c r="A1053" s="3" t="s">
        <v>1304</v>
      </c>
      <c r="B1053" s="34">
        <v>42721.65138888889</v>
      </c>
      <c r="C1053" s="34">
        <v>42721.675</v>
      </c>
      <c r="D1053" s="35">
        <v>423.0</v>
      </c>
      <c r="E1053" s="3" t="s">
        <v>208</v>
      </c>
      <c r="F1053" s="3" t="s">
        <v>208</v>
      </c>
      <c r="G1053" s="36">
        <v>4.8</v>
      </c>
      <c r="H1053" s="35">
        <v>10.0</v>
      </c>
      <c r="I1053" s="37">
        <v>0.6513888888888889</v>
      </c>
      <c r="J1053" s="37">
        <v>0.675</v>
      </c>
      <c r="K1053" s="38">
        <f t="shared" si="15"/>
        <v>0.02361111111</v>
      </c>
      <c r="L1053" s="39" t="str">
        <f t="shared" si="2"/>
        <v>Day</v>
      </c>
      <c r="M1053" s="39" t="str">
        <f t="array" ref="M1053">XLOOKUP(D1053,'Category dict'!$B$1:$B$4,'Category dict'!$A$1:$A$4,0,0,1)</f>
        <v>Business</v>
      </c>
      <c r="N1053" s="39" t="str">
        <f>VLOOKUP(H1053,'Purpose dict'!$A$1:$B$12,2,0)</f>
        <v>Airport/Travel</v>
      </c>
    </row>
    <row r="1054" hidden="1">
      <c r="A1054" s="3" t="s">
        <v>1305</v>
      </c>
      <c r="B1054" s="34">
        <v>42721.72152777778</v>
      </c>
      <c r="C1054" s="34">
        <v>42721.74930555555</v>
      </c>
      <c r="D1054" s="35">
        <v>423.0</v>
      </c>
      <c r="E1054" s="3" t="s">
        <v>208</v>
      </c>
      <c r="F1054" s="3" t="s">
        <v>208</v>
      </c>
      <c r="G1054" s="36">
        <v>5.3</v>
      </c>
      <c r="H1054" s="35">
        <v>5.0</v>
      </c>
      <c r="I1054" s="37">
        <v>0.7215277777777778</v>
      </c>
      <c r="J1054" s="37">
        <v>0.7493055555555556</v>
      </c>
      <c r="K1054" s="38">
        <f t="shared" si="15"/>
        <v>0.02777777778</v>
      </c>
      <c r="L1054" s="39" t="str">
        <f t="shared" si="2"/>
        <v>Day</v>
      </c>
      <c r="M1054" s="39" t="str">
        <f t="array" ref="M1054">XLOOKUP(D1054,'Category dict'!$B$1:$B$4,'Category dict'!$A$1:$A$4,0,0,1)</f>
        <v>Business</v>
      </c>
      <c r="N1054" s="39" t="str">
        <f>VLOOKUP(H1054,'Purpose dict'!$A$1:$B$12,2,0)</f>
        <v>Temporary Site</v>
      </c>
    </row>
    <row r="1055" hidden="1">
      <c r="A1055" s="3" t="s">
        <v>1306</v>
      </c>
      <c r="B1055" s="34">
        <v>42722.54375</v>
      </c>
      <c r="C1055" s="34">
        <v>42722.57013888889</v>
      </c>
      <c r="D1055" s="35">
        <v>423.0</v>
      </c>
      <c r="E1055" s="3" t="s">
        <v>208</v>
      </c>
      <c r="F1055" s="3" t="s">
        <v>208</v>
      </c>
      <c r="G1055" s="36">
        <v>4.9</v>
      </c>
      <c r="H1055" s="35">
        <v>2.0</v>
      </c>
      <c r="I1055" s="37">
        <v>0.54375</v>
      </c>
      <c r="J1055" s="37">
        <v>0.5701388888888889</v>
      </c>
      <c r="K1055" s="38">
        <f t="shared" si="15"/>
        <v>0.02638888889</v>
      </c>
      <c r="L1055" s="39" t="str">
        <f t="shared" si="2"/>
        <v>Day</v>
      </c>
      <c r="M1055" s="39" t="str">
        <f t="array" ref="M1055">XLOOKUP(D1055,'Category dict'!$B$1:$B$4,'Category dict'!$A$1:$A$4,0,0,1)</f>
        <v>Business</v>
      </c>
      <c r="N1055" s="39" t="str">
        <f>VLOOKUP(H1055,'Purpose dict'!$A$1:$B$12,2,0)</f>
        <v>Errand/Supplies</v>
      </c>
    </row>
    <row r="1056" hidden="1">
      <c r="A1056" s="3" t="s">
        <v>1307</v>
      </c>
      <c r="B1056" s="34">
        <v>42722.69305555556</v>
      </c>
      <c r="C1056" s="34">
        <v>42722.725694444445</v>
      </c>
      <c r="D1056" s="35">
        <v>423.0</v>
      </c>
      <c r="E1056" s="3" t="s">
        <v>208</v>
      </c>
      <c r="F1056" s="3" t="s">
        <v>208</v>
      </c>
      <c r="G1056" s="36">
        <v>10.2</v>
      </c>
      <c r="H1056" s="35">
        <v>2.0</v>
      </c>
      <c r="I1056" s="37">
        <v>0.6930555555555555</v>
      </c>
      <c r="J1056" s="37">
        <v>0.7256944444444444</v>
      </c>
      <c r="K1056" s="38">
        <f t="shared" si="15"/>
        <v>0.03263888889</v>
      </c>
      <c r="L1056" s="39" t="str">
        <f t="shared" si="2"/>
        <v>Day</v>
      </c>
      <c r="M1056" s="39" t="str">
        <f t="array" ref="M1056">XLOOKUP(D1056,'Category dict'!$B$1:$B$4,'Category dict'!$A$1:$A$4,0,0,1)</f>
        <v>Business</v>
      </c>
      <c r="N1056" s="39" t="str">
        <f>VLOOKUP(H1056,'Purpose dict'!$A$1:$B$12,2,0)</f>
        <v>Errand/Supplies</v>
      </c>
    </row>
    <row r="1057" hidden="1">
      <c r="A1057" s="3" t="s">
        <v>1308</v>
      </c>
      <c r="B1057" s="34">
        <v>42722.85763888889</v>
      </c>
      <c r="C1057" s="34">
        <v>42722.87777777778</v>
      </c>
      <c r="D1057" s="35">
        <v>423.0</v>
      </c>
      <c r="E1057" s="3" t="s">
        <v>208</v>
      </c>
      <c r="F1057" s="3" t="s">
        <v>208</v>
      </c>
      <c r="G1057" s="36">
        <v>9.2</v>
      </c>
      <c r="H1057" s="35">
        <v>123.0</v>
      </c>
      <c r="I1057" s="37">
        <v>0.8576388888888888</v>
      </c>
      <c r="J1057" s="37">
        <v>0.8777777777777778</v>
      </c>
      <c r="K1057" s="38">
        <f t="shared" si="15"/>
        <v>0.02013888889</v>
      </c>
      <c r="L1057" s="39" t="str">
        <f t="shared" si="2"/>
        <v>Evening</v>
      </c>
      <c r="M1057" s="39" t="str">
        <f t="array" ref="M1057">XLOOKUP(D1057,'Category dict'!$B$1:$B$4,'Category dict'!$A$1:$A$4,0,0,1)</f>
        <v>Business</v>
      </c>
      <c r="N1057" s="39" t="str">
        <f>VLOOKUP(H1057,'Purpose dict'!$A$1:$B$12,2,0)</f>
        <v>NOT DEFINED</v>
      </c>
    </row>
    <row r="1058" hidden="1">
      <c r="A1058" s="3" t="s">
        <v>1309</v>
      </c>
      <c r="B1058" s="34">
        <v>42723.38055555556</v>
      </c>
      <c r="C1058" s="34">
        <v>42723.4</v>
      </c>
      <c r="D1058" s="35">
        <v>423.0</v>
      </c>
      <c r="E1058" s="3" t="s">
        <v>208</v>
      </c>
      <c r="F1058" s="3" t="s">
        <v>225</v>
      </c>
      <c r="G1058" s="36">
        <v>7.7</v>
      </c>
      <c r="H1058" s="35">
        <v>2.0</v>
      </c>
      <c r="I1058" s="37">
        <v>0.38055555555555554</v>
      </c>
      <c r="J1058" s="37">
        <v>0.4</v>
      </c>
      <c r="K1058" s="38">
        <f t="shared" si="15"/>
        <v>0.01944444444</v>
      </c>
      <c r="L1058" s="39" t="str">
        <f t="shared" si="2"/>
        <v>Morning</v>
      </c>
      <c r="M1058" s="39" t="str">
        <f t="array" ref="M1058">XLOOKUP(D1058,'Category dict'!$B$1:$B$4,'Category dict'!$A$1:$A$4,0,0,1)</f>
        <v>Business</v>
      </c>
      <c r="N1058" s="39" t="str">
        <f>VLOOKUP(H1058,'Purpose dict'!$A$1:$B$12,2,0)</f>
        <v>Errand/Supplies</v>
      </c>
    </row>
    <row r="1059" hidden="1">
      <c r="A1059" s="3" t="s">
        <v>1310</v>
      </c>
      <c r="B1059" s="34">
        <v>42723.427083333336</v>
      </c>
      <c r="C1059" s="34">
        <v>42723.44027777778</v>
      </c>
      <c r="D1059" s="35">
        <v>423.0</v>
      </c>
      <c r="E1059" s="3" t="s">
        <v>225</v>
      </c>
      <c r="F1059" s="3" t="s">
        <v>1311</v>
      </c>
      <c r="G1059" s="36">
        <v>5.9</v>
      </c>
      <c r="H1059" s="35">
        <v>5.0</v>
      </c>
      <c r="I1059" s="37">
        <v>0.4270833333333333</v>
      </c>
      <c r="J1059" s="37">
        <v>0.44027777777777777</v>
      </c>
      <c r="K1059" s="38">
        <f t="shared" si="15"/>
        <v>0.01319444444</v>
      </c>
      <c r="L1059" s="39" t="str">
        <f t="shared" si="2"/>
        <v>Morning</v>
      </c>
      <c r="M1059" s="39" t="str">
        <f t="array" ref="M1059">XLOOKUP(D1059,'Category dict'!$B$1:$B$4,'Category dict'!$A$1:$A$4,0,0,1)</f>
        <v>Business</v>
      </c>
      <c r="N1059" s="39" t="str">
        <f>VLOOKUP(H1059,'Purpose dict'!$A$1:$B$12,2,0)</f>
        <v>Temporary Site</v>
      </c>
    </row>
    <row r="1060">
      <c r="A1060" s="3" t="s">
        <v>1312</v>
      </c>
      <c r="B1060" s="34">
        <v>42723.544444444444</v>
      </c>
      <c r="C1060" s="34">
        <v>42723.54722222222</v>
      </c>
      <c r="D1060" s="35">
        <v>423.0</v>
      </c>
      <c r="E1060" s="3" t="s">
        <v>1311</v>
      </c>
      <c r="F1060" s="3" t="s">
        <v>208</v>
      </c>
      <c r="G1060" s="40">
        <v>0.7</v>
      </c>
      <c r="H1060" s="35">
        <v>2.0</v>
      </c>
      <c r="I1060" s="37">
        <v>0.5444444444444444</v>
      </c>
      <c r="J1060" s="37">
        <v>0.5472222222222223</v>
      </c>
      <c r="K1060" s="38">
        <f t="shared" si="15"/>
        <v>0.002777777778</v>
      </c>
      <c r="L1060" s="39" t="str">
        <f t="shared" si="2"/>
        <v>Day</v>
      </c>
      <c r="M1060" s="39" t="str">
        <f t="array" ref="M1060">XLOOKUP(D1060,'Category dict'!$B$1:$B$4,'Category dict'!$A$1:$A$4,0,0,1)</f>
        <v>Business</v>
      </c>
      <c r="N1060" s="39" t="str">
        <f>VLOOKUP(H1060,'Purpose dict'!$A$1:$B$12,2,0)</f>
        <v>Errand/Supplies</v>
      </c>
    </row>
    <row r="1061">
      <c r="A1061" s="3" t="s">
        <v>1313</v>
      </c>
      <c r="B1061" s="34">
        <v>42723.558333333334</v>
      </c>
      <c r="C1061" s="34">
        <v>42723.56597222222</v>
      </c>
      <c r="D1061" s="35">
        <v>423.0</v>
      </c>
      <c r="E1061" s="3" t="s">
        <v>208</v>
      </c>
      <c r="F1061" s="3" t="s">
        <v>208</v>
      </c>
      <c r="G1061" s="40">
        <v>1.3</v>
      </c>
      <c r="H1061" s="35">
        <v>123.0</v>
      </c>
      <c r="I1061" s="37">
        <v>0.5583333333333333</v>
      </c>
      <c r="J1061" s="37">
        <v>0.5659722222222222</v>
      </c>
      <c r="K1061" s="38">
        <f t="shared" si="15"/>
        <v>0.007638888889</v>
      </c>
      <c r="L1061" s="39" t="str">
        <f t="shared" si="2"/>
        <v>Day</v>
      </c>
      <c r="M1061" s="39" t="str">
        <f t="array" ref="M1061">XLOOKUP(D1061,'Category dict'!$B$1:$B$4,'Category dict'!$A$1:$A$4,0,0,1)</f>
        <v>Business</v>
      </c>
      <c r="N1061" s="39" t="str">
        <f>VLOOKUP(H1061,'Purpose dict'!$A$1:$B$12,2,0)</f>
        <v>NOT DEFINED</v>
      </c>
    </row>
    <row r="1062" hidden="1">
      <c r="A1062" s="3" t="s">
        <v>1314</v>
      </c>
      <c r="B1062" s="34">
        <v>42723.58819444444</v>
      </c>
      <c r="C1062" s="34">
        <v>42723.59375</v>
      </c>
      <c r="D1062" s="35">
        <v>423.0</v>
      </c>
      <c r="E1062" s="3" t="s">
        <v>208</v>
      </c>
      <c r="F1062" s="3" t="s">
        <v>208</v>
      </c>
      <c r="G1062" s="36">
        <v>2.5</v>
      </c>
      <c r="H1062" s="35">
        <v>123.0</v>
      </c>
      <c r="I1062" s="37">
        <v>0.5881944444444445</v>
      </c>
      <c r="J1062" s="37">
        <v>0.59375</v>
      </c>
      <c r="K1062" s="38">
        <f t="shared" si="15"/>
        <v>0.005555555556</v>
      </c>
      <c r="L1062" s="39" t="str">
        <f t="shared" si="2"/>
        <v>Day</v>
      </c>
      <c r="M1062" s="39" t="str">
        <f t="array" ref="M1062">XLOOKUP(D1062,'Category dict'!$B$1:$B$4,'Category dict'!$A$1:$A$4,0,0,1)</f>
        <v>Business</v>
      </c>
      <c r="N1062" s="39" t="str">
        <f>VLOOKUP(H1062,'Purpose dict'!$A$1:$B$12,2,0)</f>
        <v>NOT DEFINED</v>
      </c>
    </row>
    <row r="1063" hidden="1">
      <c r="A1063" s="3" t="s">
        <v>1315</v>
      </c>
      <c r="B1063" s="34">
        <v>42723.59583333333</v>
      </c>
      <c r="C1063" s="34">
        <v>42723.60555555556</v>
      </c>
      <c r="D1063" s="35">
        <v>423.0</v>
      </c>
      <c r="E1063" s="3" t="s">
        <v>208</v>
      </c>
      <c r="F1063" s="3" t="s">
        <v>208</v>
      </c>
      <c r="G1063" s="36">
        <v>5.3</v>
      </c>
      <c r="H1063" s="35">
        <v>123.0</v>
      </c>
      <c r="I1063" s="37">
        <v>0.5958333333333333</v>
      </c>
      <c r="J1063" s="37">
        <v>0.6055555555555555</v>
      </c>
      <c r="K1063" s="38">
        <f t="shared" si="15"/>
        <v>0.009722222222</v>
      </c>
      <c r="L1063" s="39" t="str">
        <f t="shared" si="2"/>
        <v>Day</v>
      </c>
      <c r="M1063" s="39" t="str">
        <f t="array" ref="M1063">XLOOKUP(D1063,'Category dict'!$B$1:$B$4,'Category dict'!$A$1:$A$4,0,0,1)</f>
        <v>Business</v>
      </c>
      <c r="N1063" s="39" t="str">
        <f>VLOOKUP(H1063,'Purpose dict'!$A$1:$B$12,2,0)</f>
        <v>NOT DEFINED</v>
      </c>
    </row>
    <row r="1064" hidden="1">
      <c r="A1064" s="3" t="s">
        <v>1316</v>
      </c>
      <c r="B1064" s="34">
        <v>42723.60902777778</v>
      </c>
      <c r="C1064" s="34">
        <v>42723.618055555555</v>
      </c>
      <c r="D1064" s="35">
        <v>423.0</v>
      </c>
      <c r="E1064" s="3" t="s">
        <v>208</v>
      </c>
      <c r="F1064" s="3" t="s">
        <v>208</v>
      </c>
      <c r="G1064" s="36">
        <v>5.4</v>
      </c>
      <c r="H1064" s="35">
        <v>123.0</v>
      </c>
      <c r="I1064" s="37">
        <v>0.6090277777777777</v>
      </c>
      <c r="J1064" s="37">
        <v>0.6180555555555556</v>
      </c>
      <c r="K1064" s="38">
        <f t="shared" si="15"/>
        <v>0.009027777778</v>
      </c>
      <c r="L1064" s="39" t="str">
        <f t="shared" si="2"/>
        <v>Day</v>
      </c>
      <c r="M1064" s="39" t="str">
        <f t="array" ref="M1064">XLOOKUP(D1064,'Category dict'!$B$1:$B$4,'Category dict'!$A$1:$A$4,0,0,1)</f>
        <v>Business</v>
      </c>
      <c r="N1064" s="39" t="str">
        <f>VLOOKUP(H1064,'Purpose dict'!$A$1:$B$12,2,0)</f>
        <v>NOT DEFINED</v>
      </c>
    </row>
    <row r="1065" hidden="1">
      <c r="A1065" s="3" t="s">
        <v>1317</v>
      </c>
      <c r="B1065" s="34">
        <v>42723.63125</v>
      </c>
      <c r="C1065" s="34">
        <v>42723.65138888889</v>
      </c>
      <c r="D1065" s="35">
        <v>423.0</v>
      </c>
      <c r="E1065" s="3" t="s">
        <v>208</v>
      </c>
      <c r="F1065" s="3" t="s">
        <v>1311</v>
      </c>
      <c r="G1065" s="36">
        <v>10.2</v>
      </c>
      <c r="H1065" s="35">
        <v>4.0</v>
      </c>
      <c r="I1065" s="37">
        <v>0.63125</v>
      </c>
      <c r="J1065" s="37">
        <v>0.6513888888888889</v>
      </c>
      <c r="K1065" s="38">
        <f t="shared" si="15"/>
        <v>0.02013888889</v>
      </c>
      <c r="L1065" s="39" t="str">
        <f t="shared" si="2"/>
        <v>Day</v>
      </c>
      <c r="M1065" s="39" t="str">
        <f t="array" ref="M1065">XLOOKUP(D1065,'Category dict'!$B$1:$B$4,'Category dict'!$A$1:$A$4,0,0,1)</f>
        <v>Business</v>
      </c>
      <c r="N1065" s="39" t="str">
        <f>VLOOKUP(H1065,'Purpose dict'!$A$1:$B$12,2,0)</f>
        <v>Customer Visit</v>
      </c>
    </row>
    <row r="1066" hidden="1">
      <c r="A1066" s="3" t="s">
        <v>1318</v>
      </c>
      <c r="B1066" s="34">
        <v>42723.70138888889</v>
      </c>
      <c r="C1066" s="34">
        <v>42723.714583333334</v>
      </c>
      <c r="D1066" s="35">
        <v>423.0</v>
      </c>
      <c r="E1066" s="3" t="s">
        <v>1311</v>
      </c>
      <c r="F1066" s="3" t="s">
        <v>225</v>
      </c>
      <c r="G1066" s="36">
        <v>7.2</v>
      </c>
      <c r="H1066" s="35">
        <v>4.0</v>
      </c>
      <c r="I1066" s="37">
        <v>0.7013888888888888</v>
      </c>
      <c r="J1066" s="37">
        <v>0.7145833333333333</v>
      </c>
      <c r="K1066" s="38">
        <f t="shared" si="15"/>
        <v>0.01319444444</v>
      </c>
      <c r="L1066" s="39" t="str">
        <f t="shared" si="2"/>
        <v>Day</v>
      </c>
      <c r="M1066" s="39" t="str">
        <f t="array" ref="M1066">XLOOKUP(D1066,'Category dict'!$B$1:$B$4,'Category dict'!$A$1:$A$4,0,0,1)</f>
        <v>Business</v>
      </c>
      <c r="N1066" s="39" t="str">
        <f>VLOOKUP(H1066,'Purpose dict'!$A$1:$B$12,2,0)</f>
        <v>Customer Visit</v>
      </c>
    </row>
    <row r="1067" hidden="1">
      <c r="A1067" s="3" t="s">
        <v>1319</v>
      </c>
      <c r="B1067" s="34">
        <v>42723.79513888889</v>
      </c>
      <c r="C1067" s="34">
        <v>42723.80347222222</v>
      </c>
      <c r="D1067" s="35">
        <v>423.0</v>
      </c>
      <c r="E1067" s="3" t="s">
        <v>225</v>
      </c>
      <c r="F1067" s="3" t="s">
        <v>208</v>
      </c>
      <c r="G1067" s="36">
        <v>2.2</v>
      </c>
      <c r="H1067" s="35">
        <v>123.0</v>
      </c>
      <c r="I1067" s="37">
        <v>0.7951388888888888</v>
      </c>
      <c r="J1067" s="37">
        <v>0.8034722222222223</v>
      </c>
      <c r="K1067" s="38">
        <f t="shared" si="15"/>
        <v>0.008333333333</v>
      </c>
      <c r="L1067" s="39" t="str">
        <f t="shared" si="2"/>
        <v>Evening</v>
      </c>
      <c r="M1067" s="39" t="str">
        <f t="array" ref="M1067">XLOOKUP(D1067,'Category dict'!$B$1:$B$4,'Category dict'!$A$1:$A$4,0,0,1)</f>
        <v>Business</v>
      </c>
      <c r="N1067" s="39" t="str">
        <f>VLOOKUP(H1067,'Purpose dict'!$A$1:$B$12,2,0)</f>
        <v>NOT DEFINED</v>
      </c>
    </row>
    <row r="1068" hidden="1">
      <c r="A1068" s="3" t="s">
        <v>1320</v>
      </c>
      <c r="B1068" s="34">
        <v>42723.82986111111</v>
      </c>
      <c r="C1068" s="34">
        <v>42723.854166666664</v>
      </c>
      <c r="D1068" s="35">
        <v>423.0</v>
      </c>
      <c r="E1068" s="3" t="s">
        <v>208</v>
      </c>
      <c r="F1068" s="3" t="s">
        <v>208</v>
      </c>
      <c r="G1068" s="36">
        <v>11.0</v>
      </c>
      <c r="H1068" s="35">
        <v>3.0</v>
      </c>
      <c r="I1068" s="37">
        <v>0.8298611111111112</v>
      </c>
      <c r="J1068" s="37">
        <v>0.8541666666666666</v>
      </c>
      <c r="K1068" s="38">
        <f t="shared" si="15"/>
        <v>0.02430555556</v>
      </c>
      <c r="L1068" s="39" t="str">
        <f t="shared" si="2"/>
        <v>Evening</v>
      </c>
      <c r="M1068" s="39" t="str">
        <f t="array" ref="M1068">XLOOKUP(D1068,'Category dict'!$B$1:$B$4,'Category dict'!$A$1:$A$4,0,0,1)</f>
        <v>Business</v>
      </c>
      <c r="N1068" s="39" t="str">
        <f>VLOOKUP(H1068,'Purpose dict'!$A$1:$B$12,2,0)</f>
        <v>Meeting</v>
      </c>
    </row>
    <row r="1069" hidden="1">
      <c r="A1069" s="3" t="s">
        <v>1321</v>
      </c>
      <c r="B1069" s="34">
        <v>42724.36736111111</v>
      </c>
      <c r="C1069" s="34">
        <v>42724.39166666667</v>
      </c>
      <c r="D1069" s="35">
        <v>423.0</v>
      </c>
      <c r="E1069" s="3" t="s">
        <v>208</v>
      </c>
      <c r="F1069" s="3" t="s">
        <v>1311</v>
      </c>
      <c r="G1069" s="36">
        <v>12.0</v>
      </c>
      <c r="H1069" s="35">
        <v>123.0</v>
      </c>
      <c r="I1069" s="37">
        <v>0.36736111111111114</v>
      </c>
      <c r="J1069" s="37">
        <v>0.39166666666666666</v>
      </c>
      <c r="K1069" s="38">
        <f t="shared" si="15"/>
        <v>0.02430555556</v>
      </c>
      <c r="L1069" s="39" t="str">
        <f t="shared" si="2"/>
        <v>Morning</v>
      </c>
      <c r="M1069" s="39" t="str">
        <f t="array" ref="M1069">XLOOKUP(D1069,'Category dict'!$B$1:$B$4,'Category dict'!$A$1:$A$4,0,0,1)</f>
        <v>Business</v>
      </c>
      <c r="N1069" s="39" t="str">
        <f>VLOOKUP(H1069,'Purpose dict'!$A$1:$B$12,2,0)</f>
        <v>NOT DEFINED</v>
      </c>
    </row>
    <row r="1070" hidden="1">
      <c r="A1070" s="3" t="s">
        <v>1322</v>
      </c>
      <c r="B1070" s="34">
        <v>42724.4375</v>
      </c>
      <c r="C1070" s="34">
        <v>42724.45</v>
      </c>
      <c r="D1070" s="35">
        <v>423.0</v>
      </c>
      <c r="E1070" s="3" t="s">
        <v>1311</v>
      </c>
      <c r="F1070" s="3" t="s">
        <v>1311</v>
      </c>
      <c r="G1070" s="36">
        <v>3.3</v>
      </c>
      <c r="H1070" s="35">
        <v>2.0</v>
      </c>
      <c r="I1070" s="37">
        <v>0.4375</v>
      </c>
      <c r="J1070" s="37">
        <v>0.45</v>
      </c>
      <c r="K1070" s="38">
        <f t="shared" si="15"/>
        <v>0.0125</v>
      </c>
      <c r="L1070" s="39" t="str">
        <f t="shared" si="2"/>
        <v>Morning</v>
      </c>
      <c r="M1070" s="39" t="str">
        <f t="array" ref="M1070">XLOOKUP(D1070,'Category dict'!$B$1:$B$4,'Category dict'!$A$1:$A$4,0,0,1)</f>
        <v>Business</v>
      </c>
      <c r="N1070" s="39" t="str">
        <f>VLOOKUP(H1070,'Purpose dict'!$A$1:$B$12,2,0)</f>
        <v>Errand/Supplies</v>
      </c>
    </row>
    <row r="1071" hidden="1">
      <c r="A1071" s="3" t="s">
        <v>1323</v>
      </c>
      <c r="B1071" s="34">
        <v>42724.479166666664</v>
      </c>
      <c r="C1071" s="34">
        <v>42724.51180555556</v>
      </c>
      <c r="D1071" s="35">
        <v>423.0</v>
      </c>
      <c r="E1071" s="3" t="s">
        <v>1311</v>
      </c>
      <c r="F1071" s="3" t="s">
        <v>208</v>
      </c>
      <c r="G1071" s="36">
        <v>19.4</v>
      </c>
      <c r="H1071" s="35">
        <v>3.0</v>
      </c>
      <c r="I1071" s="37">
        <v>0.4791666666666667</v>
      </c>
      <c r="J1071" s="37">
        <v>0.5118055555555555</v>
      </c>
      <c r="K1071" s="38">
        <f t="shared" si="15"/>
        <v>0.03263888889</v>
      </c>
      <c r="L1071" s="39" t="str">
        <f t="shared" si="2"/>
        <v>Morning</v>
      </c>
      <c r="M1071" s="39" t="str">
        <f t="array" ref="M1071">XLOOKUP(D1071,'Category dict'!$B$1:$B$4,'Category dict'!$A$1:$A$4,0,0,1)</f>
        <v>Business</v>
      </c>
      <c r="N1071" s="39" t="str">
        <f>VLOOKUP(H1071,'Purpose dict'!$A$1:$B$12,2,0)</f>
        <v>Meeting</v>
      </c>
    </row>
    <row r="1072" hidden="1">
      <c r="A1072" s="3" t="s">
        <v>1324</v>
      </c>
      <c r="B1072" s="34">
        <v>42724.55138888889</v>
      </c>
      <c r="C1072" s="34">
        <v>42724.555555555555</v>
      </c>
      <c r="D1072" s="35">
        <v>423.0</v>
      </c>
      <c r="E1072" s="3" t="s">
        <v>208</v>
      </c>
      <c r="F1072" s="3" t="s">
        <v>208</v>
      </c>
      <c r="G1072" s="36">
        <v>1.7</v>
      </c>
      <c r="H1072" s="35">
        <v>2.0</v>
      </c>
      <c r="I1072" s="37">
        <v>0.5513888888888889</v>
      </c>
      <c r="J1072" s="37">
        <v>0.5555555555555556</v>
      </c>
      <c r="K1072" s="38">
        <f t="shared" si="15"/>
        <v>0.004166666667</v>
      </c>
      <c r="L1072" s="39" t="str">
        <f t="shared" si="2"/>
        <v>Day</v>
      </c>
      <c r="M1072" s="39" t="str">
        <f t="array" ref="M1072">XLOOKUP(D1072,'Category dict'!$B$1:$B$4,'Category dict'!$A$1:$A$4,0,0,1)</f>
        <v>Business</v>
      </c>
      <c r="N1072" s="39" t="str">
        <f>VLOOKUP(H1072,'Purpose dict'!$A$1:$B$12,2,0)</f>
        <v>Errand/Supplies</v>
      </c>
    </row>
    <row r="1073" hidden="1">
      <c r="A1073" s="3" t="s">
        <v>1325</v>
      </c>
      <c r="B1073" s="34">
        <v>42724.57916666667</v>
      </c>
      <c r="C1073" s="34">
        <v>42724.595138888886</v>
      </c>
      <c r="D1073" s="35">
        <v>423.0</v>
      </c>
      <c r="E1073" s="3" t="s">
        <v>208</v>
      </c>
      <c r="F1073" s="3" t="s">
        <v>225</v>
      </c>
      <c r="G1073" s="36">
        <v>5.7</v>
      </c>
      <c r="H1073" s="35">
        <v>5.0</v>
      </c>
      <c r="I1073" s="37">
        <v>0.5791666666666667</v>
      </c>
      <c r="J1073" s="37">
        <v>0.5951388888888889</v>
      </c>
      <c r="K1073" s="38">
        <f t="shared" si="15"/>
        <v>0.01597222222</v>
      </c>
      <c r="L1073" s="39" t="str">
        <f t="shared" si="2"/>
        <v>Day</v>
      </c>
      <c r="M1073" s="39" t="str">
        <f t="array" ref="M1073">XLOOKUP(D1073,'Category dict'!$B$1:$B$4,'Category dict'!$A$1:$A$4,0,0,1)</f>
        <v>Business</v>
      </c>
      <c r="N1073" s="39" t="str">
        <f>VLOOKUP(H1073,'Purpose dict'!$A$1:$B$12,2,0)</f>
        <v>Temporary Site</v>
      </c>
    </row>
    <row r="1074" hidden="1">
      <c r="A1074" s="3" t="s">
        <v>1326</v>
      </c>
      <c r="B1074" s="34">
        <v>42724.67638888889</v>
      </c>
      <c r="C1074" s="34">
        <v>42724.683333333334</v>
      </c>
      <c r="D1074" s="35">
        <v>423.0</v>
      </c>
      <c r="E1074" s="3" t="s">
        <v>225</v>
      </c>
      <c r="F1074" s="3" t="s">
        <v>225</v>
      </c>
      <c r="G1074" s="36">
        <v>1.8</v>
      </c>
      <c r="H1074" s="35">
        <v>2.0</v>
      </c>
      <c r="I1074" s="37">
        <v>0.6763888888888889</v>
      </c>
      <c r="J1074" s="37">
        <v>0.6833333333333333</v>
      </c>
      <c r="K1074" s="38">
        <f t="shared" si="15"/>
        <v>0.006944444444</v>
      </c>
      <c r="L1074" s="39" t="str">
        <f t="shared" si="2"/>
        <v>Day</v>
      </c>
      <c r="M1074" s="39" t="str">
        <f t="array" ref="M1074">XLOOKUP(D1074,'Category dict'!$B$1:$B$4,'Category dict'!$A$1:$A$4,0,0,1)</f>
        <v>Business</v>
      </c>
      <c r="N1074" s="39" t="str">
        <f>VLOOKUP(H1074,'Purpose dict'!$A$1:$B$12,2,0)</f>
        <v>Errand/Supplies</v>
      </c>
    </row>
    <row r="1075">
      <c r="A1075" s="3" t="s">
        <v>1327</v>
      </c>
      <c r="B1075" s="34">
        <v>42724.705555555556</v>
      </c>
      <c r="C1075" s="34">
        <v>42724.71319444444</v>
      </c>
      <c r="D1075" s="35">
        <v>423.0</v>
      </c>
      <c r="E1075" s="3" t="s">
        <v>225</v>
      </c>
      <c r="F1075" s="3" t="s">
        <v>225</v>
      </c>
      <c r="G1075" s="40">
        <v>1.4</v>
      </c>
      <c r="H1075" s="35">
        <v>2.0</v>
      </c>
      <c r="I1075" s="37">
        <v>0.7055555555555556</v>
      </c>
      <c r="J1075" s="37">
        <v>0.7131944444444445</v>
      </c>
      <c r="K1075" s="38">
        <f t="shared" si="15"/>
        <v>0.007638888889</v>
      </c>
      <c r="L1075" s="39" t="str">
        <f t="shared" si="2"/>
        <v>Day</v>
      </c>
      <c r="M1075" s="39" t="str">
        <f t="array" ref="M1075">XLOOKUP(D1075,'Category dict'!$B$1:$B$4,'Category dict'!$A$1:$A$4,0,0,1)</f>
        <v>Business</v>
      </c>
      <c r="N1075" s="39" t="str">
        <f>VLOOKUP(H1075,'Purpose dict'!$A$1:$B$12,2,0)</f>
        <v>Errand/Supplies</v>
      </c>
    </row>
    <row r="1076" hidden="1">
      <c r="A1076" s="3" t="s">
        <v>1328</v>
      </c>
      <c r="B1076" s="34">
        <v>42724.782638888886</v>
      </c>
      <c r="C1076" s="34">
        <v>42724.80625</v>
      </c>
      <c r="D1076" s="35">
        <v>423.0</v>
      </c>
      <c r="E1076" s="3" t="s">
        <v>225</v>
      </c>
      <c r="F1076" s="3" t="s">
        <v>208</v>
      </c>
      <c r="G1076" s="36">
        <v>10.3</v>
      </c>
      <c r="H1076" s="35">
        <v>4.0</v>
      </c>
      <c r="I1076" s="37">
        <v>0.7826388888888889</v>
      </c>
      <c r="J1076" s="37">
        <v>0.80625</v>
      </c>
      <c r="K1076" s="38">
        <f t="shared" si="15"/>
        <v>0.02361111111</v>
      </c>
      <c r="L1076" s="39" t="str">
        <f t="shared" si="2"/>
        <v>Evening</v>
      </c>
      <c r="M1076" s="39" t="str">
        <f t="array" ref="M1076">XLOOKUP(D1076,'Category dict'!$B$1:$B$4,'Category dict'!$A$1:$A$4,0,0,1)</f>
        <v>Business</v>
      </c>
      <c r="N1076" s="39" t="str">
        <f>VLOOKUP(H1076,'Purpose dict'!$A$1:$B$12,2,0)</f>
        <v>Customer Visit</v>
      </c>
    </row>
    <row r="1077" hidden="1">
      <c r="A1077" s="3" t="s">
        <v>1329</v>
      </c>
      <c r="B1077" s="34">
        <v>42725.32083333333</v>
      </c>
      <c r="C1077" s="34">
        <v>42725.34027777778</v>
      </c>
      <c r="D1077" s="35">
        <v>423.0</v>
      </c>
      <c r="E1077" s="3" t="s">
        <v>208</v>
      </c>
      <c r="F1077" s="3" t="s">
        <v>208</v>
      </c>
      <c r="G1077" s="36">
        <v>11.5</v>
      </c>
      <c r="H1077" s="35">
        <v>3.0</v>
      </c>
      <c r="I1077" s="37">
        <v>0.32083333333333336</v>
      </c>
      <c r="J1077" s="37">
        <v>0.3402777777777778</v>
      </c>
      <c r="K1077" s="38">
        <f t="shared" si="15"/>
        <v>0.01944444444</v>
      </c>
      <c r="L1077" s="39" t="str">
        <f t="shared" si="2"/>
        <v>Morning</v>
      </c>
      <c r="M1077" s="39" t="str">
        <f t="array" ref="M1077">XLOOKUP(D1077,'Category dict'!$B$1:$B$4,'Category dict'!$A$1:$A$4,0,0,1)</f>
        <v>Business</v>
      </c>
      <c r="N1077" s="39" t="str">
        <f>VLOOKUP(H1077,'Purpose dict'!$A$1:$B$12,2,0)</f>
        <v>Meeting</v>
      </c>
    </row>
    <row r="1078" hidden="1">
      <c r="A1078" s="3" t="s">
        <v>1330</v>
      </c>
      <c r="B1078" s="34">
        <v>42725.42638888889</v>
      </c>
      <c r="C1078" s="34">
        <v>42725.4375</v>
      </c>
      <c r="D1078" s="35">
        <v>423.0</v>
      </c>
      <c r="E1078" s="3" t="s">
        <v>208</v>
      </c>
      <c r="F1078" s="3" t="s">
        <v>225</v>
      </c>
      <c r="G1078" s="36">
        <v>4.9</v>
      </c>
      <c r="H1078" s="35">
        <v>2.0</v>
      </c>
      <c r="I1078" s="37">
        <v>0.4263888888888889</v>
      </c>
      <c r="J1078" s="37">
        <v>0.4375</v>
      </c>
      <c r="K1078" s="38">
        <f t="shared" si="15"/>
        <v>0.01111111111</v>
      </c>
      <c r="L1078" s="39" t="str">
        <f t="shared" si="2"/>
        <v>Morning</v>
      </c>
      <c r="M1078" s="39" t="str">
        <f t="array" ref="M1078">XLOOKUP(D1078,'Category dict'!$B$1:$B$4,'Category dict'!$A$1:$A$4,0,0,1)</f>
        <v>Business</v>
      </c>
      <c r="N1078" s="39" t="str">
        <f>VLOOKUP(H1078,'Purpose dict'!$A$1:$B$12,2,0)</f>
        <v>Errand/Supplies</v>
      </c>
    </row>
    <row r="1079" hidden="1">
      <c r="A1079" s="3" t="s">
        <v>1331</v>
      </c>
      <c r="B1079" s="34">
        <v>42725.48263888889</v>
      </c>
      <c r="C1079" s="34">
        <v>42725.49236111111</v>
      </c>
      <c r="D1079" s="35">
        <v>423.0</v>
      </c>
      <c r="E1079" s="3" t="s">
        <v>225</v>
      </c>
      <c r="F1079" s="3" t="s">
        <v>208</v>
      </c>
      <c r="G1079" s="36">
        <v>3.5</v>
      </c>
      <c r="H1079" s="35">
        <v>1.0</v>
      </c>
      <c r="I1079" s="37">
        <v>0.4826388888888889</v>
      </c>
      <c r="J1079" s="37">
        <v>0.49236111111111114</v>
      </c>
      <c r="K1079" s="38">
        <f t="shared" si="15"/>
        <v>0.009722222222</v>
      </c>
      <c r="L1079" s="39" t="str">
        <f t="shared" si="2"/>
        <v>Morning</v>
      </c>
      <c r="M1079" s="39" t="str">
        <f t="array" ref="M1079">XLOOKUP(D1079,'Category dict'!$B$1:$B$4,'Category dict'!$A$1:$A$4,0,0,1)</f>
        <v>Business</v>
      </c>
      <c r="N1079" s="39" t="str">
        <f>VLOOKUP(H1079,'Purpose dict'!$A$1:$B$12,2,0)</f>
        <v>Meal/Entertain</v>
      </c>
    </row>
    <row r="1080" hidden="1">
      <c r="A1080" s="3" t="s">
        <v>1332</v>
      </c>
      <c r="B1080" s="34">
        <v>42725.535416666666</v>
      </c>
      <c r="C1080" s="34">
        <v>42725.56458333333</v>
      </c>
      <c r="D1080" s="35">
        <v>423.0</v>
      </c>
      <c r="E1080" s="3" t="s">
        <v>208</v>
      </c>
      <c r="F1080" s="3" t="s">
        <v>208</v>
      </c>
      <c r="G1080" s="36">
        <v>16.2</v>
      </c>
      <c r="H1080" s="35">
        <v>3.0</v>
      </c>
      <c r="I1080" s="37">
        <v>0.5354166666666667</v>
      </c>
      <c r="J1080" s="37">
        <v>0.5645833333333333</v>
      </c>
      <c r="K1080" s="38">
        <f t="shared" si="15"/>
        <v>0.02916666667</v>
      </c>
      <c r="L1080" s="39" t="str">
        <f t="shared" si="2"/>
        <v>Day</v>
      </c>
      <c r="M1080" s="39" t="str">
        <f t="array" ref="M1080">XLOOKUP(D1080,'Category dict'!$B$1:$B$4,'Category dict'!$A$1:$A$4,0,0,1)</f>
        <v>Business</v>
      </c>
      <c r="N1080" s="39" t="str">
        <f>VLOOKUP(H1080,'Purpose dict'!$A$1:$B$12,2,0)</f>
        <v>Meeting</v>
      </c>
    </row>
    <row r="1081" hidden="1">
      <c r="A1081" s="3" t="s">
        <v>1333</v>
      </c>
      <c r="B1081" s="34">
        <v>42725.65138888889</v>
      </c>
      <c r="C1081" s="34">
        <v>42725.65902777778</v>
      </c>
      <c r="D1081" s="35">
        <v>423.0</v>
      </c>
      <c r="E1081" s="3" t="s">
        <v>208</v>
      </c>
      <c r="F1081" s="3" t="s">
        <v>208</v>
      </c>
      <c r="G1081" s="36">
        <v>2.0</v>
      </c>
      <c r="H1081" s="35">
        <v>2.0</v>
      </c>
      <c r="I1081" s="37">
        <v>0.6513888888888889</v>
      </c>
      <c r="J1081" s="37">
        <v>0.6590277777777778</v>
      </c>
      <c r="K1081" s="38">
        <f t="shared" si="15"/>
        <v>0.007638888889</v>
      </c>
      <c r="L1081" s="39" t="str">
        <f t="shared" si="2"/>
        <v>Day</v>
      </c>
      <c r="M1081" s="39" t="str">
        <f t="array" ref="M1081">XLOOKUP(D1081,'Category dict'!$B$1:$B$4,'Category dict'!$A$1:$A$4,0,0,1)</f>
        <v>Business</v>
      </c>
      <c r="N1081" s="39" t="str">
        <f>VLOOKUP(H1081,'Purpose dict'!$A$1:$B$12,2,0)</f>
        <v>Errand/Supplies</v>
      </c>
    </row>
    <row r="1082" hidden="1">
      <c r="A1082" s="3" t="s">
        <v>1334</v>
      </c>
      <c r="B1082" s="34">
        <v>42725.663194444445</v>
      </c>
      <c r="C1082" s="34">
        <v>42725.67013888889</v>
      </c>
      <c r="D1082" s="35">
        <v>423.0</v>
      </c>
      <c r="E1082" s="3" t="s">
        <v>208</v>
      </c>
      <c r="F1082" s="3" t="s">
        <v>225</v>
      </c>
      <c r="G1082" s="36">
        <v>2.1</v>
      </c>
      <c r="H1082" s="35">
        <v>2.0</v>
      </c>
      <c r="I1082" s="37">
        <v>0.6631944444444444</v>
      </c>
      <c r="J1082" s="37">
        <v>0.6701388888888888</v>
      </c>
      <c r="K1082" s="38">
        <f t="shared" si="15"/>
        <v>0.006944444444</v>
      </c>
      <c r="L1082" s="39" t="str">
        <f t="shared" si="2"/>
        <v>Day</v>
      </c>
      <c r="M1082" s="39" t="str">
        <f t="array" ref="M1082">XLOOKUP(D1082,'Category dict'!$B$1:$B$4,'Category dict'!$A$1:$A$4,0,0,1)</f>
        <v>Business</v>
      </c>
      <c r="N1082" s="39" t="str">
        <f>VLOOKUP(H1082,'Purpose dict'!$A$1:$B$12,2,0)</f>
        <v>Errand/Supplies</v>
      </c>
    </row>
    <row r="1083" hidden="1">
      <c r="A1083" s="3" t="s">
        <v>1335</v>
      </c>
      <c r="B1083" s="34">
        <v>42725.739583333336</v>
      </c>
      <c r="C1083" s="34">
        <v>42725.745833333334</v>
      </c>
      <c r="D1083" s="35">
        <v>423.0</v>
      </c>
      <c r="E1083" s="3" t="s">
        <v>225</v>
      </c>
      <c r="F1083" s="3" t="s">
        <v>225</v>
      </c>
      <c r="G1083" s="36">
        <v>2.1</v>
      </c>
      <c r="H1083" s="35">
        <v>3.0</v>
      </c>
      <c r="I1083" s="37">
        <v>0.7395833333333334</v>
      </c>
      <c r="J1083" s="37">
        <v>0.7458333333333333</v>
      </c>
      <c r="K1083" s="38">
        <f t="shared" si="15"/>
        <v>0.00625</v>
      </c>
      <c r="L1083" s="39" t="str">
        <f t="shared" si="2"/>
        <v>Day</v>
      </c>
      <c r="M1083" s="39" t="str">
        <f t="array" ref="M1083">XLOOKUP(D1083,'Category dict'!$B$1:$B$4,'Category dict'!$A$1:$A$4,0,0,1)</f>
        <v>Business</v>
      </c>
      <c r="N1083" s="39" t="str">
        <f>VLOOKUP(H1083,'Purpose dict'!$A$1:$B$12,2,0)</f>
        <v>Meeting</v>
      </c>
    </row>
    <row r="1084" hidden="1">
      <c r="A1084" s="3" t="s">
        <v>1336</v>
      </c>
      <c r="B1084" s="34">
        <v>42725.74930555555</v>
      </c>
      <c r="C1084" s="34">
        <v>42725.771527777775</v>
      </c>
      <c r="D1084" s="35">
        <v>423.0</v>
      </c>
      <c r="E1084" s="3" t="s">
        <v>225</v>
      </c>
      <c r="F1084" s="3" t="s">
        <v>208</v>
      </c>
      <c r="G1084" s="36">
        <v>7.2</v>
      </c>
      <c r="H1084" s="35">
        <v>4.0</v>
      </c>
      <c r="I1084" s="37">
        <v>0.7493055555555556</v>
      </c>
      <c r="J1084" s="37">
        <v>0.7715277777777778</v>
      </c>
      <c r="K1084" s="38">
        <f t="shared" si="15"/>
        <v>0.02222222222</v>
      </c>
      <c r="L1084" s="39" t="str">
        <f t="shared" si="2"/>
        <v>Day</v>
      </c>
      <c r="M1084" s="39" t="str">
        <f t="array" ref="M1084">XLOOKUP(D1084,'Category dict'!$B$1:$B$4,'Category dict'!$A$1:$A$4,0,0,1)</f>
        <v>Business</v>
      </c>
      <c r="N1084" s="39" t="str">
        <f>VLOOKUP(H1084,'Purpose dict'!$A$1:$B$12,2,0)</f>
        <v>Customer Visit</v>
      </c>
    </row>
    <row r="1085" hidden="1">
      <c r="A1085" s="3" t="s">
        <v>1337</v>
      </c>
      <c r="B1085" s="34">
        <v>42725.825694444444</v>
      </c>
      <c r="C1085" s="34">
        <v>42725.85763888889</v>
      </c>
      <c r="D1085" s="35">
        <v>423.0</v>
      </c>
      <c r="E1085" s="3" t="s">
        <v>208</v>
      </c>
      <c r="F1085" s="3" t="s">
        <v>1311</v>
      </c>
      <c r="G1085" s="36">
        <v>12.0</v>
      </c>
      <c r="H1085" s="35">
        <v>3.0</v>
      </c>
      <c r="I1085" s="37">
        <v>0.8256944444444444</v>
      </c>
      <c r="J1085" s="37">
        <v>0.8576388888888888</v>
      </c>
      <c r="K1085" s="38">
        <f t="shared" si="15"/>
        <v>0.03194444444</v>
      </c>
      <c r="L1085" s="39" t="str">
        <f t="shared" si="2"/>
        <v>Evening</v>
      </c>
      <c r="M1085" s="39" t="str">
        <f t="array" ref="M1085">XLOOKUP(D1085,'Category dict'!$B$1:$B$4,'Category dict'!$A$1:$A$4,0,0,1)</f>
        <v>Business</v>
      </c>
      <c r="N1085" s="39" t="str">
        <f>VLOOKUP(H1085,'Purpose dict'!$A$1:$B$12,2,0)</f>
        <v>Meeting</v>
      </c>
    </row>
    <row r="1086" hidden="1">
      <c r="A1086" s="3" t="s">
        <v>1338</v>
      </c>
      <c r="B1086" s="34">
        <v>42725.87222222222</v>
      </c>
      <c r="C1086" s="34">
        <v>42725.9875</v>
      </c>
      <c r="D1086" s="35">
        <v>423.0</v>
      </c>
      <c r="E1086" s="3" t="s">
        <v>1311</v>
      </c>
      <c r="F1086" s="3" t="s">
        <v>208</v>
      </c>
      <c r="G1086" s="36">
        <v>103.0</v>
      </c>
      <c r="H1086" s="35">
        <v>3.0</v>
      </c>
      <c r="I1086" s="37">
        <v>0.8722222222222222</v>
      </c>
      <c r="J1086" s="37">
        <v>0.9875</v>
      </c>
      <c r="K1086" s="38">
        <f t="shared" si="15"/>
        <v>0.1152777778</v>
      </c>
      <c r="L1086" s="39" t="str">
        <f t="shared" si="2"/>
        <v>Evening</v>
      </c>
      <c r="M1086" s="39" t="str">
        <f t="array" ref="M1086">XLOOKUP(D1086,'Category dict'!$B$1:$B$4,'Category dict'!$A$1:$A$4,0,0,1)</f>
        <v>Business</v>
      </c>
      <c r="N1086" s="39" t="str">
        <f>VLOOKUP(H1086,'Purpose dict'!$A$1:$B$12,2,0)</f>
        <v>Meeting</v>
      </c>
    </row>
    <row r="1087" hidden="1">
      <c r="A1087" s="3" t="s">
        <v>1339</v>
      </c>
      <c r="B1087" s="34">
        <v>42726.65277777778</v>
      </c>
      <c r="C1087" s="34">
        <v>42726.69305555556</v>
      </c>
      <c r="D1087" s="35">
        <v>423.0</v>
      </c>
      <c r="E1087" s="3" t="s">
        <v>208</v>
      </c>
      <c r="F1087" s="3" t="s">
        <v>208</v>
      </c>
      <c r="G1087" s="36">
        <v>32.3</v>
      </c>
      <c r="H1087" s="35">
        <v>3.0</v>
      </c>
      <c r="I1087" s="37">
        <v>0.6527777777777778</v>
      </c>
      <c r="J1087" s="37">
        <v>0.6930555555555555</v>
      </c>
      <c r="K1087" s="38">
        <f t="shared" si="15"/>
        <v>0.04027777778</v>
      </c>
      <c r="L1087" s="39" t="str">
        <f t="shared" si="2"/>
        <v>Day</v>
      </c>
      <c r="M1087" s="39" t="str">
        <f t="array" ref="M1087">XLOOKUP(D1087,'Category dict'!$B$1:$B$4,'Category dict'!$A$1:$A$4,0,0,1)</f>
        <v>Business</v>
      </c>
      <c r="N1087" s="39" t="str">
        <f>VLOOKUP(H1087,'Purpose dict'!$A$1:$B$12,2,0)</f>
        <v>Meeting</v>
      </c>
    </row>
    <row r="1088" hidden="1">
      <c r="A1088" s="3" t="s">
        <v>1340</v>
      </c>
      <c r="B1088" s="34">
        <v>42726.71111111111</v>
      </c>
      <c r="C1088" s="34">
        <v>42726.72222222222</v>
      </c>
      <c r="D1088" s="35">
        <v>423.0</v>
      </c>
      <c r="E1088" s="3" t="s">
        <v>208</v>
      </c>
      <c r="F1088" s="3" t="s">
        <v>208</v>
      </c>
      <c r="G1088" s="36">
        <v>5.3</v>
      </c>
      <c r="H1088" s="35">
        <v>4.0</v>
      </c>
      <c r="I1088" s="37">
        <v>0.7111111111111111</v>
      </c>
      <c r="J1088" s="37">
        <v>0.7222222222222222</v>
      </c>
      <c r="K1088" s="38">
        <f t="shared" si="15"/>
        <v>0.01111111111</v>
      </c>
      <c r="L1088" s="39" t="str">
        <f t="shared" si="2"/>
        <v>Day</v>
      </c>
      <c r="M1088" s="39" t="str">
        <f t="array" ref="M1088">XLOOKUP(D1088,'Category dict'!$B$1:$B$4,'Category dict'!$A$1:$A$4,0,0,1)</f>
        <v>Business</v>
      </c>
      <c r="N1088" s="39" t="str">
        <f>VLOOKUP(H1088,'Purpose dict'!$A$1:$B$12,2,0)</f>
        <v>Customer Visit</v>
      </c>
    </row>
    <row r="1089" hidden="1">
      <c r="A1089" s="3" t="s">
        <v>1341</v>
      </c>
      <c r="B1089" s="34">
        <v>42726.72708333333</v>
      </c>
      <c r="C1089" s="34">
        <v>42726.74513888889</v>
      </c>
      <c r="D1089" s="35">
        <v>423.0</v>
      </c>
      <c r="E1089" s="3" t="s">
        <v>208</v>
      </c>
      <c r="F1089" s="3" t="s">
        <v>208</v>
      </c>
      <c r="G1089" s="36">
        <v>11.6</v>
      </c>
      <c r="H1089" s="35">
        <v>3.0</v>
      </c>
      <c r="I1089" s="37">
        <v>0.7270833333333333</v>
      </c>
      <c r="J1089" s="37">
        <v>0.7451388888888889</v>
      </c>
      <c r="K1089" s="38">
        <f t="shared" si="15"/>
        <v>0.01805555556</v>
      </c>
      <c r="L1089" s="39" t="str">
        <f t="shared" si="2"/>
        <v>Day</v>
      </c>
      <c r="M1089" s="39" t="str">
        <f t="array" ref="M1089">XLOOKUP(D1089,'Category dict'!$B$1:$B$4,'Category dict'!$A$1:$A$4,0,0,1)</f>
        <v>Business</v>
      </c>
      <c r="N1089" s="39" t="str">
        <f>VLOOKUP(H1089,'Purpose dict'!$A$1:$B$12,2,0)</f>
        <v>Meeting</v>
      </c>
    </row>
    <row r="1090" hidden="1">
      <c r="A1090" s="3" t="s">
        <v>1342</v>
      </c>
      <c r="B1090" s="34">
        <v>42726.74722222222</v>
      </c>
      <c r="C1090" s="34">
        <v>42726.77013888889</v>
      </c>
      <c r="D1090" s="35">
        <v>423.0</v>
      </c>
      <c r="E1090" s="3" t="s">
        <v>208</v>
      </c>
      <c r="F1090" s="3" t="s">
        <v>208</v>
      </c>
      <c r="G1090" s="36">
        <v>23.2</v>
      </c>
      <c r="H1090" s="35">
        <v>3.0</v>
      </c>
      <c r="I1090" s="37">
        <v>0.7472222222222222</v>
      </c>
      <c r="J1090" s="37">
        <v>0.7701388888888889</v>
      </c>
      <c r="K1090" s="38">
        <f t="shared" si="15"/>
        <v>0.02291666667</v>
      </c>
      <c r="L1090" s="39" t="str">
        <f t="shared" si="2"/>
        <v>Day</v>
      </c>
      <c r="M1090" s="39" t="str">
        <f t="array" ref="M1090">XLOOKUP(D1090,'Category dict'!$B$1:$B$4,'Category dict'!$A$1:$A$4,0,0,1)</f>
        <v>Business</v>
      </c>
      <c r="N1090" s="39" t="str">
        <f>VLOOKUP(H1090,'Purpose dict'!$A$1:$B$12,2,0)</f>
        <v>Meeting</v>
      </c>
    </row>
    <row r="1091" hidden="1">
      <c r="A1091" s="3" t="s">
        <v>1343</v>
      </c>
      <c r="B1091" s="34">
        <v>42726.771527777775</v>
      </c>
      <c r="C1091" s="34">
        <v>42726.77569444444</v>
      </c>
      <c r="D1091" s="35">
        <v>423.0</v>
      </c>
      <c r="E1091" s="3" t="s">
        <v>208</v>
      </c>
      <c r="F1091" s="3" t="s">
        <v>208</v>
      </c>
      <c r="G1091" s="36">
        <v>3.2</v>
      </c>
      <c r="H1091" s="35">
        <v>2.0</v>
      </c>
      <c r="I1091" s="37">
        <v>0.7715277777777778</v>
      </c>
      <c r="J1091" s="37">
        <v>0.7756944444444445</v>
      </c>
      <c r="K1091" s="38">
        <f t="shared" si="15"/>
        <v>0.004166666667</v>
      </c>
      <c r="L1091" s="39" t="str">
        <f t="shared" si="2"/>
        <v>Evening</v>
      </c>
      <c r="M1091" s="39" t="str">
        <f t="array" ref="M1091">XLOOKUP(D1091,'Category dict'!$B$1:$B$4,'Category dict'!$A$1:$A$4,0,0,1)</f>
        <v>Business</v>
      </c>
      <c r="N1091" s="39" t="str">
        <f>VLOOKUP(H1091,'Purpose dict'!$A$1:$B$12,2,0)</f>
        <v>Errand/Supplies</v>
      </c>
    </row>
    <row r="1092" hidden="1">
      <c r="A1092" s="3" t="s">
        <v>1344</v>
      </c>
      <c r="B1092" s="34">
        <v>42726.77638888889</v>
      </c>
      <c r="C1092" s="34">
        <v>42726.782638888886</v>
      </c>
      <c r="D1092" s="35">
        <v>423.0</v>
      </c>
      <c r="E1092" s="3" t="s">
        <v>208</v>
      </c>
      <c r="F1092" s="3" t="s">
        <v>208</v>
      </c>
      <c r="G1092" s="36">
        <v>12.3</v>
      </c>
      <c r="H1092" s="35">
        <v>5.0</v>
      </c>
      <c r="I1092" s="37">
        <v>0.7763888888888889</v>
      </c>
      <c r="J1092" s="37">
        <v>0.7826388888888889</v>
      </c>
      <c r="K1092" s="38">
        <f t="shared" si="15"/>
        <v>0.00625</v>
      </c>
      <c r="L1092" s="39" t="str">
        <f t="shared" si="2"/>
        <v>Evening</v>
      </c>
      <c r="M1092" s="39" t="str">
        <f t="array" ref="M1092">XLOOKUP(D1092,'Category dict'!$B$1:$B$4,'Category dict'!$A$1:$A$4,0,0,1)</f>
        <v>Business</v>
      </c>
      <c r="N1092" s="39" t="str">
        <f>VLOOKUP(H1092,'Purpose dict'!$A$1:$B$12,2,0)</f>
        <v>Temporary Site</v>
      </c>
    </row>
    <row r="1093" hidden="1">
      <c r="A1093" s="3" t="s">
        <v>1345</v>
      </c>
      <c r="B1093" s="34">
        <v>42726.794444444444</v>
      </c>
      <c r="C1093" s="34">
        <v>42726.82638888889</v>
      </c>
      <c r="D1093" s="35">
        <v>423.0</v>
      </c>
      <c r="E1093" s="3" t="s">
        <v>208</v>
      </c>
      <c r="F1093" s="3" t="s">
        <v>930</v>
      </c>
      <c r="G1093" s="36">
        <v>14.0</v>
      </c>
      <c r="H1093" s="35">
        <v>3.0</v>
      </c>
      <c r="I1093" s="37">
        <v>0.7944444444444444</v>
      </c>
      <c r="J1093" s="37">
        <v>0.8263888888888888</v>
      </c>
      <c r="K1093" s="38">
        <f t="shared" si="15"/>
        <v>0.03194444444</v>
      </c>
      <c r="L1093" s="39" t="str">
        <f t="shared" si="2"/>
        <v>Evening</v>
      </c>
      <c r="M1093" s="39" t="str">
        <f t="array" ref="M1093">XLOOKUP(D1093,'Category dict'!$B$1:$B$4,'Category dict'!$A$1:$A$4,0,0,1)</f>
        <v>Business</v>
      </c>
      <c r="N1093" s="39" t="str">
        <f>VLOOKUP(H1093,'Purpose dict'!$A$1:$B$12,2,0)</f>
        <v>Meeting</v>
      </c>
    </row>
    <row r="1094" hidden="1">
      <c r="A1094" s="3" t="s">
        <v>1346</v>
      </c>
      <c r="B1094" s="34">
        <v>42726.90347222222</v>
      </c>
      <c r="C1094" s="34">
        <v>42726.91180555556</v>
      </c>
      <c r="D1094" s="35">
        <v>423.0</v>
      </c>
      <c r="E1094" s="3" t="s">
        <v>930</v>
      </c>
      <c r="F1094" s="3" t="s">
        <v>930</v>
      </c>
      <c r="G1094" s="36">
        <v>2.1</v>
      </c>
      <c r="H1094" s="35">
        <v>1.0</v>
      </c>
      <c r="I1094" s="37">
        <v>0.9034722222222222</v>
      </c>
      <c r="J1094" s="37">
        <v>0.9118055555555555</v>
      </c>
      <c r="K1094" s="38">
        <f t="shared" si="15"/>
        <v>0.008333333333</v>
      </c>
      <c r="L1094" s="39" t="str">
        <f t="shared" si="2"/>
        <v>Evening</v>
      </c>
      <c r="M1094" s="39" t="str">
        <f t="array" ref="M1094">XLOOKUP(D1094,'Category dict'!$B$1:$B$4,'Category dict'!$A$1:$A$4,0,0,1)</f>
        <v>Business</v>
      </c>
      <c r="N1094" s="39" t="str">
        <f>VLOOKUP(H1094,'Purpose dict'!$A$1:$B$12,2,0)</f>
        <v>Meal/Entertain</v>
      </c>
    </row>
    <row r="1095" hidden="1">
      <c r="A1095" s="3" t="s">
        <v>1347</v>
      </c>
      <c r="B1095" s="34">
        <v>42726.97708333333</v>
      </c>
      <c r="C1095" s="34">
        <v>42726.98055555556</v>
      </c>
      <c r="D1095" s="35">
        <v>423.0</v>
      </c>
      <c r="E1095" s="3" t="s">
        <v>930</v>
      </c>
      <c r="F1095" s="3" t="s">
        <v>930</v>
      </c>
      <c r="G1095" s="36">
        <v>2.1</v>
      </c>
      <c r="H1095" s="35">
        <v>4.0</v>
      </c>
      <c r="I1095" s="37">
        <v>0.9770833333333333</v>
      </c>
      <c r="J1095" s="37">
        <v>0.9805555555555555</v>
      </c>
      <c r="K1095" s="38">
        <f t="shared" si="15"/>
        <v>0.003472222222</v>
      </c>
      <c r="L1095" s="39" t="str">
        <f t="shared" si="2"/>
        <v>Evening</v>
      </c>
      <c r="M1095" s="39" t="str">
        <f t="array" ref="M1095">XLOOKUP(D1095,'Category dict'!$B$1:$B$4,'Category dict'!$A$1:$A$4,0,0,1)</f>
        <v>Business</v>
      </c>
      <c r="N1095" s="39" t="str">
        <f>VLOOKUP(H1095,'Purpose dict'!$A$1:$B$12,2,0)</f>
        <v>Customer Visit</v>
      </c>
    </row>
    <row r="1096" hidden="1">
      <c r="A1096" s="3" t="s">
        <v>1348</v>
      </c>
      <c r="B1096" s="34">
        <v>42727.38958333333</v>
      </c>
      <c r="C1096" s="34">
        <v>42727.40347222222</v>
      </c>
      <c r="D1096" s="35">
        <v>423.0</v>
      </c>
      <c r="E1096" s="3" t="s">
        <v>930</v>
      </c>
      <c r="F1096" s="3" t="s">
        <v>930</v>
      </c>
      <c r="G1096" s="36">
        <v>3.0</v>
      </c>
      <c r="H1096" s="35">
        <v>3.0</v>
      </c>
      <c r="I1096" s="37">
        <v>0.38958333333333334</v>
      </c>
      <c r="J1096" s="37">
        <v>0.40347222222222223</v>
      </c>
      <c r="K1096" s="38">
        <f t="shared" si="15"/>
        <v>0.01388888889</v>
      </c>
      <c r="L1096" s="39" t="str">
        <f t="shared" si="2"/>
        <v>Morning</v>
      </c>
      <c r="M1096" s="39" t="str">
        <f t="array" ref="M1096">XLOOKUP(D1096,'Category dict'!$B$1:$B$4,'Category dict'!$A$1:$A$4,0,0,1)</f>
        <v>Business</v>
      </c>
      <c r="N1096" s="39" t="str">
        <f>VLOOKUP(H1096,'Purpose dict'!$A$1:$B$12,2,0)</f>
        <v>Meeting</v>
      </c>
    </row>
    <row r="1097" hidden="1">
      <c r="A1097" s="3" t="s">
        <v>1349</v>
      </c>
      <c r="B1097" s="34">
        <v>42727.48125</v>
      </c>
      <c r="C1097" s="34">
        <v>42727.498611111114</v>
      </c>
      <c r="D1097" s="35">
        <v>423.0</v>
      </c>
      <c r="E1097" s="3" t="s">
        <v>930</v>
      </c>
      <c r="F1097" s="3" t="s">
        <v>208</v>
      </c>
      <c r="G1097" s="36">
        <v>6.2</v>
      </c>
      <c r="H1097" s="35">
        <v>3.0</v>
      </c>
      <c r="I1097" s="37">
        <v>0.48125</v>
      </c>
      <c r="J1097" s="37">
        <v>0.4986111111111111</v>
      </c>
      <c r="K1097" s="38">
        <f t="shared" si="15"/>
        <v>0.01736111111</v>
      </c>
      <c r="L1097" s="39" t="str">
        <f t="shared" si="2"/>
        <v>Morning</v>
      </c>
      <c r="M1097" s="39" t="str">
        <f t="array" ref="M1097">XLOOKUP(D1097,'Category dict'!$B$1:$B$4,'Category dict'!$A$1:$A$4,0,0,1)</f>
        <v>Business</v>
      </c>
      <c r="N1097" s="39" t="str">
        <f>VLOOKUP(H1097,'Purpose dict'!$A$1:$B$12,2,0)</f>
        <v>Meeting</v>
      </c>
    </row>
    <row r="1098" hidden="1">
      <c r="A1098" s="3" t="s">
        <v>1350</v>
      </c>
      <c r="B1098" s="34">
        <v>42727.59375</v>
      </c>
      <c r="C1098" s="34">
        <v>42727.64236111111</v>
      </c>
      <c r="D1098" s="35">
        <v>423.0</v>
      </c>
      <c r="E1098" s="3" t="s">
        <v>208</v>
      </c>
      <c r="F1098" s="3" t="s">
        <v>208</v>
      </c>
      <c r="G1098" s="36">
        <v>9.6</v>
      </c>
      <c r="H1098" s="35">
        <v>3.0</v>
      </c>
      <c r="I1098" s="37">
        <v>0.59375</v>
      </c>
      <c r="J1098" s="37">
        <v>0.6423611111111112</v>
      </c>
      <c r="K1098" s="38">
        <f t="shared" si="15"/>
        <v>0.04861111111</v>
      </c>
      <c r="L1098" s="39" t="str">
        <f t="shared" si="2"/>
        <v>Day</v>
      </c>
      <c r="M1098" s="39" t="str">
        <f t="array" ref="M1098">XLOOKUP(D1098,'Category dict'!$B$1:$B$4,'Category dict'!$A$1:$A$4,0,0,1)</f>
        <v>Business</v>
      </c>
      <c r="N1098" s="39" t="str">
        <f>VLOOKUP(H1098,'Purpose dict'!$A$1:$B$12,2,0)</f>
        <v>Meeting</v>
      </c>
    </row>
    <row r="1099">
      <c r="A1099" s="3" t="s">
        <v>1351</v>
      </c>
      <c r="B1099" s="34">
        <v>42727.68263888889</v>
      </c>
      <c r="C1099" s="34">
        <v>42727.69027777778</v>
      </c>
      <c r="D1099" s="35">
        <v>423.0</v>
      </c>
      <c r="E1099" s="3" t="s">
        <v>208</v>
      </c>
      <c r="F1099" s="3" t="s">
        <v>208</v>
      </c>
      <c r="G1099" s="40">
        <v>1.3</v>
      </c>
      <c r="H1099" s="35">
        <v>2.0</v>
      </c>
      <c r="I1099" s="37">
        <v>0.6826388888888889</v>
      </c>
      <c r="J1099" s="37">
        <v>0.6902777777777778</v>
      </c>
      <c r="K1099" s="38">
        <f t="shared" si="15"/>
        <v>0.007638888889</v>
      </c>
      <c r="L1099" s="39" t="str">
        <f t="shared" si="2"/>
        <v>Day</v>
      </c>
      <c r="M1099" s="39" t="str">
        <f t="array" ref="M1099">XLOOKUP(D1099,'Category dict'!$B$1:$B$4,'Category dict'!$A$1:$A$4,0,0,1)</f>
        <v>Business</v>
      </c>
      <c r="N1099" s="39" t="str">
        <f>VLOOKUP(H1099,'Purpose dict'!$A$1:$B$12,2,0)</f>
        <v>Errand/Supplies</v>
      </c>
    </row>
    <row r="1100" hidden="1">
      <c r="A1100" s="3" t="s">
        <v>1352</v>
      </c>
      <c r="B1100" s="34">
        <v>42727.731944444444</v>
      </c>
      <c r="C1100" s="34">
        <v>42727.76875</v>
      </c>
      <c r="D1100" s="35">
        <v>423.0</v>
      </c>
      <c r="E1100" s="3" t="s">
        <v>208</v>
      </c>
      <c r="F1100" s="3" t="s">
        <v>930</v>
      </c>
      <c r="G1100" s="36">
        <v>7.1</v>
      </c>
      <c r="H1100" s="35">
        <v>1.0</v>
      </c>
      <c r="I1100" s="37">
        <v>0.7319444444444444</v>
      </c>
      <c r="J1100" s="37">
        <v>0.76875</v>
      </c>
      <c r="K1100" s="38">
        <f t="shared" si="15"/>
        <v>0.03680555556</v>
      </c>
      <c r="L1100" s="39" t="str">
        <f t="shared" si="2"/>
        <v>Day</v>
      </c>
      <c r="M1100" s="39" t="str">
        <f t="array" ref="M1100">XLOOKUP(D1100,'Category dict'!$B$1:$B$4,'Category dict'!$A$1:$A$4,0,0,1)</f>
        <v>Business</v>
      </c>
      <c r="N1100" s="39" t="str">
        <f>VLOOKUP(H1100,'Purpose dict'!$A$1:$B$12,2,0)</f>
        <v>Meal/Entertain</v>
      </c>
    </row>
    <row r="1101" hidden="1">
      <c r="A1101" s="3" t="s">
        <v>1353</v>
      </c>
      <c r="B1101" s="34">
        <v>42728.32152777778</v>
      </c>
      <c r="C1101" s="34">
        <v>42728.33611111111</v>
      </c>
      <c r="D1101" s="35">
        <v>423.0</v>
      </c>
      <c r="E1101" s="3" t="s">
        <v>930</v>
      </c>
      <c r="F1101" s="3" t="s">
        <v>208</v>
      </c>
      <c r="G1101" s="36">
        <v>6.3</v>
      </c>
      <c r="H1101" s="35">
        <v>1.0</v>
      </c>
      <c r="I1101" s="37">
        <v>0.3215277777777778</v>
      </c>
      <c r="J1101" s="37">
        <v>0.33611111111111114</v>
      </c>
      <c r="K1101" s="38">
        <f t="shared" si="15"/>
        <v>0.01458333333</v>
      </c>
      <c r="L1101" s="39" t="str">
        <f t="shared" si="2"/>
        <v>Morning</v>
      </c>
      <c r="M1101" s="39" t="str">
        <f t="array" ref="M1101">XLOOKUP(D1101,'Category dict'!$B$1:$B$4,'Category dict'!$A$1:$A$4,0,0,1)</f>
        <v>Business</v>
      </c>
      <c r="N1101" s="39" t="str">
        <f>VLOOKUP(H1101,'Purpose dict'!$A$1:$B$12,2,0)</f>
        <v>Meal/Entertain</v>
      </c>
    </row>
    <row r="1102" hidden="1">
      <c r="A1102" s="3" t="s">
        <v>1354</v>
      </c>
      <c r="B1102" s="34">
        <v>42728.388194444444</v>
      </c>
      <c r="C1102" s="34">
        <v>42728.413194444445</v>
      </c>
      <c r="D1102" s="35">
        <v>423.0</v>
      </c>
      <c r="E1102" s="3" t="s">
        <v>208</v>
      </c>
      <c r="F1102" s="3" t="s">
        <v>930</v>
      </c>
      <c r="G1102" s="36">
        <v>10.7</v>
      </c>
      <c r="H1102" s="35">
        <v>1.0</v>
      </c>
      <c r="I1102" s="37">
        <v>0.38819444444444445</v>
      </c>
      <c r="J1102" s="37">
        <v>0.4131944444444444</v>
      </c>
      <c r="K1102" s="38">
        <f t="shared" si="15"/>
        <v>0.025</v>
      </c>
      <c r="L1102" s="39" t="str">
        <f t="shared" si="2"/>
        <v>Morning</v>
      </c>
      <c r="M1102" s="39" t="str">
        <f t="array" ref="M1102">XLOOKUP(D1102,'Category dict'!$B$1:$B$4,'Category dict'!$A$1:$A$4,0,0,1)</f>
        <v>Business</v>
      </c>
      <c r="N1102" s="39" t="str">
        <f>VLOOKUP(H1102,'Purpose dict'!$A$1:$B$12,2,0)</f>
        <v>Meal/Entertain</v>
      </c>
    </row>
    <row r="1103" hidden="1">
      <c r="A1103" s="3" t="s">
        <v>1355</v>
      </c>
      <c r="B1103" s="34">
        <v>42728.44027777778</v>
      </c>
      <c r="C1103" s="34">
        <v>42728.45347222222</v>
      </c>
      <c r="D1103" s="35">
        <v>423.0</v>
      </c>
      <c r="E1103" s="3" t="s">
        <v>930</v>
      </c>
      <c r="F1103" s="3" t="s">
        <v>930</v>
      </c>
      <c r="G1103" s="36">
        <v>5.3</v>
      </c>
      <c r="H1103" s="35">
        <v>1.0</v>
      </c>
      <c r="I1103" s="37">
        <v>0.44027777777777777</v>
      </c>
      <c r="J1103" s="37">
        <v>0.4534722222222222</v>
      </c>
      <c r="K1103" s="38">
        <f t="shared" si="15"/>
        <v>0.01319444444</v>
      </c>
      <c r="L1103" s="39" t="str">
        <f t="shared" si="2"/>
        <v>Morning</v>
      </c>
      <c r="M1103" s="39" t="str">
        <f t="array" ref="M1103">XLOOKUP(D1103,'Category dict'!$B$1:$B$4,'Category dict'!$A$1:$A$4,0,0,1)</f>
        <v>Business</v>
      </c>
      <c r="N1103" s="39" t="str">
        <f>VLOOKUP(H1103,'Purpose dict'!$A$1:$B$12,2,0)</f>
        <v>Meal/Entertain</v>
      </c>
    </row>
    <row r="1104" hidden="1">
      <c r="A1104" s="3" t="s">
        <v>1356</v>
      </c>
      <c r="B1104" s="34">
        <v>42728.535416666666</v>
      </c>
      <c r="C1104" s="34">
        <v>42728.53680555556</v>
      </c>
      <c r="D1104" s="35">
        <v>423.0</v>
      </c>
      <c r="E1104" s="3" t="s">
        <v>930</v>
      </c>
      <c r="F1104" s="3" t="s">
        <v>930</v>
      </c>
      <c r="G1104" s="36">
        <v>1.6</v>
      </c>
      <c r="H1104" s="35">
        <v>2.0</v>
      </c>
      <c r="I1104" s="37">
        <v>0.5354166666666667</v>
      </c>
      <c r="J1104" s="37">
        <v>0.5368055555555555</v>
      </c>
      <c r="K1104" s="38">
        <f t="shared" si="15"/>
        <v>0.001388888889</v>
      </c>
      <c r="L1104" s="39" t="str">
        <f t="shared" si="2"/>
        <v>Day</v>
      </c>
      <c r="M1104" s="39" t="str">
        <f t="array" ref="M1104">XLOOKUP(D1104,'Category dict'!$B$1:$B$4,'Category dict'!$A$1:$A$4,0,0,1)</f>
        <v>Business</v>
      </c>
      <c r="N1104" s="39" t="str">
        <f>VLOOKUP(H1104,'Purpose dict'!$A$1:$B$12,2,0)</f>
        <v>Errand/Supplies</v>
      </c>
    </row>
    <row r="1105" hidden="1">
      <c r="A1105" s="3" t="s">
        <v>1357</v>
      </c>
      <c r="B1105" s="34">
        <v>42728.54722222222</v>
      </c>
      <c r="C1105" s="34">
        <v>42728.56180555555</v>
      </c>
      <c r="D1105" s="35">
        <v>423.0</v>
      </c>
      <c r="E1105" s="3" t="s">
        <v>930</v>
      </c>
      <c r="F1105" s="3" t="s">
        <v>930</v>
      </c>
      <c r="G1105" s="36">
        <v>3.6</v>
      </c>
      <c r="H1105" s="35">
        <v>2.0</v>
      </c>
      <c r="I1105" s="37">
        <v>0.5472222222222223</v>
      </c>
      <c r="J1105" s="37">
        <v>0.5618055555555556</v>
      </c>
      <c r="K1105" s="38">
        <f t="shared" si="15"/>
        <v>0.01458333333</v>
      </c>
      <c r="L1105" s="39" t="str">
        <f t="shared" si="2"/>
        <v>Day</v>
      </c>
      <c r="M1105" s="39" t="str">
        <f t="array" ref="M1105">XLOOKUP(D1105,'Category dict'!$B$1:$B$4,'Category dict'!$A$1:$A$4,0,0,1)</f>
        <v>Business</v>
      </c>
      <c r="N1105" s="39" t="str">
        <f>VLOOKUP(H1105,'Purpose dict'!$A$1:$B$12,2,0)</f>
        <v>Errand/Supplies</v>
      </c>
    </row>
    <row r="1106" hidden="1">
      <c r="A1106" s="3" t="s">
        <v>1358</v>
      </c>
      <c r="B1106" s="34">
        <v>42728.71666666667</v>
      </c>
      <c r="C1106" s="34">
        <v>42728.72708333333</v>
      </c>
      <c r="D1106" s="35">
        <v>423.0</v>
      </c>
      <c r="E1106" s="3" t="s">
        <v>930</v>
      </c>
      <c r="F1106" s="3" t="s">
        <v>930</v>
      </c>
      <c r="G1106" s="36">
        <v>1.7</v>
      </c>
      <c r="H1106" s="35">
        <v>2.0</v>
      </c>
      <c r="I1106" s="37">
        <v>0.7166666666666667</v>
      </c>
      <c r="J1106" s="37">
        <v>0.7270833333333333</v>
      </c>
      <c r="K1106" s="38">
        <f t="shared" si="15"/>
        <v>0.01041666667</v>
      </c>
      <c r="L1106" s="39" t="str">
        <f t="shared" si="2"/>
        <v>Day</v>
      </c>
      <c r="M1106" s="39" t="str">
        <f t="array" ref="M1106">XLOOKUP(D1106,'Category dict'!$B$1:$B$4,'Category dict'!$A$1:$A$4,0,0,1)</f>
        <v>Business</v>
      </c>
      <c r="N1106" s="39" t="str">
        <f>VLOOKUP(H1106,'Purpose dict'!$A$1:$B$12,2,0)</f>
        <v>Errand/Supplies</v>
      </c>
    </row>
    <row r="1107" hidden="1">
      <c r="A1107" s="3" t="s">
        <v>1359</v>
      </c>
      <c r="B1107" s="34">
        <v>42728.8</v>
      </c>
      <c r="C1107" s="34">
        <v>42728.81041666667</v>
      </c>
      <c r="D1107" s="35">
        <v>423.0</v>
      </c>
      <c r="E1107" s="3" t="s">
        <v>930</v>
      </c>
      <c r="F1107" s="3" t="s">
        <v>930</v>
      </c>
      <c r="G1107" s="36">
        <v>2.9</v>
      </c>
      <c r="H1107" s="35">
        <v>1.0</v>
      </c>
      <c r="I1107" s="37">
        <v>0.8</v>
      </c>
      <c r="J1107" s="37">
        <v>0.8104166666666667</v>
      </c>
      <c r="K1107" s="38">
        <f t="shared" si="15"/>
        <v>0.01041666667</v>
      </c>
      <c r="L1107" s="39" t="str">
        <f t="shared" si="2"/>
        <v>Evening</v>
      </c>
      <c r="M1107" s="39" t="str">
        <f t="array" ref="M1107">XLOOKUP(D1107,'Category dict'!$B$1:$B$4,'Category dict'!$A$1:$A$4,0,0,1)</f>
        <v>Business</v>
      </c>
      <c r="N1107" s="39" t="str">
        <f>VLOOKUP(H1107,'Purpose dict'!$A$1:$B$12,2,0)</f>
        <v>Meal/Entertain</v>
      </c>
    </row>
    <row r="1108">
      <c r="A1108" s="3" t="s">
        <v>1360</v>
      </c>
      <c r="B1108" s="34">
        <v>42728.919444444444</v>
      </c>
      <c r="C1108" s="34">
        <v>42728.92291666667</v>
      </c>
      <c r="D1108" s="35">
        <v>423.0</v>
      </c>
      <c r="E1108" s="3" t="s">
        <v>930</v>
      </c>
      <c r="F1108" s="3" t="s">
        <v>930</v>
      </c>
      <c r="G1108" s="40">
        <v>0.6</v>
      </c>
      <c r="H1108" s="35">
        <v>2.0</v>
      </c>
      <c r="I1108" s="37">
        <v>0.9194444444444444</v>
      </c>
      <c r="J1108" s="37">
        <v>0.9229166666666667</v>
      </c>
      <c r="K1108" s="38">
        <f t="shared" si="15"/>
        <v>0.003472222222</v>
      </c>
      <c r="L1108" s="39" t="str">
        <f t="shared" si="2"/>
        <v>Evening</v>
      </c>
      <c r="M1108" s="39" t="str">
        <f t="array" ref="M1108">XLOOKUP(D1108,'Category dict'!$B$1:$B$4,'Category dict'!$A$1:$A$4,0,0,1)</f>
        <v>Business</v>
      </c>
      <c r="N1108" s="39" t="str">
        <f>VLOOKUP(H1108,'Purpose dict'!$A$1:$B$12,2,0)</f>
        <v>Errand/Supplies</v>
      </c>
    </row>
    <row r="1109">
      <c r="A1109" s="3" t="s">
        <v>1361</v>
      </c>
      <c r="B1109" s="34">
        <v>42729.006944444445</v>
      </c>
      <c r="C1109" s="34">
        <v>42729.009722222225</v>
      </c>
      <c r="D1109" s="35">
        <v>423.0</v>
      </c>
      <c r="E1109" s="3" t="s">
        <v>930</v>
      </c>
      <c r="F1109" s="3" t="s">
        <v>930</v>
      </c>
      <c r="G1109" s="40">
        <v>0.6</v>
      </c>
      <c r="H1109" s="35">
        <v>2.0</v>
      </c>
      <c r="I1109" s="37">
        <v>0.006944444444444444</v>
      </c>
      <c r="J1109" s="37">
        <v>0.009722222222222222</v>
      </c>
      <c r="K1109" s="38">
        <f t="shared" si="15"/>
        <v>0.002777777778</v>
      </c>
      <c r="L1109" s="39" t="str">
        <f t="shared" si="2"/>
        <v>Night</v>
      </c>
      <c r="M1109" s="39" t="str">
        <f t="array" ref="M1109">XLOOKUP(D1109,'Category dict'!$B$1:$B$4,'Category dict'!$A$1:$A$4,0,0,1)</f>
        <v>Business</v>
      </c>
      <c r="N1109" s="39" t="str">
        <f>VLOOKUP(H1109,'Purpose dict'!$A$1:$B$12,2,0)</f>
        <v>Errand/Supplies</v>
      </c>
    </row>
    <row r="1110" hidden="1">
      <c r="A1110" s="3" t="s">
        <v>1362</v>
      </c>
      <c r="B1110" s="34">
        <v>42729.802083333336</v>
      </c>
      <c r="C1110" s="34">
        <v>42729.80972222222</v>
      </c>
      <c r="D1110" s="35">
        <v>423.0</v>
      </c>
      <c r="E1110" s="3" t="s">
        <v>930</v>
      </c>
      <c r="F1110" s="3" t="s">
        <v>930</v>
      </c>
      <c r="G1110" s="36">
        <v>2.3</v>
      </c>
      <c r="H1110" s="35">
        <v>1.0</v>
      </c>
      <c r="I1110" s="37">
        <v>0.8020833333333334</v>
      </c>
      <c r="J1110" s="37">
        <v>0.8097222222222222</v>
      </c>
      <c r="K1110" s="38">
        <f t="shared" si="15"/>
        <v>0.007638888889</v>
      </c>
      <c r="L1110" s="39" t="str">
        <f t="shared" si="2"/>
        <v>Evening</v>
      </c>
      <c r="M1110" s="39" t="str">
        <f t="array" ref="M1110">XLOOKUP(D1110,'Category dict'!$B$1:$B$4,'Category dict'!$A$1:$A$4,0,0,1)</f>
        <v>Business</v>
      </c>
      <c r="N1110" s="39" t="str">
        <f>VLOOKUP(H1110,'Purpose dict'!$A$1:$B$12,2,0)</f>
        <v>Meal/Entertain</v>
      </c>
    </row>
    <row r="1111" hidden="1">
      <c r="A1111" s="3" t="s">
        <v>1363</v>
      </c>
      <c r="B1111" s="34">
        <v>42729.91527777778</v>
      </c>
      <c r="C1111" s="34">
        <v>42729.919444444444</v>
      </c>
      <c r="D1111" s="35">
        <v>423.0</v>
      </c>
      <c r="E1111" s="3" t="s">
        <v>930</v>
      </c>
      <c r="F1111" s="3" t="s">
        <v>930</v>
      </c>
      <c r="G1111" s="36">
        <v>2.3</v>
      </c>
      <c r="H1111" s="35">
        <v>1.0</v>
      </c>
      <c r="I1111" s="37">
        <v>0.9152777777777777</v>
      </c>
      <c r="J1111" s="37">
        <v>0.9194444444444444</v>
      </c>
      <c r="K1111" s="38">
        <f t="shared" si="15"/>
        <v>0.004166666667</v>
      </c>
      <c r="L1111" s="39" t="str">
        <f t="shared" si="2"/>
        <v>Evening</v>
      </c>
      <c r="M1111" s="39" t="str">
        <f t="array" ref="M1111">XLOOKUP(D1111,'Category dict'!$B$1:$B$4,'Category dict'!$A$1:$A$4,0,0,1)</f>
        <v>Business</v>
      </c>
      <c r="N1111" s="39" t="str">
        <f>VLOOKUP(H1111,'Purpose dict'!$A$1:$B$12,2,0)</f>
        <v>Meal/Entertain</v>
      </c>
    </row>
    <row r="1112" hidden="1">
      <c r="A1112" s="3" t="s">
        <v>1364</v>
      </c>
      <c r="B1112" s="34">
        <v>42730.354166666664</v>
      </c>
      <c r="C1112" s="34">
        <v>42730.361805555556</v>
      </c>
      <c r="D1112" s="35">
        <v>423.0</v>
      </c>
      <c r="E1112" s="3" t="s">
        <v>930</v>
      </c>
      <c r="F1112" s="3" t="s">
        <v>930</v>
      </c>
      <c r="G1112" s="36">
        <v>3.2</v>
      </c>
      <c r="H1112" s="35">
        <v>1.0</v>
      </c>
      <c r="I1112" s="37">
        <v>0.3541666666666667</v>
      </c>
      <c r="J1112" s="37">
        <v>0.36180555555555555</v>
      </c>
      <c r="K1112" s="38">
        <f t="shared" si="15"/>
        <v>0.007638888889</v>
      </c>
      <c r="L1112" s="39" t="str">
        <f t="shared" si="2"/>
        <v>Morning</v>
      </c>
      <c r="M1112" s="39" t="str">
        <f t="array" ref="M1112">XLOOKUP(D1112,'Category dict'!$B$1:$B$4,'Category dict'!$A$1:$A$4,0,0,1)</f>
        <v>Business</v>
      </c>
      <c r="N1112" s="39" t="str">
        <f>VLOOKUP(H1112,'Purpose dict'!$A$1:$B$12,2,0)</f>
        <v>Meal/Entertain</v>
      </c>
    </row>
    <row r="1113" hidden="1">
      <c r="A1113" s="3" t="s">
        <v>1365</v>
      </c>
      <c r="B1113" s="34">
        <v>42730.37847222222</v>
      </c>
      <c r="C1113" s="34">
        <v>42730.388194444444</v>
      </c>
      <c r="D1113" s="35">
        <v>423.0</v>
      </c>
      <c r="E1113" s="3" t="s">
        <v>930</v>
      </c>
      <c r="F1113" s="3" t="s">
        <v>930</v>
      </c>
      <c r="G1113" s="36">
        <v>6.2</v>
      </c>
      <c r="H1113" s="35">
        <v>4.0</v>
      </c>
      <c r="I1113" s="37">
        <v>0.3784722222222222</v>
      </c>
      <c r="J1113" s="37">
        <v>0.38819444444444445</v>
      </c>
      <c r="K1113" s="38">
        <f t="shared" si="15"/>
        <v>0.009722222222</v>
      </c>
      <c r="L1113" s="39" t="str">
        <f t="shared" si="2"/>
        <v>Morning</v>
      </c>
      <c r="M1113" s="39" t="str">
        <f t="array" ref="M1113">XLOOKUP(D1113,'Category dict'!$B$1:$B$4,'Category dict'!$A$1:$A$4,0,0,1)</f>
        <v>Business</v>
      </c>
      <c r="N1113" s="39" t="str">
        <f>VLOOKUP(H1113,'Purpose dict'!$A$1:$B$12,2,0)</f>
        <v>Customer Visit</v>
      </c>
    </row>
    <row r="1114" hidden="1">
      <c r="A1114" s="3" t="s">
        <v>1366</v>
      </c>
      <c r="B1114" s="34">
        <v>42730.427083333336</v>
      </c>
      <c r="C1114" s="34">
        <v>42730.441666666666</v>
      </c>
      <c r="D1114" s="35">
        <v>423.0</v>
      </c>
      <c r="E1114" s="3" t="s">
        <v>930</v>
      </c>
      <c r="F1114" s="3" t="s">
        <v>930</v>
      </c>
      <c r="G1114" s="36">
        <v>7.7</v>
      </c>
      <c r="H1114" s="35">
        <v>4.0</v>
      </c>
      <c r="I1114" s="37">
        <v>0.4270833333333333</v>
      </c>
      <c r="J1114" s="37">
        <v>0.44166666666666665</v>
      </c>
      <c r="K1114" s="38">
        <f t="shared" si="15"/>
        <v>0.01458333333</v>
      </c>
      <c r="L1114" s="39" t="str">
        <f t="shared" si="2"/>
        <v>Morning</v>
      </c>
      <c r="M1114" s="39" t="str">
        <f t="array" ref="M1114">XLOOKUP(D1114,'Category dict'!$B$1:$B$4,'Category dict'!$A$1:$A$4,0,0,1)</f>
        <v>Business</v>
      </c>
      <c r="N1114" s="39" t="str">
        <f>VLOOKUP(H1114,'Purpose dict'!$A$1:$B$12,2,0)</f>
        <v>Customer Visit</v>
      </c>
    </row>
    <row r="1115" hidden="1">
      <c r="A1115" s="3" t="s">
        <v>1367</v>
      </c>
      <c r="B1115" s="34">
        <v>42730.478472222225</v>
      </c>
      <c r="C1115" s="34">
        <v>42730.4875</v>
      </c>
      <c r="D1115" s="35">
        <v>423.0</v>
      </c>
      <c r="E1115" s="3" t="s">
        <v>930</v>
      </c>
      <c r="F1115" s="3" t="s">
        <v>930</v>
      </c>
      <c r="G1115" s="36">
        <v>3.8</v>
      </c>
      <c r="H1115" s="35">
        <v>4.0</v>
      </c>
      <c r="I1115" s="37">
        <v>0.47847222222222224</v>
      </c>
      <c r="J1115" s="37">
        <v>0.4875</v>
      </c>
      <c r="K1115" s="38">
        <f t="shared" si="15"/>
        <v>0.009027777778</v>
      </c>
      <c r="L1115" s="39" t="str">
        <f t="shared" si="2"/>
        <v>Morning</v>
      </c>
      <c r="M1115" s="39" t="str">
        <f t="array" ref="M1115">XLOOKUP(D1115,'Category dict'!$B$1:$B$4,'Category dict'!$A$1:$A$4,0,0,1)</f>
        <v>Business</v>
      </c>
      <c r="N1115" s="39" t="str">
        <f>VLOOKUP(H1115,'Purpose dict'!$A$1:$B$12,2,0)</f>
        <v>Customer Visit</v>
      </c>
    </row>
    <row r="1116" hidden="1">
      <c r="A1116" s="3" t="s">
        <v>1368</v>
      </c>
      <c r="B1116" s="34">
        <v>42730.54791666667</v>
      </c>
      <c r="C1116" s="34">
        <v>42730.57152777778</v>
      </c>
      <c r="D1116" s="35">
        <v>423.0</v>
      </c>
      <c r="E1116" s="3" t="s">
        <v>930</v>
      </c>
      <c r="F1116" s="3" t="s">
        <v>208</v>
      </c>
      <c r="G1116" s="36">
        <v>7.9</v>
      </c>
      <c r="H1116" s="35">
        <v>3.0</v>
      </c>
      <c r="I1116" s="37">
        <v>0.5479166666666667</v>
      </c>
      <c r="J1116" s="37">
        <v>0.5715277777777777</v>
      </c>
      <c r="K1116" s="38">
        <f t="shared" si="15"/>
        <v>0.02361111111</v>
      </c>
      <c r="L1116" s="39" t="str">
        <f t="shared" si="2"/>
        <v>Day</v>
      </c>
      <c r="M1116" s="39" t="str">
        <f t="array" ref="M1116">XLOOKUP(D1116,'Category dict'!$B$1:$B$4,'Category dict'!$A$1:$A$4,0,0,1)</f>
        <v>Business</v>
      </c>
      <c r="N1116" s="39" t="str">
        <f>VLOOKUP(H1116,'Purpose dict'!$A$1:$B$12,2,0)</f>
        <v>Meeting</v>
      </c>
    </row>
    <row r="1117" hidden="1">
      <c r="A1117" s="3" t="s">
        <v>1369</v>
      </c>
      <c r="B1117" s="34">
        <v>42731.29305555556</v>
      </c>
      <c r="C1117" s="34">
        <v>42731.30138888889</v>
      </c>
      <c r="D1117" s="35">
        <v>423.0</v>
      </c>
      <c r="E1117" s="3" t="s">
        <v>1370</v>
      </c>
      <c r="F1117" s="3" t="s">
        <v>1370</v>
      </c>
      <c r="G1117" s="36">
        <v>4.9</v>
      </c>
      <c r="H1117" s="35">
        <v>5.0</v>
      </c>
      <c r="I1117" s="37">
        <v>0.29305555555555557</v>
      </c>
      <c r="J1117" s="37">
        <v>0.3013888888888889</v>
      </c>
      <c r="K1117" s="38">
        <f t="shared" si="15"/>
        <v>0.008333333333</v>
      </c>
      <c r="L1117" s="39" t="str">
        <f t="shared" si="2"/>
        <v>Morning</v>
      </c>
      <c r="M1117" s="39" t="str">
        <f t="array" ref="M1117">XLOOKUP(D1117,'Category dict'!$B$1:$B$4,'Category dict'!$A$1:$A$4,0,0,1)</f>
        <v>Business</v>
      </c>
      <c r="N1117" s="39" t="str">
        <f>VLOOKUP(H1117,'Purpose dict'!$A$1:$B$12,2,0)</f>
        <v>Temporary Site</v>
      </c>
    </row>
    <row r="1118" hidden="1">
      <c r="A1118" s="3" t="s">
        <v>1371</v>
      </c>
      <c r="B1118" s="34">
        <v>42731.35902777778</v>
      </c>
      <c r="C1118" s="34">
        <v>42731.37430555555</v>
      </c>
      <c r="D1118" s="35">
        <v>423.0</v>
      </c>
      <c r="E1118" s="3" t="s">
        <v>1370</v>
      </c>
      <c r="F1118" s="3" t="s">
        <v>1370</v>
      </c>
      <c r="G1118" s="36">
        <v>5.0</v>
      </c>
      <c r="H1118" s="35">
        <v>1.0</v>
      </c>
      <c r="I1118" s="37">
        <v>0.3590277777777778</v>
      </c>
      <c r="J1118" s="37">
        <v>0.37430555555555556</v>
      </c>
      <c r="K1118" s="38">
        <f t="shared" si="15"/>
        <v>0.01527777778</v>
      </c>
      <c r="L1118" s="39" t="str">
        <f t="shared" si="2"/>
        <v>Morning</v>
      </c>
      <c r="M1118" s="39" t="str">
        <f t="array" ref="M1118">XLOOKUP(D1118,'Category dict'!$B$1:$B$4,'Category dict'!$A$1:$A$4,0,0,1)</f>
        <v>Business</v>
      </c>
      <c r="N1118" s="39" t="str">
        <f>VLOOKUP(H1118,'Purpose dict'!$A$1:$B$12,2,0)</f>
        <v>Meal/Entertain</v>
      </c>
    </row>
    <row r="1119">
      <c r="A1119" s="3" t="s">
        <v>1372</v>
      </c>
      <c r="B1119" s="34">
        <v>42731.53680555556</v>
      </c>
      <c r="C1119" s="34">
        <v>42731.53958333333</v>
      </c>
      <c r="D1119" s="35">
        <v>423.0</v>
      </c>
      <c r="E1119" s="3" t="s">
        <v>1370</v>
      </c>
      <c r="F1119" s="3" t="s">
        <v>1370</v>
      </c>
      <c r="G1119" s="40">
        <v>0.6</v>
      </c>
      <c r="H1119" s="35">
        <v>1.0</v>
      </c>
      <c r="I1119" s="37">
        <v>0.5368055555555555</v>
      </c>
      <c r="J1119" s="37">
        <v>0.5395833333333333</v>
      </c>
      <c r="K1119" s="38">
        <f t="shared" si="15"/>
        <v>0.002777777778</v>
      </c>
      <c r="L1119" s="39" t="str">
        <f t="shared" si="2"/>
        <v>Day</v>
      </c>
      <c r="M1119" s="39" t="str">
        <f t="array" ref="M1119">XLOOKUP(D1119,'Category dict'!$B$1:$B$4,'Category dict'!$A$1:$A$4,0,0,1)</f>
        <v>Business</v>
      </c>
      <c r="N1119" s="39" t="str">
        <f>VLOOKUP(H1119,'Purpose dict'!$A$1:$B$12,2,0)</f>
        <v>Meal/Entertain</v>
      </c>
    </row>
    <row r="1120" hidden="1">
      <c r="A1120" s="3" t="s">
        <v>1373</v>
      </c>
      <c r="B1120" s="34">
        <v>42731.61736111111</v>
      </c>
      <c r="C1120" s="34">
        <v>42731.62708333333</v>
      </c>
      <c r="D1120" s="35">
        <v>423.0</v>
      </c>
      <c r="E1120" s="3" t="s">
        <v>1370</v>
      </c>
      <c r="F1120" s="3" t="s">
        <v>208</v>
      </c>
      <c r="G1120" s="36">
        <v>3.1</v>
      </c>
      <c r="H1120" s="35">
        <v>4.0</v>
      </c>
      <c r="I1120" s="37">
        <v>0.6173611111111111</v>
      </c>
      <c r="J1120" s="37">
        <v>0.6270833333333333</v>
      </c>
      <c r="K1120" s="38">
        <f t="shared" si="15"/>
        <v>0.009722222222</v>
      </c>
      <c r="L1120" s="39" t="str">
        <f t="shared" si="2"/>
        <v>Day</v>
      </c>
      <c r="M1120" s="39" t="str">
        <f t="array" ref="M1120">XLOOKUP(D1120,'Category dict'!$B$1:$B$4,'Category dict'!$A$1:$A$4,0,0,1)</f>
        <v>Business</v>
      </c>
      <c r="N1120" s="39" t="str">
        <f>VLOOKUP(H1120,'Purpose dict'!$A$1:$B$12,2,0)</f>
        <v>Customer Visit</v>
      </c>
    </row>
    <row r="1121" hidden="1">
      <c r="A1121" s="3" t="s">
        <v>1374</v>
      </c>
      <c r="B1121" s="34">
        <v>42731.69027777778</v>
      </c>
      <c r="C1121" s="34">
        <v>42731.70694444444</v>
      </c>
      <c r="D1121" s="35">
        <v>423.0</v>
      </c>
      <c r="E1121" s="3" t="s">
        <v>208</v>
      </c>
      <c r="F1121" s="3" t="s">
        <v>1370</v>
      </c>
      <c r="G1121" s="36">
        <v>7.9</v>
      </c>
      <c r="H1121" s="35">
        <v>3.0</v>
      </c>
      <c r="I1121" s="37">
        <v>0.6902777777777778</v>
      </c>
      <c r="J1121" s="37">
        <v>0.7069444444444445</v>
      </c>
      <c r="K1121" s="38">
        <f t="shared" si="15"/>
        <v>0.01666666667</v>
      </c>
      <c r="L1121" s="39" t="str">
        <f t="shared" si="2"/>
        <v>Day</v>
      </c>
      <c r="M1121" s="39" t="str">
        <f t="array" ref="M1121">XLOOKUP(D1121,'Category dict'!$B$1:$B$4,'Category dict'!$A$1:$A$4,0,0,1)</f>
        <v>Business</v>
      </c>
      <c r="N1121" s="39" t="str">
        <f>VLOOKUP(H1121,'Purpose dict'!$A$1:$B$12,2,0)</f>
        <v>Meeting</v>
      </c>
    </row>
    <row r="1122" hidden="1">
      <c r="A1122" s="3" t="s">
        <v>1375</v>
      </c>
      <c r="B1122" s="34">
        <v>42731.80486111111</v>
      </c>
      <c r="C1122" s="34">
        <v>42731.82638888889</v>
      </c>
      <c r="D1122" s="35">
        <v>423.0</v>
      </c>
      <c r="E1122" s="3" t="s">
        <v>1370</v>
      </c>
      <c r="F1122" s="3" t="s">
        <v>1370</v>
      </c>
      <c r="G1122" s="36">
        <v>5.5</v>
      </c>
      <c r="H1122" s="35">
        <v>4.0</v>
      </c>
      <c r="I1122" s="37">
        <v>0.8048611111111111</v>
      </c>
      <c r="J1122" s="37">
        <v>0.8263888888888888</v>
      </c>
      <c r="K1122" s="38">
        <f t="shared" si="15"/>
        <v>0.02152777778</v>
      </c>
      <c r="L1122" s="39" t="str">
        <f t="shared" si="2"/>
        <v>Evening</v>
      </c>
      <c r="M1122" s="39" t="str">
        <f t="array" ref="M1122">XLOOKUP(D1122,'Category dict'!$B$1:$B$4,'Category dict'!$A$1:$A$4,0,0,1)</f>
        <v>Business</v>
      </c>
      <c r="N1122" s="39" t="str">
        <f>VLOOKUP(H1122,'Purpose dict'!$A$1:$B$12,2,0)</f>
        <v>Customer Visit</v>
      </c>
    </row>
    <row r="1123" hidden="1">
      <c r="A1123" s="3" t="s">
        <v>1376</v>
      </c>
      <c r="B1123" s="34">
        <v>42732.356944444444</v>
      </c>
      <c r="C1123" s="34">
        <v>42732.379166666666</v>
      </c>
      <c r="D1123" s="35">
        <v>423.0</v>
      </c>
      <c r="E1123" s="3" t="s">
        <v>1370</v>
      </c>
      <c r="F1123" s="3" t="s">
        <v>208</v>
      </c>
      <c r="G1123" s="36">
        <v>10.3</v>
      </c>
      <c r="H1123" s="35">
        <v>1.0</v>
      </c>
      <c r="I1123" s="37">
        <v>0.35694444444444445</v>
      </c>
      <c r="J1123" s="37">
        <v>0.37916666666666665</v>
      </c>
      <c r="K1123" s="38">
        <f t="shared" si="15"/>
        <v>0.02222222222</v>
      </c>
      <c r="L1123" s="39" t="str">
        <f t="shared" si="2"/>
        <v>Morning</v>
      </c>
      <c r="M1123" s="39" t="str">
        <f t="array" ref="M1123">XLOOKUP(D1123,'Category dict'!$B$1:$B$4,'Category dict'!$A$1:$A$4,0,0,1)</f>
        <v>Business</v>
      </c>
      <c r="N1123" s="39" t="str">
        <f>VLOOKUP(H1123,'Purpose dict'!$A$1:$B$12,2,0)</f>
        <v>Meal/Entertain</v>
      </c>
    </row>
    <row r="1124" hidden="1">
      <c r="A1124" s="3" t="s">
        <v>1377</v>
      </c>
      <c r="B1124" s="34">
        <v>42732.4875</v>
      </c>
      <c r="C1124" s="34">
        <v>42732.50833333333</v>
      </c>
      <c r="D1124" s="35">
        <v>423.0</v>
      </c>
      <c r="E1124" s="3" t="s">
        <v>208</v>
      </c>
      <c r="F1124" s="3" t="s">
        <v>1370</v>
      </c>
      <c r="G1124" s="36">
        <v>10.4</v>
      </c>
      <c r="H1124" s="35">
        <v>2.0</v>
      </c>
      <c r="I1124" s="37">
        <v>0.4875</v>
      </c>
      <c r="J1124" s="37">
        <v>0.5083333333333333</v>
      </c>
      <c r="K1124" s="38">
        <f t="shared" si="15"/>
        <v>0.02083333333</v>
      </c>
      <c r="L1124" s="39" t="str">
        <f t="shared" si="2"/>
        <v>Morning</v>
      </c>
      <c r="M1124" s="39" t="str">
        <f t="array" ref="M1124">XLOOKUP(D1124,'Category dict'!$B$1:$B$4,'Category dict'!$A$1:$A$4,0,0,1)</f>
        <v>Business</v>
      </c>
      <c r="N1124" s="39" t="str">
        <f>VLOOKUP(H1124,'Purpose dict'!$A$1:$B$12,2,0)</f>
        <v>Errand/Supplies</v>
      </c>
    </row>
    <row r="1125" hidden="1">
      <c r="A1125" s="3" t="s">
        <v>1378</v>
      </c>
      <c r="B1125" s="34">
        <v>42732.57847222222</v>
      </c>
      <c r="C1125" s="34">
        <v>42732.584027777775</v>
      </c>
      <c r="D1125" s="35">
        <v>423.0</v>
      </c>
      <c r="E1125" s="3" t="s">
        <v>1370</v>
      </c>
      <c r="F1125" s="3" t="s">
        <v>1370</v>
      </c>
      <c r="G1125" s="36">
        <v>2.0</v>
      </c>
      <c r="H1125" s="35">
        <v>2.0</v>
      </c>
      <c r="I1125" s="37">
        <v>0.5784722222222223</v>
      </c>
      <c r="J1125" s="37">
        <v>0.5840277777777778</v>
      </c>
      <c r="K1125" s="38">
        <f t="shared" si="15"/>
        <v>0.005555555556</v>
      </c>
      <c r="L1125" s="39" t="str">
        <f t="shared" si="2"/>
        <v>Day</v>
      </c>
      <c r="M1125" s="39" t="str">
        <f t="array" ref="M1125">XLOOKUP(D1125,'Category dict'!$B$1:$B$4,'Category dict'!$A$1:$A$4,0,0,1)</f>
        <v>Business</v>
      </c>
      <c r="N1125" s="39" t="str">
        <f>VLOOKUP(H1125,'Purpose dict'!$A$1:$B$12,2,0)</f>
        <v>Errand/Supplies</v>
      </c>
    </row>
    <row r="1126" hidden="1">
      <c r="A1126" s="3" t="s">
        <v>1379</v>
      </c>
      <c r="B1126" s="34">
        <v>42732.62777777778</v>
      </c>
      <c r="C1126" s="34">
        <v>42732.652083333334</v>
      </c>
      <c r="D1126" s="35">
        <v>423.0</v>
      </c>
      <c r="E1126" s="3" t="s">
        <v>1370</v>
      </c>
      <c r="F1126" s="3" t="s">
        <v>208</v>
      </c>
      <c r="G1126" s="36">
        <v>8.5</v>
      </c>
      <c r="H1126" s="35">
        <v>1.0</v>
      </c>
      <c r="I1126" s="37">
        <v>0.6277777777777778</v>
      </c>
      <c r="J1126" s="37">
        <v>0.6520833333333333</v>
      </c>
      <c r="K1126" s="38">
        <f t="shared" si="15"/>
        <v>0.02430555556</v>
      </c>
      <c r="L1126" s="39" t="str">
        <f t="shared" si="2"/>
        <v>Day</v>
      </c>
      <c r="M1126" s="39" t="str">
        <f t="array" ref="M1126">XLOOKUP(D1126,'Category dict'!$B$1:$B$4,'Category dict'!$A$1:$A$4,0,0,1)</f>
        <v>Business</v>
      </c>
      <c r="N1126" s="39" t="str">
        <f>VLOOKUP(H1126,'Purpose dict'!$A$1:$B$12,2,0)</f>
        <v>Meal/Entertain</v>
      </c>
    </row>
    <row r="1127" hidden="1">
      <c r="A1127" s="3" t="s">
        <v>1380</v>
      </c>
      <c r="B1127" s="34">
        <v>42732.70972222222</v>
      </c>
      <c r="C1127" s="34">
        <v>42732.71944444445</v>
      </c>
      <c r="D1127" s="35">
        <v>423.0</v>
      </c>
      <c r="E1127" s="3" t="s">
        <v>208</v>
      </c>
      <c r="F1127" s="3" t="s">
        <v>1370</v>
      </c>
      <c r="G1127" s="36">
        <v>4.4</v>
      </c>
      <c r="H1127" s="35">
        <v>2.0</v>
      </c>
      <c r="I1127" s="37">
        <v>0.7097222222222223</v>
      </c>
      <c r="J1127" s="37">
        <v>0.7194444444444444</v>
      </c>
      <c r="K1127" s="38">
        <f t="shared" si="15"/>
        <v>0.009722222222</v>
      </c>
      <c r="L1127" s="39" t="str">
        <f t="shared" si="2"/>
        <v>Day</v>
      </c>
      <c r="M1127" s="39" t="str">
        <f t="array" ref="M1127">XLOOKUP(D1127,'Category dict'!$B$1:$B$4,'Category dict'!$A$1:$A$4,0,0,1)</f>
        <v>Business</v>
      </c>
      <c r="N1127" s="39" t="str">
        <f>VLOOKUP(H1127,'Purpose dict'!$A$1:$B$12,2,0)</f>
        <v>Errand/Supplies</v>
      </c>
    </row>
    <row r="1128" hidden="1">
      <c r="A1128" s="3" t="s">
        <v>1381</v>
      </c>
      <c r="B1128" s="34">
        <v>42732.77291666667</v>
      </c>
      <c r="C1128" s="34">
        <v>42732.78888888889</v>
      </c>
      <c r="D1128" s="35">
        <v>423.0</v>
      </c>
      <c r="E1128" s="3" t="s">
        <v>1370</v>
      </c>
      <c r="F1128" s="3" t="s">
        <v>1370</v>
      </c>
      <c r="G1128" s="36">
        <v>3.8</v>
      </c>
      <c r="H1128" s="35">
        <v>2.0</v>
      </c>
      <c r="I1128" s="37">
        <v>0.7729166666666667</v>
      </c>
      <c r="J1128" s="37">
        <v>0.7888888888888889</v>
      </c>
      <c r="K1128" s="38">
        <f t="shared" si="15"/>
        <v>0.01597222222</v>
      </c>
      <c r="L1128" s="39" t="str">
        <f t="shared" si="2"/>
        <v>Evening</v>
      </c>
      <c r="M1128" s="39" t="str">
        <f t="array" ref="M1128">XLOOKUP(D1128,'Category dict'!$B$1:$B$4,'Category dict'!$A$1:$A$4,0,0,1)</f>
        <v>Business</v>
      </c>
      <c r="N1128" s="39" t="str">
        <f>VLOOKUP(H1128,'Purpose dict'!$A$1:$B$12,2,0)</f>
        <v>Errand/Supplies</v>
      </c>
    </row>
    <row r="1129" hidden="1">
      <c r="A1129" s="3" t="s">
        <v>1382</v>
      </c>
      <c r="B1129" s="34">
        <v>42732.947222222225</v>
      </c>
      <c r="C1129" s="34">
        <v>42732.97083333333</v>
      </c>
      <c r="D1129" s="35">
        <v>423.0</v>
      </c>
      <c r="E1129" s="3" t="s">
        <v>1370</v>
      </c>
      <c r="F1129" s="3" t="s">
        <v>1370</v>
      </c>
      <c r="G1129" s="36">
        <v>5.1</v>
      </c>
      <c r="H1129" s="35">
        <v>2.0</v>
      </c>
      <c r="I1129" s="37">
        <v>0.9472222222222222</v>
      </c>
      <c r="J1129" s="37">
        <v>0.9708333333333333</v>
      </c>
      <c r="K1129" s="38">
        <f t="shared" si="15"/>
        <v>0.02361111111</v>
      </c>
      <c r="L1129" s="39" t="str">
        <f t="shared" si="2"/>
        <v>Evening</v>
      </c>
      <c r="M1129" s="39" t="str">
        <f t="array" ref="M1129">XLOOKUP(D1129,'Category dict'!$B$1:$B$4,'Category dict'!$A$1:$A$4,0,0,1)</f>
        <v>Business</v>
      </c>
      <c r="N1129" s="39" t="str">
        <f>VLOOKUP(H1129,'Purpose dict'!$A$1:$B$12,2,0)</f>
        <v>Errand/Supplies</v>
      </c>
    </row>
    <row r="1130" hidden="1">
      <c r="A1130" s="3" t="s">
        <v>1383</v>
      </c>
      <c r="B1130" s="34">
        <v>42733.03402777778</v>
      </c>
      <c r="C1130" s="34">
        <v>42733.04583333333</v>
      </c>
      <c r="D1130" s="35">
        <v>423.0</v>
      </c>
      <c r="E1130" s="3" t="s">
        <v>1370</v>
      </c>
      <c r="F1130" s="3" t="s">
        <v>1370</v>
      </c>
      <c r="G1130" s="36">
        <v>3.8</v>
      </c>
      <c r="H1130" s="35">
        <v>2.0</v>
      </c>
      <c r="I1130" s="37">
        <v>0.034027777777777775</v>
      </c>
      <c r="J1130" s="37">
        <v>0.04583333333333333</v>
      </c>
      <c r="K1130" s="38">
        <f t="shared" si="15"/>
        <v>0.01180555556</v>
      </c>
      <c r="L1130" s="39" t="str">
        <f t="shared" si="2"/>
        <v>Night</v>
      </c>
      <c r="M1130" s="39" t="str">
        <f t="array" ref="M1130">XLOOKUP(D1130,'Category dict'!$B$1:$B$4,'Category dict'!$A$1:$A$4,0,0,1)</f>
        <v>Business</v>
      </c>
      <c r="N1130" s="39" t="str">
        <f>VLOOKUP(H1130,'Purpose dict'!$A$1:$B$12,2,0)</f>
        <v>Errand/Supplies</v>
      </c>
    </row>
    <row r="1131" hidden="1">
      <c r="A1131" s="3" t="s">
        <v>1384</v>
      </c>
      <c r="B1131" s="34">
        <v>42733.40555555555</v>
      </c>
      <c r="C1131" s="34">
        <v>42733.42152777778</v>
      </c>
      <c r="D1131" s="35">
        <v>423.0</v>
      </c>
      <c r="E1131" s="3" t="s">
        <v>1370</v>
      </c>
      <c r="F1131" s="3" t="s">
        <v>208</v>
      </c>
      <c r="G1131" s="36">
        <v>11.6</v>
      </c>
      <c r="H1131" s="35">
        <v>1.0</v>
      </c>
      <c r="I1131" s="37">
        <v>0.40555555555555556</v>
      </c>
      <c r="J1131" s="37">
        <v>0.4215277777777778</v>
      </c>
      <c r="K1131" s="38">
        <f t="shared" si="15"/>
        <v>0.01597222222</v>
      </c>
      <c r="L1131" s="39" t="str">
        <f t="shared" si="2"/>
        <v>Morning</v>
      </c>
      <c r="M1131" s="39" t="str">
        <f t="array" ref="M1131">XLOOKUP(D1131,'Category dict'!$B$1:$B$4,'Category dict'!$A$1:$A$4,0,0,1)</f>
        <v>Business</v>
      </c>
      <c r="N1131" s="39" t="str">
        <f>VLOOKUP(H1131,'Purpose dict'!$A$1:$B$12,2,0)</f>
        <v>Meal/Entertain</v>
      </c>
    </row>
    <row r="1132" hidden="1">
      <c r="A1132" s="3" t="s">
        <v>1385</v>
      </c>
      <c r="B1132" s="34">
        <v>42733.47777777778</v>
      </c>
      <c r="C1132" s="34">
        <v>42733.5</v>
      </c>
      <c r="D1132" s="35">
        <v>423.0</v>
      </c>
      <c r="E1132" s="3" t="s">
        <v>208</v>
      </c>
      <c r="F1132" s="3" t="s">
        <v>1370</v>
      </c>
      <c r="G1132" s="36">
        <v>11.9</v>
      </c>
      <c r="H1132" s="35">
        <v>1.0</v>
      </c>
      <c r="I1132" s="37">
        <v>0.4777777777777778</v>
      </c>
      <c r="J1132" s="37">
        <v>0.5</v>
      </c>
      <c r="K1132" s="38">
        <f t="shared" si="15"/>
        <v>0.02222222222</v>
      </c>
      <c r="L1132" s="39" t="str">
        <f t="shared" si="2"/>
        <v>Morning</v>
      </c>
      <c r="M1132" s="39" t="str">
        <f t="array" ref="M1132">XLOOKUP(D1132,'Category dict'!$B$1:$B$4,'Category dict'!$A$1:$A$4,0,0,1)</f>
        <v>Business</v>
      </c>
      <c r="N1132" s="39" t="str">
        <f>VLOOKUP(H1132,'Purpose dict'!$A$1:$B$12,2,0)</f>
        <v>Meal/Entertain</v>
      </c>
    </row>
    <row r="1133">
      <c r="A1133" s="3" t="s">
        <v>1386</v>
      </c>
      <c r="B1133" s="34">
        <v>42733.51736111111</v>
      </c>
      <c r="C1133" s="34">
        <v>42733.52291666667</v>
      </c>
      <c r="D1133" s="35">
        <v>423.0</v>
      </c>
      <c r="E1133" s="3" t="s">
        <v>1370</v>
      </c>
      <c r="F1133" s="3" t="s">
        <v>1370</v>
      </c>
      <c r="G1133" s="40">
        <v>1.4</v>
      </c>
      <c r="H1133" s="35">
        <v>2.0</v>
      </c>
      <c r="I1133" s="37">
        <v>0.5173611111111112</v>
      </c>
      <c r="J1133" s="37">
        <v>0.5229166666666667</v>
      </c>
      <c r="K1133" s="38">
        <f t="shared" si="15"/>
        <v>0.005555555556</v>
      </c>
      <c r="L1133" s="39" t="str">
        <f t="shared" si="2"/>
        <v>Day</v>
      </c>
      <c r="M1133" s="39" t="str">
        <f t="array" ref="M1133">XLOOKUP(D1133,'Category dict'!$B$1:$B$4,'Category dict'!$A$1:$A$4,0,0,1)</f>
        <v>Business</v>
      </c>
      <c r="N1133" s="39" t="str">
        <f>VLOOKUP(H1133,'Purpose dict'!$A$1:$B$12,2,0)</f>
        <v>Errand/Supplies</v>
      </c>
    </row>
    <row r="1134">
      <c r="A1134" s="3" t="s">
        <v>1387</v>
      </c>
      <c r="B1134" s="34">
        <v>42733.55347222222</v>
      </c>
      <c r="C1134" s="34">
        <v>42733.558333333334</v>
      </c>
      <c r="D1134" s="35">
        <v>423.0</v>
      </c>
      <c r="E1134" s="3" t="s">
        <v>1370</v>
      </c>
      <c r="F1134" s="3" t="s">
        <v>1370</v>
      </c>
      <c r="G1134" s="40">
        <v>1.1</v>
      </c>
      <c r="H1134" s="35">
        <v>2.0</v>
      </c>
      <c r="I1134" s="37">
        <v>0.5534722222222223</v>
      </c>
      <c r="J1134" s="37">
        <v>0.5583333333333333</v>
      </c>
      <c r="K1134" s="38">
        <f t="shared" si="15"/>
        <v>0.004861111111</v>
      </c>
      <c r="L1134" s="39" t="str">
        <f t="shared" si="2"/>
        <v>Day</v>
      </c>
      <c r="M1134" s="39" t="str">
        <f t="array" ref="M1134">XLOOKUP(D1134,'Category dict'!$B$1:$B$4,'Category dict'!$A$1:$A$4,0,0,1)</f>
        <v>Business</v>
      </c>
      <c r="N1134" s="39" t="str">
        <f>VLOOKUP(H1134,'Purpose dict'!$A$1:$B$12,2,0)</f>
        <v>Errand/Supplies</v>
      </c>
    </row>
    <row r="1135" hidden="1">
      <c r="A1135" s="3" t="s">
        <v>1388</v>
      </c>
      <c r="B1135" s="34">
        <v>42733.580555555556</v>
      </c>
      <c r="C1135" s="34">
        <v>42733.59097222222</v>
      </c>
      <c r="D1135" s="35">
        <v>423.0</v>
      </c>
      <c r="E1135" s="3" t="s">
        <v>1370</v>
      </c>
      <c r="F1135" s="3" t="s">
        <v>1370</v>
      </c>
      <c r="G1135" s="36">
        <v>4.1</v>
      </c>
      <c r="H1135" s="35">
        <v>10.0</v>
      </c>
      <c r="I1135" s="37">
        <v>0.5805555555555556</v>
      </c>
      <c r="J1135" s="37">
        <v>0.5909722222222222</v>
      </c>
      <c r="K1135" s="38">
        <f t="shared" si="15"/>
        <v>0.01041666667</v>
      </c>
      <c r="L1135" s="39" t="str">
        <f t="shared" si="2"/>
        <v>Day</v>
      </c>
      <c r="M1135" s="39" t="str">
        <f t="array" ref="M1135">XLOOKUP(D1135,'Category dict'!$B$1:$B$4,'Category dict'!$A$1:$A$4,0,0,1)</f>
        <v>Business</v>
      </c>
      <c r="N1135" s="39" t="str">
        <f>VLOOKUP(H1135,'Purpose dict'!$A$1:$B$12,2,0)</f>
        <v>Airport/Travel</v>
      </c>
    </row>
    <row r="1136" hidden="1">
      <c r="A1136" s="3" t="s">
        <v>1389</v>
      </c>
      <c r="B1136" s="34">
        <v>42733.6125</v>
      </c>
      <c r="C1136" s="34">
        <v>42733.623611111114</v>
      </c>
      <c r="D1136" s="35">
        <v>423.0</v>
      </c>
      <c r="E1136" s="3" t="s">
        <v>1370</v>
      </c>
      <c r="F1136" s="3" t="s">
        <v>1370</v>
      </c>
      <c r="G1136" s="36">
        <v>6.1</v>
      </c>
      <c r="H1136" s="35">
        <v>6.0</v>
      </c>
      <c r="I1136" s="37">
        <v>0.6125</v>
      </c>
      <c r="J1136" s="37">
        <v>0.6236111111111111</v>
      </c>
      <c r="K1136" s="38">
        <f t="shared" si="15"/>
        <v>0.01111111111</v>
      </c>
      <c r="L1136" s="39" t="str">
        <f t="shared" si="2"/>
        <v>Day</v>
      </c>
      <c r="M1136" s="39" t="str">
        <f t="array" ref="M1136">XLOOKUP(D1136,'Category dict'!$B$1:$B$4,'Category dict'!$A$1:$A$4,0,0,1)</f>
        <v>Business</v>
      </c>
      <c r="N1136" s="39" t="str">
        <f>VLOOKUP(H1136,'Purpose dict'!$A$1:$B$12,2,0)</f>
        <v>Between Offices</v>
      </c>
    </row>
    <row r="1137">
      <c r="A1137" s="3" t="s">
        <v>1390</v>
      </c>
      <c r="B1137" s="34">
        <v>42733.62847222222</v>
      </c>
      <c r="C1137" s="34">
        <v>42733.63611111111</v>
      </c>
      <c r="D1137" s="35">
        <v>423.0</v>
      </c>
      <c r="E1137" s="3" t="s">
        <v>1370</v>
      </c>
      <c r="F1137" s="3" t="s">
        <v>1370</v>
      </c>
      <c r="G1137" s="40">
        <v>1.3</v>
      </c>
      <c r="H1137" s="35">
        <v>2.0</v>
      </c>
      <c r="I1137" s="37">
        <v>0.6284722222222222</v>
      </c>
      <c r="J1137" s="37">
        <v>0.6361111111111111</v>
      </c>
      <c r="K1137" s="38">
        <f t="shared" si="15"/>
        <v>0.007638888889</v>
      </c>
      <c r="L1137" s="39" t="str">
        <f t="shared" si="2"/>
        <v>Day</v>
      </c>
      <c r="M1137" s="39" t="str">
        <f t="array" ref="M1137">XLOOKUP(D1137,'Category dict'!$B$1:$B$4,'Category dict'!$A$1:$A$4,0,0,1)</f>
        <v>Business</v>
      </c>
      <c r="N1137" s="39" t="str">
        <f>VLOOKUP(H1137,'Purpose dict'!$A$1:$B$12,2,0)</f>
        <v>Errand/Supplies</v>
      </c>
    </row>
    <row r="1138" hidden="1">
      <c r="A1138" s="3" t="s">
        <v>1391</v>
      </c>
      <c r="B1138" s="34">
        <v>42733.790972222225</v>
      </c>
      <c r="C1138" s="34">
        <v>42733.80138888889</v>
      </c>
      <c r="D1138" s="35">
        <v>423.0</v>
      </c>
      <c r="E1138" s="3" t="s">
        <v>1370</v>
      </c>
      <c r="F1138" s="3" t="s">
        <v>208</v>
      </c>
      <c r="G1138" s="36">
        <v>3.0</v>
      </c>
      <c r="H1138" s="35">
        <v>1.0</v>
      </c>
      <c r="I1138" s="37">
        <v>0.7909722222222222</v>
      </c>
      <c r="J1138" s="37">
        <v>0.8013888888888889</v>
      </c>
      <c r="K1138" s="38">
        <f t="shared" si="15"/>
        <v>0.01041666667</v>
      </c>
      <c r="L1138" s="39" t="str">
        <f t="shared" si="2"/>
        <v>Evening</v>
      </c>
      <c r="M1138" s="39" t="str">
        <f t="array" ref="M1138">XLOOKUP(D1138,'Category dict'!$B$1:$B$4,'Category dict'!$A$1:$A$4,0,0,1)</f>
        <v>Business</v>
      </c>
      <c r="N1138" s="39" t="str">
        <f>VLOOKUP(H1138,'Purpose dict'!$A$1:$B$12,2,0)</f>
        <v>Meal/Entertain</v>
      </c>
    </row>
    <row r="1139" hidden="1">
      <c r="A1139" s="3" t="s">
        <v>1392</v>
      </c>
      <c r="B1139" s="34">
        <v>42733.82638888889</v>
      </c>
      <c r="C1139" s="34">
        <v>42733.84027777778</v>
      </c>
      <c r="D1139" s="35">
        <v>423.0</v>
      </c>
      <c r="E1139" s="3" t="s">
        <v>208</v>
      </c>
      <c r="F1139" s="3" t="s">
        <v>1370</v>
      </c>
      <c r="G1139" s="36">
        <v>4.1</v>
      </c>
      <c r="H1139" s="35">
        <v>4.0</v>
      </c>
      <c r="I1139" s="37">
        <v>0.8263888888888888</v>
      </c>
      <c r="J1139" s="37">
        <v>0.8402777777777778</v>
      </c>
      <c r="K1139" s="38">
        <f t="shared" si="15"/>
        <v>0.01388888889</v>
      </c>
      <c r="L1139" s="39" t="str">
        <f t="shared" si="2"/>
        <v>Evening</v>
      </c>
      <c r="M1139" s="39" t="str">
        <f t="array" ref="M1139">XLOOKUP(D1139,'Category dict'!$B$1:$B$4,'Category dict'!$A$1:$A$4,0,0,1)</f>
        <v>Business</v>
      </c>
      <c r="N1139" s="39" t="str">
        <f>VLOOKUP(H1139,'Purpose dict'!$A$1:$B$12,2,0)</f>
        <v>Customer Visit</v>
      </c>
    </row>
    <row r="1140" hidden="1">
      <c r="A1140" s="3" t="s">
        <v>1393</v>
      </c>
      <c r="B1140" s="34">
        <v>42733.84375</v>
      </c>
      <c r="C1140" s="34">
        <v>42733.864583333336</v>
      </c>
      <c r="D1140" s="35">
        <v>423.0</v>
      </c>
      <c r="E1140" s="3" t="s">
        <v>1370</v>
      </c>
      <c r="F1140" s="3" t="s">
        <v>1370</v>
      </c>
      <c r="G1140" s="36">
        <v>7.2</v>
      </c>
      <c r="H1140" s="35">
        <v>3.0</v>
      </c>
      <c r="I1140" s="37">
        <v>0.84375</v>
      </c>
      <c r="J1140" s="37">
        <v>0.8645833333333334</v>
      </c>
      <c r="K1140" s="38">
        <f t="shared" si="15"/>
        <v>0.02083333333</v>
      </c>
      <c r="L1140" s="39" t="str">
        <f t="shared" si="2"/>
        <v>Evening</v>
      </c>
      <c r="M1140" s="39" t="str">
        <f t="array" ref="M1140">XLOOKUP(D1140,'Category dict'!$B$1:$B$4,'Category dict'!$A$1:$A$4,0,0,1)</f>
        <v>Business</v>
      </c>
      <c r="N1140" s="39" t="str">
        <f>VLOOKUP(H1140,'Purpose dict'!$A$1:$B$12,2,0)</f>
        <v>Meeting</v>
      </c>
    </row>
    <row r="1141" hidden="1">
      <c r="A1141" s="3" t="s">
        <v>1394</v>
      </c>
      <c r="B1141" s="34">
        <v>42733.87013888889</v>
      </c>
      <c r="C1141" s="34">
        <v>42733.90416666667</v>
      </c>
      <c r="D1141" s="35">
        <v>423.0</v>
      </c>
      <c r="E1141" s="3" t="s">
        <v>1370</v>
      </c>
      <c r="F1141" s="3" t="s">
        <v>208</v>
      </c>
      <c r="G1141" s="36">
        <v>6.4</v>
      </c>
      <c r="H1141" s="35">
        <v>123.0</v>
      </c>
      <c r="I1141" s="37">
        <v>0.8701388888888889</v>
      </c>
      <c r="J1141" s="37">
        <v>0.9041666666666667</v>
      </c>
      <c r="K1141" s="38">
        <f t="shared" si="15"/>
        <v>0.03402777778</v>
      </c>
      <c r="L1141" s="39" t="str">
        <f t="shared" si="2"/>
        <v>Evening</v>
      </c>
      <c r="M1141" s="39" t="str">
        <f t="array" ref="M1141">XLOOKUP(D1141,'Category dict'!$B$1:$B$4,'Category dict'!$A$1:$A$4,0,0,1)</f>
        <v>Business</v>
      </c>
      <c r="N1141" s="39" t="str">
        <f>VLOOKUP(H1141,'Purpose dict'!$A$1:$B$12,2,0)</f>
        <v>NOT DEFINED</v>
      </c>
    </row>
    <row r="1142" hidden="1">
      <c r="A1142" s="3" t="s">
        <v>1395</v>
      </c>
      <c r="B1142" s="34">
        <v>42733.96805555555</v>
      </c>
      <c r="C1142" s="34">
        <v>42733.99097222222</v>
      </c>
      <c r="D1142" s="35">
        <v>423.0</v>
      </c>
      <c r="E1142" s="3" t="s">
        <v>208</v>
      </c>
      <c r="F1142" s="3" t="s">
        <v>1370</v>
      </c>
      <c r="G1142" s="36">
        <v>12.9</v>
      </c>
      <c r="H1142" s="35">
        <v>3.0</v>
      </c>
      <c r="I1142" s="37">
        <v>0.9680555555555556</v>
      </c>
      <c r="J1142" s="37">
        <v>0.9909722222222223</v>
      </c>
      <c r="K1142" s="38">
        <f t="shared" si="15"/>
        <v>0.02291666667</v>
      </c>
      <c r="L1142" s="39" t="str">
        <f t="shared" si="2"/>
        <v>Evening</v>
      </c>
      <c r="M1142" s="39" t="str">
        <f t="array" ref="M1142">XLOOKUP(D1142,'Category dict'!$B$1:$B$4,'Category dict'!$A$1:$A$4,0,0,1)</f>
        <v>Business</v>
      </c>
      <c r="N1142" s="39" t="str">
        <f>VLOOKUP(H1142,'Purpose dict'!$A$1:$B$12,2,0)</f>
        <v>Meeting</v>
      </c>
    </row>
    <row r="1143" hidden="1">
      <c r="A1143" s="3" t="s">
        <v>1396</v>
      </c>
      <c r="B1143" s="34">
        <v>42734.427083333336</v>
      </c>
      <c r="C1143" s="34">
        <v>42734.43958333333</v>
      </c>
      <c r="D1143" s="35">
        <v>423.0</v>
      </c>
      <c r="E1143" s="3" t="s">
        <v>1370</v>
      </c>
      <c r="F1143" s="3" t="s">
        <v>1370</v>
      </c>
      <c r="G1143" s="36">
        <v>2.8</v>
      </c>
      <c r="H1143" s="35">
        <v>2.0</v>
      </c>
      <c r="I1143" s="37">
        <v>0.4270833333333333</v>
      </c>
      <c r="J1143" s="37">
        <v>0.4395833333333333</v>
      </c>
      <c r="K1143" s="38">
        <f t="shared" si="15"/>
        <v>0.0125</v>
      </c>
      <c r="L1143" s="39" t="str">
        <f t="shared" si="2"/>
        <v>Morning</v>
      </c>
      <c r="M1143" s="39" t="str">
        <f t="array" ref="M1143">XLOOKUP(D1143,'Category dict'!$B$1:$B$4,'Category dict'!$A$1:$A$4,0,0,1)</f>
        <v>Business</v>
      </c>
      <c r="N1143" s="39" t="str">
        <f>VLOOKUP(H1143,'Purpose dict'!$A$1:$B$12,2,0)</f>
        <v>Errand/Supplies</v>
      </c>
    </row>
    <row r="1144" hidden="1">
      <c r="A1144" s="3" t="s">
        <v>1397</v>
      </c>
      <c r="B1144" s="34">
        <v>42734.47986111111</v>
      </c>
      <c r="C1144" s="34">
        <v>42734.49722222222</v>
      </c>
      <c r="D1144" s="35">
        <v>423.0</v>
      </c>
      <c r="E1144" s="3" t="s">
        <v>1370</v>
      </c>
      <c r="F1144" s="3" t="s">
        <v>1370</v>
      </c>
      <c r="G1144" s="36">
        <v>2.9</v>
      </c>
      <c r="H1144" s="35">
        <v>2.0</v>
      </c>
      <c r="I1144" s="37">
        <v>0.4798611111111111</v>
      </c>
      <c r="J1144" s="37">
        <v>0.49722222222222223</v>
      </c>
      <c r="K1144" s="38">
        <f t="shared" si="15"/>
        <v>0.01736111111</v>
      </c>
      <c r="L1144" s="39" t="str">
        <f t="shared" si="2"/>
        <v>Morning</v>
      </c>
      <c r="M1144" s="39" t="str">
        <f t="array" ref="M1144">XLOOKUP(D1144,'Category dict'!$B$1:$B$4,'Category dict'!$A$1:$A$4,0,0,1)</f>
        <v>Business</v>
      </c>
      <c r="N1144" s="39" t="str">
        <f>VLOOKUP(H1144,'Purpose dict'!$A$1:$B$12,2,0)</f>
        <v>Errand/Supplies</v>
      </c>
    </row>
    <row r="1145" hidden="1">
      <c r="A1145" s="3" t="s">
        <v>1398</v>
      </c>
      <c r="B1145" s="34">
        <v>42734.65347222222</v>
      </c>
      <c r="C1145" s="34">
        <v>42734.66875</v>
      </c>
      <c r="D1145" s="35">
        <v>423.0</v>
      </c>
      <c r="E1145" s="3" t="s">
        <v>1370</v>
      </c>
      <c r="F1145" s="3" t="s">
        <v>1370</v>
      </c>
      <c r="G1145" s="36">
        <v>4.6</v>
      </c>
      <c r="H1145" s="35">
        <v>2.0</v>
      </c>
      <c r="I1145" s="37">
        <v>0.6534722222222222</v>
      </c>
      <c r="J1145" s="37">
        <v>0.66875</v>
      </c>
      <c r="K1145" s="38">
        <f t="shared" si="15"/>
        <v>0.01527777778</v>
      </c>
      <c r="L1145" s="39" t="str">
        <f t="shared" si="2"/>
        <v>Day</v>
      </c>
      <c r="M1145" s="39" t="str">
        <f t="array" ref="M1145">XLOOKUP(D1145,'Category dict'!$B$1:$B$4,'Category dict'!$A$1:$A$4,0,0,1)</f>
        <v>Business</v>
      </c>
      <c r="N1145" s="39" t="str">
        <f>VLOOKUP(H1145,'Purpose dict'!$A$1:$B$12,2,0)</f>
        <v>Errand/Supplies</v>
      </c>
    </row>
    <row r="1146" hidden="1">
      <c r="A1146" s="3" t="s">
        <v>1399</v>
      </c>
      <c r="B1146" s="34">
        <v>42734.697916666664</v>
      </c>
      <c r="C1146" s="34">
        <v>42734.71388888889</v>
      </c>
      <c r="D1146" s="35">
        <v>423.0</v>
      </c>
      <c r="E1146" s="3" t="s">
        <v>1370</v>
      </c>
      <c r="F1146" s="3" t="s">
        <v>1370</v>
      </c>
      <c r="G1146" s="36">
        <v>4.6</v>
      </c>
      <c r="H1146" s="35">
        <v>3.0</v>
      </c>
      <c r="I1146" s="37">
        <v>0.6979166666666666</v>
      </c>
      <c r="J1146" s="37">
        <v>0.7138888888888889</v>
      </c>
      <c r="K1146" s="38">
        <f t="shared" si="15"/>
        <v>0.01597222222</v>
      </c>
      <c r="L1146" s="39" t="str">
        <f t="shared" si="2"/>
        <v>Day</v>
      </c>
      <c r="M1146" s="39" t="str">
        <f t="array" ref="M1146">XLOOKUP(D1146,'Category dict'!$B$1:$B$4,'Category dict'!$A$1:$A$4,0,0,1)</f>
        <v>Business</v>
      </c>
      <c r="N1146" s="39" t="str">
        <f>VLOOKUP(H1146,'Purpose dict'!$A$1:$B$12,2,0)</f>
        <v>Meeting</v>
      </c>
    </row>
    <row r="1147">
      <c r="A1147" s="3" t="s">
        <v>1400</v>
      </c>
      <c r="B1147" s="34">
        <v>42734.9625</v>
      </c>
      <c r="C1147" s="34">
        <v>42734.96527777778</v>
      </c>
      <c r="D1147" s="35">
        <v>423.0</v>
      </c>
      <c r="E1147" s="3" t="s">
        <v>1370</v>
      </c>
      <c r="F1147" s="3" t="s">
        <v>1370</v>
      </c>
      <c r="G1147" s="40">
        <v>0.8</v>
      </c>
      <c r="H1147" s="35">
        <v>4.0</v>
      </c>
      <c r="I1147" s="37">
        <v>0.9625</v>
      </c>
      <c r="J1147" s="37">
        <v>0.9652777777777778</v>
      </c>
      <c r="K1147" s="38">
        <f t="shared" si="15"/>
        <v>0.002777777778</v>
      </c>
      <c r="L1147" s="39" t="str">
        <f t="shared" si="2"/>
        <v>Evening</v>
      </c>
      <c r="M1147" s="39" t="str">
        <f t="array" ref="M1147">XLOOKUP(D1147,'Category dict'!$B$1:$B$4,'Category dict'!$A$1:$A$4,0,0,1)</f>
        <v>Business</v>
      </c>
      <c r="N1147" s="39" t="str">
        <f>VLOOKUP(H1147,'Purpose dict'!$A$1:$B$12,2,0)</f>
        <v>Customer Visit</v>
      </c>
    </row>
    <row r="1148">
      <c r="A1148" s="3" t="s">
        <v>1401</v>
      </c>
      <c r="B1148" s="34">
        <v>42735.04652777778</v>
      </c>
      <c r="C1148" s="34">
        <v>42735.05138888889</v>
      </c>
      <c r="D1148" s="35">
        <v>423.0</v>
      </c>
      <c r="E1148" s="3" t="s">
        <v>1370</v>
      </c>
      <c r="F1148" s="3" t="s">
        <v>1370</v>
      </c>
      <c r="G1148" s="40">
        <v>0.7</v>
      </c>
      <c r="H1148" s="35">
        <v>3.0</v>
      </c>
      <c r="I1148" s="37">
        <v>0.04652777777777778</v>
      </c>
      <c r="J1148" s="37">
        <v>0.05138888888888889</v>
      </c>
      <c r="K1148" s="38">
        <f t="shared" si="15"/>
        <v>0.004861111111</v>
      </c>
      <c r="L1148" s="39" t="str">
        <f t="shared" si="2"/>
        <v>Night</v>
      </c>
      <c r="M1148" s="39" t="str">
        <f t="array" ref="M1148">XLOOKUP(D1148,'Category dict'!$B$1:$B$4,'Category dict'!$A$1:$A$4,0,0,1)</f>
        <v>Business</v>
      </c>
      <c r="N1148" s="39" t="str">
        <f>VLOOKUP(H1148,'Purpose dict'!$A$1:$B$12,2,0)</f>
        <v>Meeting</v>
      </c>
    </row>
    <row r="1149" hidden="1">
      <c r="A1149" s="3" t="s">
        <v>1402</v>
      </c>
      <c r="B1149" s="34">
        <v>42735.558333333334</v>
      </c>
      <c r="C1149" s="34">
        <v>42735.57083333333</v>
      </c>
      <c r="D1149" s="35">
        <v>423.0</v>
      </c>
      <c r="E1149" s="3" t="s">
        <v>1370</v>
      </c>
      <c r="F1149" s="3" t="s">
        <v>208</v>
      </c>
      <c r="G1149" s="36">
        <v>3.9</v>
      </c>
      <c r="H1149" s="35">
        <v>5.0</v>
      </c>
      <c r="I1149" s="37">
        <v>0.5583333333333333</v>
      </c>
      <c r="J1149" s="37">
        <v>0.5708333333333333</v>
      </c>
      <c r="K1149" s="38">
        <f t="shared" si="15"/>
        <v>0.0125</v>
      </c>
      <c r="L1149" s="39" t="str">
        <f t="shared" si="2"/>
        <v>Day</v>
      </c>
      <c r="M1149" s="39" t="str">
        <f t="array" ref="M1149">XLOOKUP(D1149,'Category dict'!$B$1:$B$4,'Category dict'!$A$1:$A$4,0,0,1)</f>
        <v>Business</v>
      </c>
      <c r="N1149" s="39" t="str">
        <f>VLOOKUP(H1149,'Purpose dict'!$A$1:$B$12,2,0)</f>
        <v>Temporary Site</v>
      </c>
    </row>
    <row r="1150" hidden="1">
      <c r="A1150" s="3" t="s">
        <v>1403</v>
      </c>
      <c r="B1150" s="34">
        <v>42735.62708333333</v>
      </c>
      <c r="C1150" s="34">
        <v>42735.65138888889</v>
      </c>
      <c r="D1150" s="35">
        <v>423.0</v>
      </c>
      <c r="E1150" s="3" t="s">
        <v>208</v>
      </c>
      <c r="F1150" s="3" t="s">
        <v>208</v>
      </c>
      <c r="G1150" s="36">
        <v>16.2</v>
      </c>
      <c r="H1150" s="35">
        <v>3.0</v>
      </c>
      <c r="I1150" s="37">
        <v>0.6270833333333333</v>
      </c>
      <c r="J1150" s="37">
        <v>0.6513888888888889</v>
      </c>
      <c r="K1150" s="38">
        <f t="shared" si="15"/>
        <v>0.02430555556</v>
      </c>
      <c r="L1150" s="39" t="str">
        <f t="shared" si="2"/>
        <v>Day</v>
      </c>
      <c r="M1150" s="39" t="str">
        <f t="array" ref="M1150">XLOOKUP(D1150,'Category dict'!$B$1:$B$4,'Category dict'!$A$1:$A$4,0,0,1)</f>
        <v>Business</v>
      </c>
      <c r="N1150" s="39" t="str">
        <f>VLOOKUP(H1150,'Purpose dict'!$A$1:$B$12,2,0)</f>
        <v>Meeting</v>
      </c>
    </row>
    <row r="1151" hidden="1">
      <c r="A1151" s="3" t="s">
        <v>1404</v>
      </c>
      <c r="B1151" s="34">
        <v>42735.89722222222</v>
      </c>
      <c r="C1151" s="34">
        <v>42735.90972222222</v>
      </c>
      <c r="D1151" s="35">
        <v>423.0</v>
      </c>
      <c r="E1151" s="3" t="s">
        <v>1405</v>
      </c>
      <c r="F1151" s="3" t="s">
        <v>1406</v>
      </c>
      <c r="G1151" s="36">
        <v>6.4</v>
      </c>
      <c r="H1151" s="35">
        <v>5.0</v>
      </c>
      <c r="I1151" s="37">
        <v>0.8972222222222223</v>
      </c>
      <c r="J1151" s="37">
        <v>0.9097222222222222</v>
      </c>
      <c r="K1151" s="38">
        <f t="shared" si="15"/>
        <v>0.0125</v>
      </c>
      <c r="L1151" s="39" t="str">
        <f t="shared" si="2"/>
        <v>Evening</v>
      </c>
      <c r="M1151" s="39" t="str">
        <f t="array" ref="M1151">XLOOKUP(D1151,'Category dict'!$B$1:$B$4,'Category dict'!$A$1:$A$4,0,0,1)</f>
        <v>Business</v>
      </c>
      <c r="N1151" s="39" t="str">
        <f>VLOOKUP(H1151,'Purpose dict'!$A$1:$B$12,2,0)</f>
        <v>Temporary Site</v>
      </c>
    </row>
    <row r="1152" hidden="1">
      <c r="A1152" s="3" t="s">
        <v>1407</v>
      </c>
      <c r="B1152" s="34">
        <v>42735.92222222222</v>
      </c>
      <c r="C1152" s="34">
        <v>42735.99375</v>
      </c>
      <c r="D1152" s="35">
        <v>423.0</v>
      </c>
      <c r="E1152" s="3" t="s">
        <v>1406</v>
      </c>
      <c r="F1152" s="3" t="s">
        <v>1408</v>
      </c>
      <c r="G1152" s="36">
        <v>48.2</v>
      </c>
      <c r="H1152" s="35">
        <v>5.0</v>
      </c>
      <c r="I1152" s="37">
        <v>0.9222222222222223</v>
      </c>
      <c r="J1152" s="37">
        <v>0.99375</v>
      </c>
      <c r="K1152" s="38">
        <f t="shared" si="15"/>
        <v>0.07152777778</v>
      </c>
      <c r="L1152" s="39" t="str">
        <f t="shared" si="2"/>
        <v>Evening</v>
      </c>
      <c r="M1152" s="39" t="str">
        <f t="array" ref="M1152">XLOOKUP(D1152,'Category dict'!$B$1:$B$4,'Category dict'!$A$1:$A$4,0,0,1)</f>
        <v>Business</v>
      </c>
      <c r="N1152" s="39" t="str">
        <f>VLOOKUP(H1152,'Purpose dict'!$A$1:$B$12,2,0)</f>
        <v>Temporary Site</v>
      </c>
    </row>
  </sheetData>
  <autoFilter ref="$A$1:$N$1152">
    <filterColumn colId="6">
      <filters>
        <filter val="195.30"/>
        <filter val="201.00"/>
        <filter val="1.00"/>
        <filter val="1.10"/>
        <filter val="1.20"/>
        <filter val="0.50"/>
        <filter val="1.30"/>
        <filter val="0.60"/>
        <filter val="0.70"/>
        <filter val="195.90"/>
        <filter val="1.40"/>
        <filter val="0.80"/>
        <filter val="1.50"/>
        <filter val="0.90"/>
        <filter val="180.20"/>
        <filter val="174.20"/>
        <filter val="195.60"/>
        <filter val="310.30"/>
      </filters>
    </filterColumn>
  </autoFilter>
  <conditionalFormatting sqref="K1:K1152">
    <cfRule type="colorScale" priority="1">
      <colorScale>
        <cfvo type="min"/>
        <cfvo type="max"/>
        <color rgb="FFFFFFFF"/>
        <color rgb="FF57BB8A"/>
      </colorScale>
    </cfRule>
  </conditionalFormatting>
  <conditionalFormatting sqref="G1:G1152">
    <cfRule type="colorScale" priority="2">
      <colorScale>
        <cfvo type="min"/>
        <cfvo type="max"/>
        <color rgb="FFFFFFFF"/>
        <color rgb="FF57BB8A"/>
      </colorScale>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7.0"/>
    <col customWidth="1" min="4" max="4" width="24.88"/>
  </cols>
  <sheetData>
    <row r="1">
      <c r="A1" s="42"/>
      <c r="B1" s="43"/>
      <c r="C1" s="43"/>
      <c r="D1" s="43"/>
      <c r="F1" s="43"/>
    </row>
    <row r="2">
      <c r="A2" s="42" t="s">
        <v>1409</v>
      </c>
      <c r="B2" s="43"/>
      <c r="C2" s="43"/>
      <c r="D2" s="43"/>
      <c r="F2" s="43"/>
    </row>
    <row r="3">
      <c r="A3" s="44" t="s">
        <v>1410</v>
      </c>
      <c r="B3" s="44" t="s">
        <v>1411</v>
      </c>
      <c r="C3" s="44" t="s">
        <v>1412</v>
      </c>
      <c r="D3" s="44" t="s">
        <v>1413</v>
      </c>
      <c r="E3" s="44" t="s">
        <v>1414</v>
      </c>
      <c r="F3" s="43"/>
    </row>
    <row r="4">
      <c r="A4" s="1" t="s">
        <v>7</v>
      </c>
      <c r="B4" s="45">
        <f>COUNTA('Uber Drives'!A2:A1152)</f>
        <v>1151</v>
      </c>
      <c r="C4" s="45">
        <f>COUNTBLANK('Uber Drives'!A2:A1152)</f>
        <v>0</v>
      </c>
      <c r="D4" s="45">
        <f>COUNTIF('Uber Drives'!A2:A1152, "#N/A")</f>
        <v>0</v>
      </c>
      <c r="E4" s="46">
        <f>COUNTIF('Uber Drives'!A2:A1152, "&lt;0")</f>
        <v>0</v>
      </c>
      <c r="F4" s="47"/>
    </row>
    <row r="5">
      <c r="A5" s="28" t="s">
        <v>9</v>
      </c>
      <c r="B5" s="45">
        <f>COUNTA('Uber Drives'!B2:B1152)</f>
        <v>1151</v>
      </c>
      <c r="C5" s="45">
        <f>COUNTBLANK('Uber Drives'!B2:B1152)</f>
        <v>0</v>
      </c>
      <c r="D5" s="45">
        <f>COUNTIF('Uber Drives'!B2:B1152, "#N/A")</f>
        <v>0</v>
      </c>
      <c r="E5" s="46">
        <f>COUNTIF('Uber Drives'!B2:B1152, "&lt;0")</f>
        <v>0</v>
      </c>
      <c r="F5" s="43"/>
    </row>
    <row r="6">
      <c r="A6" s="28" t="s">
        <v>11</v>
      </c>
      <c r="B6" s="45">
        <f>COUNTA('Uber Drives'!C2:C1152)</f>
        <v>1151</v>
      </c>
      <c r="C6" s="45">
        <f>COUNTBLANK('Uber Drives'!C2:C1152)</f>
        <v>0</v>
      </c>
      <c r="D6" s="45">
        <f>COUNTIF('Uber Drives'!C2:C1152, "#N/A")</f>
        <v>0</v>
      </c>
      <c r="E6" s="46">
        <f>COUNTIF('Uber Drives'!C2:C1152, "&lt;0")</f>
        <v>0</v>
      </c>
      <c r="F6" s="43"/>
    </row>
    <row r="7">
      <c r="A7" s="29" t="s">
        <v>13</v>
      </c>
      <c r="B7" s="45">
        <f>COUNTA('Uber Drives'!D2:D1152)</f>
        <v>1151</v>
      </c>
      <c r="C7" s="45">
        <f>COUNTBLANK('Uber Drives'!D2:D1152)</f>
        <v>0</v>
      </c>
      <c r="D7" s="45">
        <f>COUNTIF('Uber Drives'!D2:D1152, "#N/A")</f>
        <v>0</v>
      </c>
      <c r="E7" s="46">
        <f>COUNTIF('Uber Drives'!D2:D1152, "&lt;0")</f>
        <v>0</v>
      </c>
      <c r="F7" s="43"/>
    </row>
    <row r="8">
      <c r="A8" s="1" t="s">
        <v>43</v>
      </c>
      <c r="B8" s="45">
        <f>COUNTA('Uber Drives'!E2:E1152)</f>
        <v>1151</v>
      </c>
      <c r="C8" s="45">
        <f>COUNTBLANK('Uber Drives'!E2:E1152)</f>
        <v>0</v>
      </c>
      <c r="D8" s="45">
        <f>COUNTIF('Uber Drives'!E2:E1152, "#N/A")</f>
        <v>0</v>
      </c>
      <c r="E8" s="46">
        <f>COUNTIF('Uber Drives'!E2:E1152, "&lt;0")</f>
        <v>0</v>
      </c>
      <c r="F8" s="43"/>
    </row>
    <row r="9">
      <c r="A9" s="1" t="s">
        <v>44</v>
      </c>
      <c r="B9" s="45">
        <f>COUNTA('Uber Drives'!F2:F1152)</f>
        <v>1151</v>
      </c>
      <c r="C9" s="45">
        <f>COUNTBLANK('Uber Drives'!F2:F1152)</f>
        <v>0</v>
      </c>
      <c r="D9" s="45">
        <f>COUNTIF('Uber Drives'!F2:F1152, "#N/A")</f>
        <v>0</v>
      </c>
      <c r="E9" s="46">
        <f>COUNTIF('Uber Drives'!F2:F1152, "&lt;0")</f>
        <v>0</v>
      </c>
      <c r="F9" s="43"/>
    </row>
    <row r="10">
      <c r="A10" s="48" t="s">
        <v>19</v>
      </c>
      <c r="B10" s="45">
        <f>COUNTA('Uber Drives'!G2:G1152)</f>
        <v>1151</v>
      </c>
      <c r="C10" s="45">
        <f>COUNTBLANK('Uber Drives'!G2:G1152)</f>
        <v>0</v>
      </c>
      <c r="D10" s="45">
        <f>COUNTIF('Uber Drives'!G2:G1152, "#N/A")</f>
        <v>0</v>
      </c>
      <c r="E10" s="46">
        <f>COUNTIF('Uber Drives'!G2:G1152, "&lt;0")</f>
        <v>0</v>
      </c>
      <c r="F10" s="43"/>
    </row>
    <row r="11">
      <c r="A11" s="29" t="s">
        <v>21</v>
      </c>
      <c r="B11" s="45">
        <f>COUNTA('Uber Drives'!H2:H1152)</f>
        <v>1151</v>
      </c>
      <c r="C11" s="45">
        <f>COUNTBLANK('Uber Drives'!H2:H1152)</f>
        <v>0</v>
      </c>
      <c r="D11" s="45">
        <f>COUNTIF('Uber Drives'!H2:H1152, "#N/A")</f>
        <v>0</v>
      </c>
      <c r="E11" s="46">
        <f>COUNTIF('Uber Drives'!H2:H1152, "&lt;0")</f>
        <v>0</v>
      </c>
      <c r="F11" s="43"/>
    </row>
    <row r="12">
      <c r="A12" s="31" t="s">
        <v>45</v>
      </c>
      <c r="B12" s="45">
        <f>COUNTA('Uber Drives'!I2:I1152)</f>
        <v>1151</v>
      </c>
      <c r="C12" s="45">
        <f>COUNTBLANK('Uber Drives'!I2:I1152)</f>
        <v>0</v>
      </c>
      <c r="D12" s="45">
        <f>COUNTIF('Uber Drives'!I2:I1152, "#N/A")</f>
        <v>0</v>
      </c>
      <c r="E12" s="46">
        <f>COUNTIF('Uber Drives'!I2:I1152, "&lt;0")</f>
        <v>0</v>
      </c>
      <c r="F12" s="43"/>
    </row>
    <row r="13">
      <c r="A13" s="31" t="s">
        <v>46</v>
      </c>
      <c r="B13" s="45">
        <f>COUNTA('Uber Drives'!J2:J1152)</f>
        <v>1151</v>
      </c>
      <c r="C13" s="45">
        <f>COUNTBLANK('Uber Drives'!J2:J1152)</f>
        <v>0</v>
      </c>
      <c r="D13" s="45">
        <f>COUNTIF('Uber Drives'!J2:J1152, "#N/A")</f>
        <v>0</v>
      </c>
      <c r="E13" s="46">
        <f>COUNTIF('Uber Drives'!J2:J1152, "&lt;0")</f>
        <v>0</v>
      </c>
      <c r="F13" s="43"/>
    </row>
    <row r="14">
      <c r="A14" s="32" t="s">
        <v>47</v>
      </c>
      <c r="B14" s="45">
        <f>COUNTA('Uber Drives'!K2:K1152)</f>
        <v>1151</v>
      </c>
      <c r="C14" s="45">
        <f>COUNTBLANK('Uber Drives'!K2:K1152)</f>
        <v>0</v>
      </c>
      <c r="D14" s="45">
        <f>COUNTIF('Uber Drives'!K2:K1152, "#N/A")</f>
        <v>0</v>
      </c>
      <c r="E14" s="46">
        <f>COUNTIF('Uber Drives'!K2:K1152, "&lt;0")</f>
        <v>0</v>
      </c>
      <c r="F14" s="43"/>
    </row>
    <row r="15">
      <c r="A15" s="33" t="s">
        <v>48</v>
      </c>
      <c r="B15" s="45">
        <f>COUNTA('Uber Drives'!L2:L1152)</f>
        <v>1151</v>
      </c>
      <c r="C15" s="45">
        <f>COUNTBLANK('Uber Drives'!L2:L1152)</f>
        <v>0</v>
      </c>
      <c r="D15" s="45">
        <f>COUNTIF('Uber Drives'!L2:L1152, "#N/A")</f>
        <v>0</v>
      </c>
      <c r="E15" s="46">
        <f>COUNTIF('Uber Drives'!L2:L1152, "&lt;0")</f>
        <v>0</v>
      </c>
      <c r="F15" s="43"/>
    </row>
    <row r="16">
      <c r="A16" s="33" t="s">
        <v>24</v>
      </c>
      <c r="B16" s="45">
        <f>COUNTA('Uber Drives'!M2:M1152)</f>
        <v>1151</v>
      </c>
      <c r="C16" s="45">
        <f>COUNTBLANK('Uber Drives'!M2:M1152)</f>
        <v>0</v>
      </c>
      <c r="D16" s="45">
        <f>COUNTIF('Uber Drives'!M2:M1152, "#N/A")</f>
        <v>0</v>
      </c>
      <c r="E16" s="46">
        <f>COUNTIF('Uber Drives'!M2:M1152, "&lt;0")</f>
        <v>0</v>
      </c>
      <c r="F16" s="43"/>
    </row>
    <row r="17">
      <c r="A17" s="33" t="s">
        <v>27</v>
      </c>
      <c r="B17" s="45">
        <f>COUNTA('Uber Drives'!N2:N1152)</f>
        <v>1151</v>
      </c>
      <c r="C17" s="45">
        <f>COUNTBLANK('Uber Drives'!N2:N1152)</f>
        <v>0</v>
      </c>
      <c r="D17" s="45">
        <f>COUNTIF('Uber Drives'!N2:N1152, "#N/A")</f>
        <v>0</v>
      </c>
      <c r="E17" s="46">
        <f>COUNTIF('Uber Drives'!N2:N1152, "&lt;0")</f>
        <v>0</v>
      </c>
      <c r="F17" s="43"/>
    </row>
    <row r="18">
      <c r="A18" s="42"/>
      <c r="B18" s="43"/>
      <c r="C18" s="43"/>
      <c r="D18" s="43"/>
      <c r="F18" s="43"/>
    </row>
    <row r="19">
      <c r="A19" s="42" t="s">
        <v>1415</v>
      </c>
      <c r="B19" s="43"/>
      <c r="C19" s="43"/>
      <c r="D19" s="43"/>
      <c r="F19" s="43"/>
    </row>
    <row r="20">
      <c r="A20" s="42" t="s">
        <v>1416</v>
      </c>
      <c r="B20" s="43"/>
      <c r="C20" s="43"/>
      <c r="D20" s="43"/>
      <c r="F20" s="43"/>
      <c r="H20" s="3" t="s">
        <v>1417</v>
      </c>
    </row>
    <row r="21" ht="42.0" customHeight="1">
      <c r="A21" s="49" t="s">
        <v>1418</v>
      </c>
      <c r="B21" s="49" t="s">
        <v>1419</v>
      </c>
      <c r="C21" s="50" t="s">
        <v>1420</v>
      </c>
      <c r="D21" s="50" t="s">
        <v>1421</v>
      </c>
      <c r="F21" s="49" t="s">
        <v>1422</v>
      </c>
      <c r="G21" s="49" t="s">
        <v>1419</v>
      </c>
      <c r="H21" s="50" t="s">
        <v>1420</v>
      </c>
      <c r="I21" s="50" t="s">
        <v>1421</v>
      </c>
      <c r="K21" s="49" t="s">
        <v>1418</v>
      </c>
      <c r="L21" s="49" t="s">
        <v>1422</v>
      </c>
      <c r="M21" s="49" t="s">
        <v>1419</v>
      </c>
      <c r="N21" s="50" t="s">
        <v>1420</v>
      </c>
      <c r="O21" s="50" t="s">
        <v>1421</v>
      </c>
    </row>
    <row r="22" ht="16.5" customHeight="1">
      <c r="A22" s="33" t="str">
        <f t="array" ref="A22:A23">UNIQUE('Uber Drives'!M2:M1152)</f>
        <v>Business</v>
      </c>
      <c r="B22" s="45">
        <f>COUNTIF('Uber Drives'!$M$2:$M$1152,A22)</f>
        <v>1074</v>
      </c>
      <c r="C22" s="51">
        <f>AVERAGEIF('Uber Drives'!$M$2:$M$1152,$A$22,'Uber Drives'!$K$2:$K$1152)</f>
        <v>0.01634013553</v>
      </c>
      <c r="D22" s="52">
        <f>ROUND(AVERAGEIF('Uber Drives'!$M$2:$M$1152,$A$22,'Uber Drives'!$G$2:$G$1152),2)</f>
        <v>10.63</v>
      </c>
      <c r="F22" s="45" t="str">
        <f t="array" ref="F22:F32">UNIQUE('Uber Drives'!N2:N1152)</f>
        <v>Meal/Entertain</v>
      </c>
      <c r="G22" s="46">
        <f>COUNTIF('Uber Drives'!$N$2:$N$1152,F22)</f>
        <v>160</v>
      </c>
      <c r="H22" s="51">
        <f>AVERAGEIF('Uber Drives'!$N$2:$N$1152,F22,'Uber Drives'!$K$2:$K$1152)</f>
        <v>0.01119791667</v>
      </c>
      <c r="I22" s="45">
        <f>ROUND(AVERAGEIF('Uber Drives'!$N$2:$N$1152,F22,'Uber Drives'!$G$2:$G$1152),2)</f>
        <v>5.7</v>
      </c>
      <c r="K22" s="46" t="str">
        <f t="array" ref="K22:L33">UNIQUE({'Uber Drives'!M2:M1152,'Uber Drives'!N2:N1152})</f>
        <v>Business</v>
      </c>
      <c r="L22" s="45" t="s">
        <v>29</v>
      </c>
      <c r="M22" s="46">
        <f>COUNTIFS('Uber Drives'!$M$2:$M$1152,K22,'Uber Drives'!$N$2:$N$1152,L22)</f>
        <v>160</v>
      </c>
      <c r="N22" s="51">
        <f>AVERAGEIFS('Uber Drives'!$K$2:$K$1152,'Uber Drives'!$M$2:$M$1152,K22,'Uber Drives'!$N$2:$N$1152,L22)</f>
        <v>0.01119791667</v>
      </c>
      <c r="O22" s="53">
        <f>AVERAGEIFS('Uber Drives'!$G$2:$G$1152,'Uber Drives'!$M$2:$M$1152,K22,'Uber Drives'!$N$2:$N$1152,L22)</f>
        <v>5.698125</v>
      </c>
    </row>
    <row r="23" ht="16.5" customHeight="1">
      <c r="A23" s="33" t="s">
        <v>41</v>
      </c>
      <c r="B23" s="45">
        <f>COUNTIF('Uber Drives'!$M$2:$M$1152,A23)</f>
        <v>77</v>
      </c>
      <c r="C23" s="51">
        <f>AVERAGEIF('Uber Drives'!$M$2:$M$1152,$A$23,'Uber Drives'!$K$2:$K$1152)</f>
        <v>0.01420454545</v>
      </c>
      <c r="D23" s="52">
        <f>ROUND(AVERAGEIF('Uber Drives'!$M$2:$M$1152,$A$23,'Uber Drives'!$G$2:$G$1152),2)</f>
        <v>9.32</v>
      </c>
      <c r="F23" s="45" t="s">
        <v>30</v>
      </c>
      <c r="G23" s="46">
        <f>COUNTIF('Uber Drives'!$N$2:$N$1152,F23)</f>
        <v>498</v>
      </c>
      <c r="H23" s="51">
        <f>AVERAGEIF('Uber Drives'!$N$2:$N$1152,F23,'Uber Drives'!$K$2:$K$1152)</f>
        <v>0.01612979697</v>
      </c>
      <c r="I23" s="53">
        <f>AVERAGEIF('Uber Drives'!$N$2:$N$1152,F23,'Uber Drives'!$G$2:$G$1152)</f>
        <v>9.675702811</v>
      </c>
      <c r="K23" s="46" t="s">
        <v>40</v>
      </c>
      <c r="L23" s="45" t="s">
        <v>30</v>
      </c>
      <c r="M23" s="46">
        <f>COUNTIFS('Uber Drives'!$M$2:$M$1152,K23,'Uber Drives'!$N$2:$N$1152,L23)</f>
        <v>427</v>
      </c>
      <c r="N23" s="51">
        <f>AVERAGEIFS('Uber Drives'!$K$2:$K$1152,'Uber Drives'!$M$2:$M$1152,K23,'Uber Drives'!$N$2:$N$1152,L23)</f>
        <v>0.016692688</v>
      </c>
      <c r="O23" s="53">
        <f>AVERAGEIFS('Uber Drives'!$G$2:$G$1152,'Uber Drives'!$M$2:$M$1152,K23,'Uber Drives'!$N$2:$N$1152,L23)</f>
        <v>10.10374707</v>
      </c>
    </row>
    <row r="24" ht="16.5" customHeight="1">
      <c r="A24" s="1"/>
      <c r="B24" s="43"/>
      <c r="C24" s="43"/>
      <c r="D24" s="43"/>
      <c r="F24" s="45" t="s">
        <v>31</v>
      </c>
      <c r="G24" s="46">
        <f>COUNTIF('Uber Drives'!$N$2:$N$1152,F24)</f>
        <v>128</v>
      </c>
      <c r="H24" s="51">
        <f>AVERAGEIF('Uber Drives'!$N$2:$N$1152,F24,'Uber Drives'!$K$2:$K$1152)</f>
        <v>0.009011501736</v>
      </c>
      <c r="I24" s="53">
        <f>AVERAGEIF('Uber Drives'!$N$2:$N$1152,F24,'Uber Drives'!$G$2:$G$1152)</f>
        <v>3.96875</v>
      </c>
      <c r="K24" s="46" t="s">
        <v>40</v>
      </c>
      <c r="L24" s="45" t="s">
        <v>31</v>
      </c>
      <c r="M24" s="46">
        <f>COUNTIFS('Uber Drives'!$M$2:$M$1152,K24,'Uber Drives'!$N$2:$N$1152,L24)</f>
        <v>128</v>
      </c>
      <c r="N24" s="51">
        <f>AVERAGEIFS('Uber Drives'!$K$2:$K$1152,'Uber Drives'!$M$2:$M$1152,K24,'Uber Drives'!$N$2:$N$1152,L24)</f>
        <v>0.009011501736</v>
      </c>
      <c r="O24" s="53">
        <f>AVERAGEIFS('Uber Drives'!$G$2:$G$1152,'Uber Drives'!$M$2:$M$1152,K24,'Uber Drives'!$N$2:$N$1152,L24)</f>
        <v>3.96875</v>
      </c>
    </row>
    <row r="25" ht="16.5" customHeight="1">
      <c r="A25" s="1"/>
      <c r="B25" s="43"/>
      <c r="C25" s="43"/>
      <c r="D25" s="43"/>
      <c r="F25" s="45" t="s">
        <v>32</v>
      </c>
      <c r="G25" s="46">
        <f>COUNTIF('Uber Drives'!$N$2:$N$1152,F25)</f>
        <v>187</v>
      </c>
      <c r="H25" s="51">
        <f>AVERAGEIF('Uber Drives'!$N$2:$N$1152,F25,'Uber Drives'!$K$2:$K$1152)</f>
        <v>0.02065136661</v>
      </c>
      <c r="I25" s="53">
        <f>AVERAGEIF('Uber Drives'!$N$2:$N$1152,F25,'Uber Drives'!$G$2:$G$1152)</f>
        <v>15.24759358</v>
      </c>
      <c r="K25" s="46" t="s">
        <v>40</v>
      </c>
      <c r="L25" s="45" t="s">
        <v>32</v>
      </c>
      <c r="M25" s="46">
        <f>COUNTIFS('Uber Drives'!$M$2:$M$1152,K25,'Uber Drives'!$N$2:$N$1152,L25)</f>
        <v>187</v>
      </c>
      <c r="N25" s="51">
        <f>AVERAGEIFS('Uber Drives'!$K$2:$K$1152,'Uber Drives'!$M$2:$M$1152,K25,'Uber Drives'!$N$2:$N$1152,L25)</f>
        <v>0.02065136661</v>
      </c>
      <c r="O25" s="53">
        <f>AVERAGEIFS('Uber Drives'!$G$2:$G$1152,'Uber Drives'!$M$2:$M$1152,K25,'Uber Drives'!$N$2:$N$1152,L25)</f>
        <v>15.24759358</v>
      </c>
    </row>
    <row r="26" ht="16.5" customHeight="1">
      <c r="A26" s="1"/>
      <c r="B26" s="43"/>
      <c r="C26" s="43"/>
      <c r="D26" s="43"/>
      <c r="F26" s="45" t="s">
        <v>33</v>
      </c>
      <c r="G26" s="46">
        <f>COUNTIF('Uber Drives'!$N$2:$N$1152,F26)</f>
        <v>101</v>
      </c>
      <c r="H26" s="51">
        <f>AVERAGEIF('Uber Drives'!$N$2:$N$1152,F26,'Uber Drives'!$K$2:$K$1152)</f>
        <v>0.02320544554</v>
      </c>
      <c r="I26" s="53">
        <f>AVERAGEIF('Uber Drives'!$N$2:$N$1152,F26,'Uber Drives'!$G$2:$G$1152)</f>
        <v>20.68811881</v>
      </c>
      <c r="K26" s="46" t="s">
        <v>40</v>
      </c>
      <c r="L26" s="45" t="s">
        <v>33</v>
      </c>
      <c r="M26" s="46">
        <f>COUNTIFS('Uber Drives'!$M$2:$M$1152,K26,'Uber Drives'!$N$2:$N$1152,L26)</f>
        <v>101</v>
      </c>
      <c r="N26" s="51">
        <f>AVERAGEIFS('Uber Drives'!$K$2:$K$1152,'Uber Drives'!$M$2:$M$1152,K26,'Uber Drives'!$N$2:$N$1152,L26)</f>
        <v>0.02320544554</v>
      </c>
      <c r="O26" s="53">
        <f>AVERAGEIFS('Uber Drives'!$G$2:$G$1152,'Uber Drives'!$M$2:$M$1152,K26,'Uber Drives'!$N$2:$N$1152,L26)</f>
        <v>20.68811881</v>
      </c>
    </row>
    <row r="27" ht="16.5" customHeight="1">
      <c r="A27" s="1"/>
      <c r="B27" s="43"/>
      <c r="C27" s="43"/>
      <c r="D27" s="43"/>
      <c r="F27" s="45" t="s">
        <v>34</v>
      </c>
      <c r="G27" s="46">
        <f>COUNTIF('Uber Drives'!$N$2:$N$1152,F27)</f>
        <v>50</v>
      </c>
      <c r="H27" s="51">
        <f>AVERAGEIF('Uber Drives'!$N$2:$N$1152,F27,'Uber Drives'!$K$2:$K$1152)</f>
        <v>0.01795833333</v>
      </c>
      <c r="I27" s="53">
        <f>AVERAGEIF('Uber Drives'!$N$2:$N$1152,F27,'Uber Drives'!$G$2:$G$1152)</f>
        <v>10.474</v>
      </c>
      <c r="K27" s="46" t="s">
        <v>40</v>
      </c>
      <c r="L27" s="45" t="s">
        <v>34</v>
      </c>
      <c r="M27" s="46">
        <f>COUNTIFS('Uber Drives'!$M$2:$M$1152,K27,'Uber Drives'!$N$2:$N$1152,L27)</f>
        <v>50</v>
      </c>
      <c r="N27" s="51">
        <f>AVERAGEIFS('Uber Drives'!$K$2:$K$1152,'Uber Drives'!$M$2:$M$1152,K27,'Uber Drives'!$N$2:$N$1152,L27)</f>
        <v>0.01795833333</v>
      </c>
      <c r="O27" s="53">
        <f>AVERAGEIFS('Uber Drives'!$G$2:$G$1152,'Uber Drives'!$M$2:$M$1152,K27,'Uber Drives'!$N$2:$N$1152,L27)</f>
        <v>10.474</v>
      </c>
    </row>
    <row r="28" ht="16.5" customHeight="1">
      <c r="A28" s="1"/>
      <c r="B28" s="43"/>
      <c r="C28" s="43"/>
      <c r="D28" s="43"/>
      <c r="F28" s="45" t="s">
        <v>35</v>
      </c>
      <c r="G28" s="46">
        <f>COUNTIF('Uber Drives'!$N$2:$N$1152,F28)</f>
        <v>18</v>
      </c>
      <c r="H28" s="51">
        <f>AVERAGEIF('Uber Drives'!$N$2:$N$1152,F28,'Uber Drives'!$K$2:$K$1152)</f>
        <v>0.01770833333</v>
      </c>
      <c r="I28" s="53">
        <f>AVERAGEIF('Uber Drives'!$N$2:$N$1152,F28,'Uber Drives'!$G$2:$G$1152)</f>
        <v>10.94444444</v>
      </c>
      <c r="K28" s="46" t="s">
        <v>40</v>
      </c>
      <c r="L28" s="45" t="s">
        <v>35</v>
      </c>
      <c r="M28" s="46">
        <f>COUNTIFS('Uber Drives'!$M$2:$M$1152,K28,'Uber Drives'!$N$2:$N$1152,L28)</f>
        <v>18</v>
      </c>
      <c r="N28" s="51">
        <f>AVERAGEIFS('Uber Drives'!$K$2:$K$1152,'Uber Drives'!$M$2:$M$1152,K28,'Uber Drives'!$N$2:$N$1152,L28)</f>
        <v>0.01770833333</v>
      </c>
      <c r="O28" s="53">
        <f>AVERAGEIFS('Uber Drives'!$G$2:$G$1152,'Uber Drives'!$M$2:$M$1152,K28,'Uber Drives'!$N$2:$N$1152,L28)</f>
        <v>10.94444444</v>
      </c>
    </row>
    <row r="29" ht="16.5" customHeight="1">
      <c r="A29" s="1"/>
      <c r="B29" s="43"/>
      <c r="C29" s="43"/>
      <c r="D29" s="43"/>
      <c r="F29" s="45" t="s">
        <v>36</v>
      </c>
      <c r="G29" s="46">
        <f>COUNTIF('Uber Drives'!$N$2:$N$1152,F29)</f>
        <v>1</v>
      </c>
      <c r="H29" s="51">
        <f>AVERAGEIF('Uber Drives'!$N$2:$N$1152,F29,'Uber Drives'!$K$2:$K$1152)</f>
        <v>0.01875</v>
      </c>
      <c r="I29" s="53">
        <f>AVERAGEIF('Uber Drives'!$N$2:$N$1152,F29,'Uber Drives'!$G$2:$G$1152)</f>
        <v>15.1</v>
      </c>
      <c r="K29" s="46" t="s">
        <v>41</v>
      </c>
      <c r="L29" s="45" t="s">
        <v>30</v>
      </c>
      <c r="M29" s="46">
        <f>COUNTIFS('Uber Drives'!$M$2:$M$1152,K29,'Uber Drives'!$N$2:$N$1152,L29)</f>
        <v>71</v>
      </c>
      <c r="N29" s="51">
        <f>AVERAGEIFS('Uber Drives'!$K$2:$K$1152,'Uber Drives'!$M$2:$M$1152,K29,'Uber Drives'!$N$2:$N$1152,L29)</f>
        <v>0.01274452269</v>
      </c>
      <c r="O29" s="53">
        <f>AVERAGEIFS('Uber Drives'!$G$2:$G$1152,'Uber Drives'!$M$2:$M$1152,K29,'Uber Drives'!$N$2:$N$1152,L29)</f>
        <v>7.101408451</v>
      </c>
    </row>
    <row r="30" ht="16.5" customHeight="1">
      <c r="A30" s="1"/>
      <c r="B30" s="43"/>
      <c r="C30" s="43"/>
      <c r="D30" s="43"/>
      <c r="F30" s="45" t="s">
        <v>37</v>
      </c>
      <c r="G30" s="46">
        <f>COUNTIF('Uber Drives'!$N$2:$N$1152,F30)</f>
        <v>1</v>
      </c>
      <c r="H30" s="51">
        <f>AVERAGEIF('Uber Drives'!$N$2:$N$1152,F30,'Uber Drives'!$K$2:$K$1152)</f>
        <v>0.1284722222</v>
      </c>
      <c r="I30" s="53">
        <f>AVERAGEIF('Uber Drives'!$N$2:$N$1152,F30,'Uber Drives'!$G$2:$G$1152)</f>
        <v>180.2</v>
      </c>
      <c r="K30" s="46" t="s">
        <v>41</v>
      </c>
      <c r="L30" s="45" t="s">
        <v>36</v>
      </c>
      <c r="M30" s="46">
        <f>COUNTIFS('Uber Drives'!$M$2:$M$1152,K30,'Uber Drives'!$N$2:$N$1152,L30)</f>
        <v>1</v>
      </c>
      <c r="N30" s="51">
        <f>AVERAGEIFS('Uber Drives'!$K$2:$K$1152,'Uber Drives'!$M$2:$M$1152,K30,'Uber Drives'!$N$2:$N$1152,L30)</f>
        <v>0.01875</v>
      </c>
      <c r="O30" s="53">
        <f>AVERAGEIFS('Uber Drives'!$G$2:$G$1152,'Uber Drives'!$M$2:$M$1152,K30,'Uber Drives'!$N$2:$N$1152,L30)</f>
        <v>15.1</v>
      </c>
    </row>
    <row r="31" ht="16.5" customHeight="1">
      <c r="A31" s="1"/>
      <c r="B31" s="43"/>
      <c r="C31" s="43"/>
      <c r="D31" s="43"/>
      <c r="F31" s="45" t="s">
        <v>38</v>
      </c>
      <c r="G31" s="46">
        <f>COUNTIF('Uber Drives'!$N$2:$N$1152,F31)</f>
        <v>4</v>
      </c>
      <c r="H31" s="51">
        <f>AVERAGEIF('Uber Drives'!$N$2:$N$1152,F31,'Uber Drives'!$K$2:$K$1152)</f>
        <v>0.01041666667</v>
      </c>
      <c r="I31" s="53">
        <f>AVERAGEIF('Uber Drives'!$N$2:$N$1152,F31,'Uber Drives'!$G$2:$G$1152)</f>
        <v>4.55</v>
      </c>
      <c r="K31" s="46" t="s">
        <v>41</v>
      </c>
      <c r="L31" s="45" t="s">
        <v>37</v>
      </c>
      <c r="M31" s="46">
        <f>COUNTIFS('Uber Drives'!$M$2:$M$1152,K31,'Uber Drives'!$N$2:$N$1152,L31)</f>
        <v>1</v>
      </c>
      <c r="N31" s="51">
        <f>AVERAGEIFS('Uber Drives'!$K$2:$K$1152,'Uber Drives'!$M$2:$M$1152,K31,'Uber Drives'!$N$2:$N$1152,L31)</f>
        <v>0.1284722222</v>
      </c>
      <c r="O31" s="53">
        <f>AVERAGEIFS('Uber Drives'!$G$2:$G$1152,'Uber Drives'!$M$2:$M$1152,K31,'Uber Drives'!$N$2:$N$1152,L31)</f>
        <v>180.2</v>
      </c>
    </row>
    <row r="32" ht="16.5" customHeight="1">
      <c r="A32" s="1"/>
      <c r="B32" s="43"/>
      <c r="C32" s="43"/>
      <c r="D32" s="43"/>
      <c r="F32" s="45" t="s">
        <v>39</v>
      </c>
      <c r="G32" s="46">
        <f>COUNTIF('Uber Drives'!$N$2:$N$1152,F32)</f>
        <v>3</v>
      </c>
      <c r="H32" s="51">
        <f>AVERAGEIF('Uber Drives'!$N$2:$N$1152,F32,'Uber Drives'!$K$2:$K$1152)</f>
        <v>0.01805555556</v>
      </c>
      <c r="I32" s="53">
        <f>AVERAGEIF('Uber Drives'!$N$2:$N$1152,F32,'Uber Drives'!$G$2:$G$1152)</f>
        <v>5.5</v>
      </c>
      <c r="K32" s="46" t="s">
        <v>41</v>
      </c>
      <c r="L32" s="45" t="s">
        <v>38</v>
      </c>
      <c r="M32" s="46">
        <f>COUNTIFS('Uber Drives'!$M$2:$M$1152,K32,'Uber Drives'!$N$2:$N$1152,L32)</f>
        <v>4</v>
      </c>
      <c r="N32" s="51">
        <f>AVERAGEIFS('Uber Drives'!$K$2:$K$1152,'Uber Drives'!$M$2:$M$1152,K32,'Uber Drives'!$N$2:$N$1152,L32)</f>
        <v>0.01041666667</v>
      </c>
      <c r="O32" s="53">
        <f>AVERAGEIFS('Uber Drives'!$G$2:$G$1152,'Uber Drives'!$M$2:$M$1152,K32,'Uber Drives'!$N$2:$N$1152,L32)</f>
        <v>4.55</v>
      </c>
    </row>
    <row r="33" ht="16.5" customHeight="1">
      <c r="A33" s="1"/>
      <c r="B33" s="43"/>
      <c r="C33" s="43"/>
      <c r="D33" s="43"/>
      <c r="F33" s="43"/>
      <c r="K33" s="46" t="s">
        <v>40</v>
      </c>
      <c r="L33" s="46" t="s">
        <v>39</v>
      </c>
      <c r="M33" s="46">
        <f>COUNTIFS('Uber Drives'!$M$2:$M$1152,K33,'Uber Drives'!$N$2:$N$1152,L33)</f>
        <v>3</v>
      </c>
      <c r="N33" s="51">
        <f>AVERAGEIFS('Uber Drives'!$K$2:$K$1152,'Uber Drives'!$M$2:$M$1152,K33,'Uber Drives'!$N$2:$N$1152,L33)</f>
        <v>0.01805555556</v>
      </c>
      <c r="O33" s="53">
        <f>AVERAGEIFS('Uber Drives'!$G$2:$G$1152,'Uber Drives'!$M$2:$M$1152,K33,'Uber Drives'!$N$2:$N$1152,L33)</f>
        <v>5.5</v>
      </c>
    </row>
    <row r="34" ht="16.5" customHeight="1">
      <c r="A34" s="54"/>
      <c r="B34" s="55"/>
      <c r="C34" s="55"/>
      <c r="D34" s="55"/>
      <c r="F34" s="43"/>
    </row>
    <row r="35">
      <c r="A35" s="56"/>
      <c r="F35" s="43"/>
    </row>
    <row r="36">
      <c r="A36" s="1"/>
      <c r="F36" s="43"/>
    </row>
    <row r="37">
      <c r="A37" s="1"/>
      <c r="F37" s="43"/>
    </row>
    <row r="38">
      <c r="A38" s="1"/>
      <c r="F38" s="43"/>
    </row>
    <row r="39">
      <c r="A39" s="26" t="s">
        <v>1423</v>
      </c>
      <c r="B39" s="55"/>
      <c r="C39" s="57"/>
    </row>
    <row r="40">
      <c r="A40" s="58" t="s">
        <v>1424</v>
      </c>
    </row>
    <row r="48">
      <c r="A48" s="1"/>
      <c r="F48" s="43"/>
    </row>
    <row r="49">
      <c r="A49" s="1"/>
      <c r="F49" s="43"/>
    </row>
    <row r="50">
      <c r="A50" s="1"/>
      <c r="F50" s="43"/>
    </row>
    <row r="51">
      <c r="A51" s="1"/>
      <c r="F51" s="43"/>
    </row>
    <row r="52">
      <c r="A52" s="1"/>
      <c r="F52" s="43"/>
    </row>
    <row r="53">
      <c r="A53" s="1"/>
      <c r="F53" s="43"/>
    </row>
    <row r="54">
      <c r="A54" s="1"/>
      <c r="F54" s="43"/>
    </row>
    <row r="55">
      <c r="A55" s="1"/>
      <c r="F55" s="43"/>
    </row>
    <row r="56">
      <c r="A56" s="54"/>
      <c r="B56" s="55"/>
      <c r="C56" s="55"/>
      <c r="D56" s="55"/>
      <c r="F56" s="43"/>
    </row>
    <row r="57">
      <c r="A57" s="56"/>
      <c r="B57" s="56"/>
      <c r="C57" s="56"/>
      <c r="D57" s="56"/>
      <c r="F57" s="59"/>
      <c r="G57" s="59"/>
      <c r="H57" s="59"/>
      <c r="I57" s="59"/>
      <c r="J57" s="59"/>
    </row>
    <row r="58">
      <c r="A58" s="43"/>
      <c r="B58" s="43"/>
    </row>
    <row r="59">
      <c r="A59" s="43"/>
      <c r="B59" s="43"/>
    </row>
    <row r="60">
      <c r="B60" s="60"/>
    </row>
    <row r="61">
      <c r="B61" s="60"/>
    </row>
    <row r="64">
      <c r="A64" s="54"/>
      <c r="B64" s="55"/>
      <c r="C64" s="55"/>
      <c r="D64" s="55"/>
    </row>
    <row r="65">
      <c r="A65" s="56"/>
      <c r="B65" s="56"/>
      <c r="C65" s="56"/>
      <c r="D65" s="56"/>
      <c r="F65" s="56"/>
      <c r="G65" s="56"/>
      <c r="H65" s="56"/>
      <c r="I65" s="56"/>
      <c r="J65" s="56"/>
    </row>
    <row r="66">
      <c r="A66" s="1"/>
      <c r="B66" s="61"/>
      <c r="F66" s="56"/>
      <c r="G66" s="56"/>
      <c r="H66" s="56"/>
      <c r="I66" s="56"/>
      <c r="J66" s="56"/>
    </row>
    <row r="67">
      <c r="A67" s="1"/>
      <c r="B67" s="61"/>
    </row>
    <row r="68">
      <c r="A68" s="1"/>
      <c r="B68" s="61"/>
    </row>
    <row r="69">
      <c r="A69" s="1"/>
      <c r="B69" s="61"/>
    </row>
    <row r="70">
      <c r="A70" s="1"/>
      <c r="B70" s="61"/>
    </row>
    <row r="71">
      <c r="A71" s="1"/>
      <c r="B71" s="61"/>
    </row>
    <row r="72">
      <c r="A72" s="1"/>
      <c r="B72" s="61"/>
    </row>
    <row r="73">
      <c r="A73" s="1"/>
      <c r="B73" s="61"/>
    </row>
    <row r="74">
      <c r="A74" s="54"/>
      <c r="B74" s="61"/>
    </row>
    <row r="75">
      <c r="A75" s="59"/>
      <c r="B75" s="61"/>
      <c r="F75" s="59"/>
      <c r="G75" s="59"/>
    </row>
    <row r="84">
      <c r="C84" s="60"/>
      <c r="F84" s="60"/>
    </row>
    <row r="85">
      <c r="C85" s="60"/>
      <c r="F85" s="60"/>
    </row>
    <row r="86">
      <c r="A86" s="54"/>
      <c r="B86" s="55"/>
      <c r="C86" s="57"/>
    </row>
    <row r="87">
      <c r="A87" s="55"/>
      <c r="B87" s="55"/>
      <c r="C87" s="57"/>
    </row>
    <row r="88">
      <c r="A88" s="54"/>
      <c r="B88" s="55"/>
      <c r="C88" s="57"/>
    </row>
    <row r="92">
      <c r="A92" s="10"/>
      <c r="B92" s="10"/>
      <c r="C92" s="10"/>
      <c r="D92" s="10"/>
      <c r="E92" s="10"/>
      <c r="F92" s="10"/>
      <c r="G92" s="10"/>
    </row>
    <row r="93">
      <c r="A93" s="26"/>
      <c r="B93" s="10"/>
      <c r="C93" s="10"/>
      <c r="D93" s="10"/>
      <c r="E93" s="10"/>
      <c r="F93" s="10"/>
      <c r="G93" s="10"/>
    </row>
    <row r="94">
      <c r="A94" s="26"/>
      <c r="B94" s="10"/>
      <c r="C94" s="10"/>
      <c r="D94" s="10"/>
      <c r="E94" s="10"/>
      <c r="F94" s="10"/>
      <c r="G94" s="10"/>
    </row>
    <row r="95">
      <c r="A95" s="26"/>
      <c r="B95" s="10"/>
      <c r="C95" s="10"/>
      <c r="D95" s="10"/>
      <c r="E95" s="10"/>
      <c r="F95" s="10"/>
      <c r="G95" s="10"/>
    </row>
    <row r="96">
      <c r="A96" s="26"/>
      <c r="B96" s="10"/>
      <c r="C96" s="10"/>
      <c r="D96" s="10"/>
      <c r="E96" s="10"/>
      <c r="F96" s="10"/>
      <c r="G96" s="10"/>
    </row>
    <row r="97">
      <c r="B97" s="10"/>
      <c r="C97" s="10"/>
      <c r="D97" s="10"/>
      <c r="E97" s="10"/>
      <c r="F97" s="10"/>
      <c r="G97" s="10"/>
    </row>
    <row r="98">
      <c r="B98" s="10"/>
      <c r="C98" s="10"/>
      <c r="D98" s="10"/>
      <c r="E98" s="10"/>
      <c r="F98" s="10"/>
      <c r="G98" s="10"/>
    </row>
  </sheetData>
  <mergeCells count="2">
    <mergeCell ref="A35:D35"/>
    <mergeCell ref="A40:G47"/>
  </mergeCells>
  <printOptions gridLines="1" horizontalCentered="1"/>
  <pageMargins bottom="0.75" footer="0.0" header="0.0" left="0.7" right="0.7" top="0.75"/>
  <pageSetup fitToHeight="0" cellComments="atEnd" orientation="landscape" pageOrder="overThenDown"/>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sheetData>
    <row r="1">
      <c r="A1" s="42" t="s">
        <v>1415</v>
      </c>
    </row>
    <row r="2">
      <c r="A2" s="1" t="s">
        <v>1425</v>
      </c>
    </row>
    <row r="3">
      <c r="A3" s="62" t="s">
        <v>24</v>
      </c>
      <c r="B3" s="62" t="s">
        <v>27</v>
      </c>
      <c r="C3" s="63" t="s">
        <v>1419</v>
      </c>
      <c r="D3" s="63" t="s">
        <v>1420</v>
      </c>
      <c r="E3" s="63" t="s">
        <v>1426</v>
      </c>
      <c r="F3" s="64"/>
    </row>
    <row r="4">
      <c r="A4" s="65" t="s">
        <v>40</v>
      </c>
      <c r="B4" s="66" t="s">
        <v>39</v>
      </c>
      <c r="C4" s="67">
        <v>3.0</v>
      </c>
      <c r="D4" s="68">
        <v>0.018055555555555547</v>
      </c>
      <c r="E4" s="69">
        <v>5.5</v>
      </c>
    </row>
    <row r="5">
      <c r="A5" s="65"/>
      <c r="B5" s="66" t="s">
        <v>35</v>
      </c>
      <c r="C5" s="67">
        <v>18.0</v>
      </c>
      <c r="D5" s="68">
        <v>0.017708333333333322</v>
      </c>
      <c r="E5" s="69">
        <v>10.944444444444446</v>
      </c>
    </row>
    <row r="6">
      <c r="A6" s="65"/>
      <c r="B6" s="66" t="s">
        <v>33</v>
      </c>
      <c r="C6" s="67">
        <v>101.0</v>
      </c>
      <c r="D6" s="68">
        <v>0.023205445544554476</v>
      </c>
      <c r="E6" s="69">
        <v>20.688118811881193</v>
      </c>
    </row>
    <row r="7">
      <c r="A7" s="65"/>
      <c r="B7" s="66" t="s">
        <v>31</v>
      </c>
      <c r="C7" s="67">
        <v>128.0</v>
      </c>
      <c r="D7" s="68">
        <v>0.009011501736111111</v>
      </c>
      <c r="E7" s="69">
        <v>3.9687500000000004</v>
      </c>
    </row>
    <row r="8">
      <c r="A8" s="65"/>
      <c r="B8" s="66" t="s">
        <v>29</v>
      </c>
      <c r="C8" s="67">
        <v>160.0</v>
      </c>
      <c r="D8" s="68">
        <v>0.011197916666666672</v>
      </c>
      <c r="E8" s="69">
        <v>5.698125</v>
      </c>
    </row>
    <row r="9">
      <c r="A9" s="65"/>
      <c r="B9" s="66" t="s">
        <v>32</v>
      </c>
      <c r="C9" s="67">
        <v>187.0</v>
      </c>
      <c r="D9" s="68">
        <v>0.020651366607229073</v>
      </c>
      <c r="E9" s="69">
        <v>15.247593582887706</v>
      </c>
    </row>
    <row r="10">
      <c r="A10" s="65"/>
      <c r="B10" s="66" t="s">
        <v>30</v>
      </c>
      <c r="C10" s="67">
        <v>427.0</v>
      </c>
      <c r="D10" s="68">
        <v>0.016692688004155465</v>
      </c>
      <c r="E10" s="69">
        <v>10.103747072599528</v>
      </c>
    </row>
    <row r="11">
      <c r="A11" s="65"/>
      <c r="B11" s="66" t="s">
        <v>34</v>
      </c>
      <c r="C11" s="67">
        <v>50.0</v>
      </c>
      <c r="D11" s="68">
        <v>0.017958333333333326</v>
      </c>
      <c r="E11" s="69">
        <v>10.473999999999997</v>
      </c>
    </row>
    <row r="12">
      <c r="A12" s="65" t="s">
        <v>41</v>
      </c>
      <c r="B12" s="66" t="s">
        <v>36</v>
      </c>
      <c r="C12" s="67">
        <v>1.0</v>
      </c>
      <c r="D12" s="68">
        <v>0.018750000000000044</v>
      </c>
      <c r="E12" s="69">
        <v>15.1</v>
      </c>
    </row>
    <row r="13">
      <c r="A13" s="65"/>
      <c r="B13" s="66" t="s">
        <v>37</v>
      </c>
      <c r="C13" s="67">
        <v>1.0</v>
      </c>
      <c r="D13" s="68">
        <v>0.12847222222222232</v>
      </c>
      <c r="E13" s="69">
        <v>180.2</v>
      </c>
    </row>
    <row r="14">
      <c r="A14" s="65"/>
      <c r="B14" s="66" t="s">
        <v>38</v>
      </c>
      <c r="C14" s="67">
        <v>4.0</v>
      </c>
      <c r="D14" s="68">
        <v>0.010416666666666685</v>
      </c>
      <c r="E14" s="69">
        <v>4.55</v>
      </c>
    </row>
    <row r="15">
      <c r="A15" s="65"/>
      <c r="B15" s="66" t="s">
        <v>30</v>
      </c>
      <c r="C15" s="67">
        <v>71.0</v>
      </c>
      <c r="D15" s="68">
        <v>0.012744522691751338</v>
      </c>
      <c r="E15" s="69">
        <v>7.101408450704223</v>
      </c>
    </row>
    <row r="17">
      <c r="A17" s="1" t="s">
        <v>1427</v>
      </c>
    </row>
    <row r="19"/>
    <row r="20"/>
    <row r="21"/>
    <row r="22"/>
    <row r="23"/>
    <row r="24"/>
    <row r="25"/>
    <row r="26"/>
    <row r="27"/>
    <row r="28"/>
    <row r="29"/>
    <row r="30"/>
    <row r="31"/>
    <row r="33">
      <c r="A33" s="1" t="s">
        <v>1441</v>
      </c>
    </row>
    <row r="35"/>
    <row r="36"/>
    <row r="37"/>
    <row r="38"/>
    <row r="39"/>
    <row r="40"/>
    <row r="41"/>
    <row r="42"/>
    <row r="48">
      <c r="A48" s="1" t="s">
        <v>1450</v>
      </c>
    </row>
    <row r="49">
      <c r="A49" s="1"/>
    </row>
    <row r="50"/>
    <row r="51"/>
    <row r="52"/>
    <row r="53"/>
    <row r="54"/>
    <row r="55"/>
    <row r="56"/>
    <row r="57"/>
    <row r="58"/>
    <row r="59"/>
    <row r="60"/>
    <row r="61"/>
    <row r="62"/>
    <row r="63"/>
    <row r="64"/>
    <row r="69">
      <c r="A69" s="1" t="s">
        <v>1452</v>
      </c>
    </row>
    <row r="71"/>
    <row r="72"/>
    <row r="73"/>
    <row r="74"/>
    <row r="75"/>
    <row r="76"/>
  </sheetData>
  <printOptions gridLines="1" horizontalCentered="1"/>
  <pageMargins bottom="0.75" footer="0.0" header="0.0" left="0.7" right="0.7" top="0.75"/>
  <pageSetup fitToHeight="0" cellComments="atEnd" orientation="landscape" pageOrder="overThenDown"/>
  <drawing r:id="rId5"/>
</worksheet>
</file>